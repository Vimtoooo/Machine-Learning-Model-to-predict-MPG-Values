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leone\OneDrive\Desktop\Vito\Work\Excel\Practice\Kaggle\Car Information Dataset\"/>
    </mc:Choice>
  </mc:AlternateContent>
  <xr:revisionPtr revIDLastSave="0" documentId="13_ncr:1_{372D00BF-EB6F-4CD6-8309-992A4EC1669E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Automobile" sheetId="1" r:id="rId1"/>
    <sheet name="Outliers in MPG" sheetId="2" r:id="rId2"/>
    <sheet name="MPG X Displacement" sheetId="3" r:id="rId3"/>
    <sheet name="Pivot table for MPG Statistics" sheetId="4" r:id="rId4"/>
    <sheet name="Normalized Accelerations" sheetId="5" r:id="rId5"/>
    <sheet name="Performance Tiers" sheetId="6" r:id="rId6"/>
    <sheet name="Missing Horsepower" sheetId="7" r:id="rId7"/>
    <sheet name="Regression Statistics" sheetId="8" r:id="rId8"/>
    <sheet name="Table Data" sheetId="13" r:id="rId9"/>
    <sheet name="Fuel Efficiency Trends" sheetId="10" r:id="rId10"/>
    <sheet name="Dashboard" sheetId="11" r:id="rId11"/>
    <sheet name="TODOS" sheetId="12" r:id="rId12"/>
  </sheets>
  <definedNames>
    <definedName name="_xlnm._FilterDatabase" localSheetId="0">Automobile!$A$1:$J$399</definedName>
    <definedName name="_xlnm._FilterDatabase" localSheetId="6">'Missing Horsepower'!$G$1:$K$7</definedName>
    <definedName name="_xlnm._FilterDatabase" localSheetId="8" hidden="1">'Table Data'!$A$1:$J$393</definedName>
    <definedName name="horsepower">'Fuel Efficiency Trends'!$I$37</definedName>
    <definedName name="mpg">'Fuel Efficiency Trends'!$I$34</definedName>
    <definedName name="namecount">'Fuel Efficiency Trends'!$I$30</definedName>
    <definedName name="Slicer_cylinders">#N/A</definedName>
    <definedName name="Slicer_model_year">#N/A</definedName>
    <definedName name="Slicer_origin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3" i="13" l="1"/>
  <c r="G392" i="13"/>
  <c r="G391" i="13"/>
  <c r="G390" i="13"/>
  <c r="G389" i="13"/>
  <c r="G388" i="13"/>
  <c r="G387" i="13"/>
  <c r="G386" i="13"/>
  <c r="G385" i="13"/>
  <c r="G384" i="13"/>
  <c r="G383" i="13"/>
  <c r="G382" i="13"/>
  <c r="G381" i="13"/>
  <c r="G380" i="13"/>
  <c r="G379" i="13"/>
  <c r="G378" i="13"/>
  <c r="G377" i="13"/>
  <c r="G376" i="13"/>
  <c r="G375" i="13"/>
  <c r="G374" i="13"/>
  <c r="G373" i="13"/>
  <c r="G372" i="13"/>
  <c r="G371" i="13"/>
  <c r="G370" i="13"/>
  <c r="G369" i="13"/>
  <c r="G368" i="13"/>
  <c r="G367" i="13"/>
  <c r="G366" i="13"/>
  <c r="G365" i="13"/>
  <c r="G364" i="13"/>
  <c r="G363" i="13"/>
  <c r="G362" i="13"/>
  <c r="G361" i="13"/>
  <c r="G360" i="13"/>
  <c r="G359" i="13"/>
  <c r="G358" i="13"/>
  <c r="G357" i="13"/>
  <c r="G356" i="13"/>
  <c r="G355" i="13"/>
  <c r="G354" i="13"/>
  <c r="G353" i="13"/>
  <c r="G352" i="13"/>
  <c r="G351" i="13"/>
  <c r="G350" i="13"/>
  <c r="G349" i="13"/>
  <c r="G348" i="13"/>
  <c r="G347" i="13"/>
  <c r="G346" i="13"/>
  <c r="G345" i="13"/>
  <c r="G344" i="13"/>
  <c r="G343" i="13"/>
  <c r="G342" i="13"/>
  <c r="G341" i="13"/>
  <c r="G340" i="13"/>
  <c r="G339" i="13"/>
  <c r="G338" i="13"/>
  <c r="G337" i="13"/>
  <c r="G336" i="13"/>
  <c r="G335" i="13"/>
  <c r="G334" i="13"/>
  <c r="G333" i="13"/>
  <c r="G332" i="13"/>
  <c r="G331" i="13"/>
  <c r="G330" i="13"/>
  <c r="G329" i="13"/>
  <c r="G328" i="13"/>
  <c r="G327" i="13"/>
  <c r="G326" i="13"/>
  <c r="G325" i="13"/>
  <c r="G324" i="13"/>
  <c r="G323" i="13"/>
  <c r="G322" i="13"/>
  <c r="G321" i="13"/>
  <c r="G320" i="13"/>
  <c r="G319" i="13"/>
  <c r="G318" i="13"/>
  <c r="G317" i="13"/>
  <c r="G316" i="13"/>
  <c r="G315" i="13"/>
  <c r="G314" i="13"/>
  <c r="G313" i="13"/>
  <c r="G312" i="13"/>
  <c r="G311" i="13"/>
  <c r="G310" i="13"/>
  <c r="G309" i="13"/>
  <c r="G308" i="13"/>
  <c r="G307" i="13"/>
  <c r="G306" i="13"/>
  <c r="G305" i="13"/>
  <c r="G304" i="13"/>
  <c r="G303" i="13"/>
  <c r="G302" i="13"/>
  <c r="G301" i="13"/>
  <c r="G300" i="13"/>
  <c r="G299" i="13"/>
  <c r="G298" i="13"/>
  <c r="G297" i="13"/>
  <c r="G296" i="13"/>
  <c r="G295" i="13"/>
  <c r="G294" i="13"/>
  <c r="G293" i="13"/>
  <c r="G292" i="13"/>
  <c r="G291" i="13"/>
  <c r="G290" i="13"/>
  <c r="G289" i="13"/>
  <c r="G288" i="13"/>
  <c r="G287" i="13"/>
  <c r="G286" i="13"/>
  <c r="G285" i="13"/>
  <c r="G284" i="13"/>
  <c r="G283" i="13"/>
  <c r="G282" i="13"/>
  <c r="G281" i="13"/>
  <c r="G280" i="13"/>
  <c r="G279" i="13"/>
  <c r="G278" i="13"/>
  <c r="G277" i="13"/>
  <c r="G276" i="13"/>
  <c r="G275" i="13"/>
  <c r="G274" i="13"/>
  <c r="G273" i="13"/>
  <c r="G272" i="13"/>
  <c r="G271" i="13"/>
  <c r="G270" i="13"/>
  <c r="G269" i="13"/>
  <c r="G268" i="13"/>
  <c r="G267" i="13"/>
  <c r="G266" i="13"/>
  <c r="G265" i="13"/>
  <c r="G264" i="13"/>
  <c r="G263" i="13"/>
  <c r="G262" i="13"/>
  <c r="G261" i="13"/>
  <c r="G260" i="13"/>
  <c r="G259" i="13"/>
  <c r="G258" i="13"/>
  <c r="G257" i="13"/>
  <c r="G256" i="13"/>
  <c r="G255" i="13"/>
  <c r="G254" i="13"/>
  <c r="G253" i="13"/>
  <c r="G252" i="13"/>
  <c r="G251" i="13"/>
  <c r="G250" i="13"/>
  <c r="G249" i="13"/>
  <c r="G248" i="13"/>
  <c r="G247" i="13"/>
  <c r="G246" i="13"/>
  <c r="G245" i="13"/>
  <c r="G244" i="13"/>
  <c r="G243" i="13"/>
  <c r="G242" i="13"/>
  <c r="G241" i="13"/>
  <c r="G240" i="13"/>
  <c r="G239" i="13"/>
  <c r="G238" i="13"/>
  <c r="G237" i="13"/>
  <c r="G236" i="13"/>
  <c r="G235" i="13"/>
  <c r="G234" i="13"/>
  <c r="G233" i="13"/>
  <c r="G232" i="13"/>
  <c r="G231" i="13"/>
  <c r="G230" i="13"/>
  <c r="G229" i="13"/>
  <c r="G228" i="13"/>
  <c r="G227" i="13"/>
  <c r="G226" i="13"/>
  <c r="G225" i="13"/>
  <c r="G224" i="13"/>
  <c r="G223" i="13"/>
  <c r="G222" i="13"/>
  <c r="G221" i="13"/>
  <c r="G220" i="13"/>
  <c r="G219" i="13"/>
  <c r="G218" i="13"/>
  <c r="G217" i="13"/>
  <c r="G216" i="13"/>
  <c r="G215" i="13"/>
  <c r="G214" i="13"/>
  <c r="G213" i="13"/>
  <c r="G212" i="13"/>
  <c r="G211" i="13"/>
  <c r="G210" i="13"/>
  <c r="G209" i="13"/>
  <c r="G208" i="13"/>
  <c r="G207" i="13"/>
  <c r="G206" i="13"/>
  <c r="G205" i="13"/>
  <c r="G204" i="13"/>
  <c r="G203" i="13"/>
  <c r="G202" i="13"/>
  <c r="G201" i="13"/>
  <c r="G200" i="13"/>
  <c r="G199" i="13"/>
  <c r="G198" i="13"/>
  <c r="G197" i="13"/>
  <c r="G196" i="13"/>
  <c r="G195" i="13"/>
  <c r="G194" i="13"/>
  <c r="G193" i="13"/>
  <c r="G192" i="13"/>
  <c r="G191" i="13"/>
  <c r="G190" i="13"/>
  <c r="G189" i="13"/>
  <c r="G188" i="13"/>
  <c r="G187" i="13"/>
  <c r="G186" i="13"/>
  <c r="G185" i="13"/>
  <c r="G184" i="13"/>
  <c r="G183" i="13"/>
  <c r="G182" i="13"/>
  <c r="G181" i="13"/>
  <c r="G180" i="13"/>
  <c r="G179" i="13"/>
  <c r="G178" i="13"/>
  <c r="G177" i="13"/>
  <c r="G176" i="13"/>
  <c r="G175" i="13"/>
  <c r="G174" i="13"/>
  <c r="G173" i="13"/>
  <c r="G172" i="13"/>
  <c r="G171" i="13"/>
  <c r="G170" i="13"/>
  <c r="G169" i="13"/>
  <c r="G168" i="13"/>
  <c r="G167" i="13"/>
  <c r="G166" i="13"/>
  <c r="G165" i="13"/>
  <c r="G164" i="13"/>
  <c r="G163" i="13"/>
  <c r="G162" i="13"/>
  <c r="G161" i="13"/>
  <c r="G160" i="13"/>
  <c r="G159" i="13"/>
  <c r="G158" i="13"/>
  <c r="G157" i="13"/>
  <c r="G156" i="13"/>
  <c r="G155" i="13"/>
  <c r="G154" i="13"/>
  <c r="G153" i="13"/>
  <c r="G152" i="13"/>
  <c r="G151" i="13"/>
  <c r="G150" i="13"/>
  <c r="G149" i="13"/>
  <c r="G148" i="13"/>
  <c r="G147" i="13"/>
  <c r="G146" i="13"/>
  <c r="G145" i="13"/>
  <c r="G144" i="13"/>
  <c r="G143" i="13"/>
  <c r="G142" i="13"/>
  <c r="G141" i="13"/>
  <c r="G140" i="13"/>
  <c r="G139" i="13"/>
  <c r="G138" i="13"/>
  <c r="G137" i="13"/>
  <c r="G136" i="13"/>
  <c r="G135" i="13"/>
  <c r="G134" i="13"/>
  <c r="G133" i="13"/>
  <c r="G132" i="13"/>
  <c r="G131" i="13"/>
  <c r="G130" i="13"/>
  <c r="G129" i="13"/>
  <c r="G128" i="13"/>
  <c r="G127" i="13"/>
  <c r="G126" i="13"/>
  <c r="G125" i="13"/>
  <c r="G124" i="13"/>
  <c r="G123" i="13"/>
  <c r="G122" i="13"/>
  <c r="G121" i="13"/>
  <c r="G120" i="13"/>
  <c r="G119" i="13"/>
  <c r="G118" i="13"/>
  <c r="G117" i="13"/>
  <c r="G116" i="13"/>
  <c r="G115" i="13"/>
  <c r="G114" i="13"/>
  <c r="G113" i="13"/>
  <c r="G112" i="13"/>
  <c r="G111" i="13"/>
  <c r="G110" i="13"/>
  <c r="G109" i="13"/>
  <c r="G108" i="13"/>
  <c r="G107" i="13"/>
  <c r="G106" i="13"/>
  <c r="G105" i="13"/>
  <c r="G104" i="13"/>
  <c r="G103" i="13"/>
  <c r="G102" i="13"/>
  <c r="G101" i="13"/>
  <c r="G100" i="13"/>
  <c r="G99" i="13"/>
  <c r="G98" i="13"/>
  <c r="G97" i="13"/>
  <c r="G96" i="13"/>
  <c r="G95" i="13"/>
  <c r="G94" i="13"/>
  <c r="G93" i="13"/>
  <c r="G92" i="13"/>
  <c r="G91" i="13"/>
  <c r="G90" i="13"/>
  <c r="G89" i="13"/>
  <c r="G88" i="13"/>
  <c r="G87" i="13"/>
  <c r="G86" i="13"/>
  <c r="G85" i="13"/>
  <c r="G84" i="13"/>
  <c r="G83" i="13"/>
  <c r="G82" i="13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G34" i="13"/>
  <c r="G33" i="13"/>
  <c r="G32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N8" i="8"/>
  <c r="N7" i="8"/>
  <c r="N6" i="8"/>
  <c r="N5" i="8"/>
  <c r="N4" i="8"/>
  <c r="N3" i="8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L3" i="5"/>
  <c r="K3" i="5"/>
  <c r="E394" i="5" s="1"/>
  <c r="I3" i="5"/>
  <c r="H3" i="5"/>
  <c r="G10" i="4"/>
  <c r="H5" i="4"/>
  <c r="H4" i="4"/>
  <c r="H3" i="4"/>
  <c r="N2" i="4"/>
  <c r="M2" i="4"/>
  <c r="J5" i="4" s="1"/>
  <c r="L2" i="4"/>
  <c r="K2" i="4"/>
  <c r="J2" i="4"/>
  <c r="H2" i="4"/>
  <c r="P2" i="3"/>
  <c r="R3" i="2"/>
  <c r="Q3" i="2"/>
  <c r="O3" i="2"/>
  <c r="P3" i="2" s="1"/>
  <c r="I3" i="2"/>
  <c r="H3" i="2"/>
  <c r="G3" i="2"/>
  <c r="F3" i="2"/>
  <c r="E3" i="2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10" i="4"/>
  <c r="E14" i="5" l="1"/>
  <c r="E60" i="5"/>
  <c r="E98" i="5"/>
  <c r="E142" i="5"/>
  <c r="E188" i="5"/>
  <c r="E226" i="5"/>
  <c r="E281" i="5"/>
  <c r="E332" i="5"/>
  <c r="E382" i="5"/>
  <c r="E17" i="5"/>
  <c r="E61" i="5"/>
  <c r="E105" i="5"/>
  <c r="E145" i="5"/>
  <c r="E189" i="5"/>
  <c r="E233" i="5"/>
  <c r="E284" i="5"/>
  <c r="E334" i="5"/>
  <c r="E385" i="5"/>
  <c r="E18" i="5"/>
  <c r="E62" i="5"/>
  <c r="E108" i="5"/>
  <c r="E146" i="5"/>
  <c r="E190" i="5"/>
  <c r="E236" i="5"/>
  <c r="E286" i="5"/>
  <c r="E337" i="5"/>
  <c r="E386" i="5"/>
  <c r="E25" i="5"/>
  <c r="E65" i="5"/>
  <c r="E109" i="5"/>
  <c r="E153" i="5"/>
  <c r="E193" i="5"/>
  <c r="E238" i="5"/>
  <c r="E289" i="5"/>
  <c r="E338" i="5"/>
  <c r="E393" i="5"/>
  <c r="E28" i="5"/>
  <c r="E66" i="5"/>
  <c r="E110" i="5"/>
  <c r="E156" i="5"/>
  <c r="E194" i="5"/>
  <c r="E241" i="5"/>
  <c r="E290" i="5"/>
  <c r="E345" i="5"/>
  <c r="E396" i="5"/>
  <c r="E29" i="5"/>
  <c r="E73" i="5"/>
  <c r="E113" i="5"/>
  <c r="E157" i="5"/>
  <c r="E201" i="5"/>
  <c r="E242" i="5"/>
  <c r="E297" i="5"/>
  <c r="E348" i="5"/>
  <c r="E398" i="5"/>
  <c r="E30" i="5"/>
  <c r="E76" i="5"/>
  <c r="E114" i="5"/>
  <c r="E158" i="5"/>
  <c r="E204" i="5"/>
  <c r="E249" i="5"/>
  <c r="E300" i="5"/>
  <c r="E350" i="5"/>
  <c r="E33" i="5"/>
  <c r="E77" i="5"/>
  <c r="E121" i="5"/>
  <c r="E161" i="5"/>
  <c r="E205" i="5"/>
  <c r="E252" i="5"/>
  <c r="E302" i="5"/>
  <c r="E353" i="5"/>
  <c r="E34" i="5"/>
  <c r="E78" i="5"/>
  <c r="E124" i="5"/>
  <c r="E162" i="5"/>
  <c r="E206" i="5"/>
  <c r="E254" i="5"/>
  <c r="E305" i="5"/>
  <c r="E354" i="5"/>
  <c r="C395" i="5"/>
  <c r="D395" i="5" s="1"/>
  <c r="E41" i="5"/>
  <c r="E81" i="5"/>
  <c r="E125" i="5"/>
  <c r="E169" i="5"/>
  <c r="E209" i="5"/>
  <c r="E257" i="5"/>
  <c r="E306" i="5"/>
  <c r="E361" i="5"/>
  <c r="E44" i="5"/>
  <c r="E82" i="5"/>
  <c r="E126" i="5"/>
  <c r="E172" i="5"/>
  <c r="E210" i="5"/>
  <c r="E258" i="5"/>
  <c r="E313" i="5"/>
  <c r="E364" i="5"/>
  <c r="E45" i="5"/>
  <c r="E89" i="5"/>
  <c r="E129" i="5"/>
  <c r="E173" i="5"/>
  <c r="E217" i="5"/>
  <c r="E265" i="5"/>
  <c r="E316" i="5"/>
  <c r="E366" i="5"/>
  <c r="E389" i="5"/>
  <c r="E46" i="5"/>
  <c r="E92" i="5"/>
  <c r="E130" i="5"/>
  <c r="E174" i="5"/>
  <c r="E220" i="5"/>
  <c r="E268" i="5"/>
  <c r="E318" i="5"/>
  <c r="E369" i="5"/>
  <c r="E9" i="5"/>
  <c r="E49" i="5"/>
  <c r="E93" i="5"/>
  <c r="E137" i="5"/>
  <c r="E177" i="5"/>
  <c r="E221" i="5"/>
  <c r="E270" i="5"/>
  <c r="E321" i="5"/>
  <c r="E370" i="5"/>
  <c r="E12" i="5"/>
  <c r="E50" i="5"/>
  <c r="E94" i="5"/>
  <c r="E140" i="5"/>
  <c r="E178" i="5"/>
  <c r="E222" i="5"/>
  <c r="E273" i="5"/>
  <c r="E322" i="5"/>
  <c r="E377" i="5"/>
  <c r="E13" i="5"/>
  <c r="E57" i="5"/>
  <c r="E97" i="5"/>
  <c r="E141" i="5"/>
  <c r="E185" i="5"/>
  <c r="E225" i="5"/>
  <c r="E274" i="5"/>
  <c r="E329" i="5"/>
  <c r="E380" i="5"/>
  <c r="C46" i="4"/>
  <c r="C38" i="4"/>
  <c r="D38" i="4" s="1"/>
  <c r="C13" i="4"/>
  <c r="D13" i="4" s="1"/>
  <c r="C6" i="4"/>
  <c r="D6" i="4" s="1"/>
  <c r="C29" i="4"/>
  <c r="D29" i="4" s="1"/>
  <c r="C21" i="4"/>
  <c r="D21" i="4" s="1"/>
  <c r="C45" i="4"/>
  <c r="D45" i="4" s="1"/>
  <c r="C37" i="4"/>
  <c r="D37" i="4" s="1"/>
  <c r="C12" i="4"/>
  <c r="D12" i="4" s="1"/>
  <c r="C28" i="4"/>
  <c r="D28" i="4" s="1"/>
  <c r="C20" i="4"/>
  <c r="D20" i="4" s="1"/>
  <c r="C44" i="4"/>
  <c r="D44" i="4" s="1"/>
  <c r="C36" i="4"/>
  <c r="D36" i="4" s="1"/>
  <c r="C11" i="4"/>
  <c r="D11" i="4" s="1"/>
  <c r="C5" i="4"/>
  <c r="D5" i="4" s="1"/>
  <c r="C27" i="4"/>
  <c r="D27" i="4" s="1"/>
  <c r="C19" i="4"/>
  <c r="D19" i="4" s="1"/>
  <c r="C43" i="4"/>
  <c r="D43" i="4" s="1"/>
  <c r="C35" i="4"/>
  <c r="D35" i="4" s="1"/>
  <c r="C18" i="4"/>
  <c r="C4" i="4"/>
  <c r="C26" i="4"/>
  <c r="D26" i="4" s="1"/>
  <c r="C42" i="4"/>
  <c r="D42" i="4" s="1"/>
  <c r="C34" i="4"/>
  <c r="D34" i="4" s="1"/>
  <c r="C17" i="4"/>
  <c r="D17" i="4" s="1"/>
  <c r="C10" i="4"/>
  <c r="D10" i="4" s="1"/>
  <c r="C25" i="4"/>
  <c r="D25" i="4" s="1"/>
  <c r="C41" i="4"/>
  <c r="D41" i="4" s="1"/>
  <c r="C33" i="4"/>
  <c r="D33" i="4" s="1"/>
  <c r="C16" i="4"/>
  <c r="D16" i="4" s="1"/>
  <c r="C9" i="4"/>
  <c r="D9" i="4" s="1"/>
  <c r="C32" i="4"/>
  <c r="C24" i="4"/>
  <c r="D24" i="4" s="1"/>
  <c r="C40" i="4"/>
  <c r="D40" i="4" s="1"/>
  <c r="C15" i="4"/>
  <c r="D15" i="4" s="1"/>
  <c r="C8" i="4"/>
  <c r="D8" i="4" s="1"/>
  <c r="C31" i="4"/>
  <c r="D31" i="4" s="1"/>
  <c r="C23" i="4"/>
  <c r="D23" i="4" s="1"/>
  <c r="C39" i="4"/>
  <c r="D39" i="4" s="1"/>
  <c r="C14" i="4"/>
  <c r="D14" i="4" s="1"/>
  <c r="C7" i="4"/>
  <c r="D7" i="4" s="1"/>
  <c r="C30" i="4"/>
  <c r="D30" i="4" s="1"/>
  <c r="C22" i="4"/>
  <c r="D22" i="4" s="1"/>
  <c r="B399" i="2"/>
  <c r="C399" i="2" s="1"/>
  <c r="B391" i="2"/>
  <c r="C391" i="2" s="1"/>
  <c r="B383" i="2"/>
  <c r="C383" i="2" s="1"/>
  <c r="B375" i="2"/>
  <c r="C375" i="2" s="1"/>
  <c r="B367" i="2"/>
  <c r="C367" i="2" s="1"/>
  <c r="B398" i="2"/>
  <c r="C398" i="2" s="1"/>
  <c r="B390" i="2"/>
  <c r="C390" i="2" s="1"/>
  <c r="B382" i="2"/>
  <c r="C382" i="2" s="1"/>
  <c r="B374" i="2"/>
  <c r="C374" i="2" s="1"/>
  <c r="B366" i="2"/>
  <c r="C366" i="2" s="1"/>
  <c r="B397" i="2"/>
  <c r="C397" i="2" s="1"/>
  <c r="B389" i="2"/>
  <c r="C389" i="2" s="1"/>
  <c r="B381" i="2"/>
  <c r="C381" i="2" s="1"/>
  <c r="B373" i="2"/>
  <c r="C373" i="2" s="1"/>
  <c r="B365" i="2"/>
  <c r="C365" i="2" s="1"/>
  <c r="B357" i="2"/>
  <c r="C357" i="2" s="1"/>
  <c r="B349" i="2"/>
  <c r="C349" i="2" s="1"/>
  <c r="B341" i="2"/>
  <c r="C341" i="2" s="1"/>
  <c r="B333" i="2"/>
  <c r="C333" i="2" s="1"/>
  <c r="B325" i="2"/>
  <c r="C325" i="2" s="1"/>
  <c r="B317" i="2"/>
  <c r="C317" i="2" s="1"/>
  <c r="B309" i="2"/>
  <c r="C309" i="2" s="1"/>
  <c r="B301" i="2"/>
  <c r="C301" i="2" s="1"/>
  <c r="B293" i="2"/>
  <c r="C293" i="2" s="1"/>
  <c r="B285" i="2"/>
  <c r="C285" i="2" s="1"/>
  <c r="B277" i="2"/>
  <c r="C277" i="2" s="1"/>
  <c r="B269" i="2"/>
  <c r="C269" i="2" s="1"/>
  <c r="B261" i="2"/>
  <c r="C261" i="2" s="1"/>
  <c r="B253" i="2"/>
  <c r="C253" i="2" s="1"/>
  <c r="B245" i="2"/>
  <c r="C245" i="2" s="1"/>
  <c r="B237" i="2"/>
  <c r="C237" i="2" s="1"/>
  <c r="B229" i="2"/>
  <c r="C229" i="2" s="1"/>
  <c r="B221" i="2"/>
  <c r="C221" i="2" s="1"/>
  <c r="B213" i="2"/>
  <c r="C213" i="2" s="1"/>
  <c r="B205" i="2"/>
  <c r="C205" i="2" s="1"/>
  <c r="B197" i="2"/>
  <c r="C197" i="2" s="1"/>
  <c r="B189" i="2"/>
  <c r="C189" i="2" s="1"/>
  <c r="B181" i="2"/>
  <c r="C181" i="2" s="1"/>
  <c r="B173" i="2"/>
  <c r="C173" i="2" s="1"/>
  <c r="B396" i="2"/>
  <c r="C396" i="2" s="1"/>
  <c r="B388" i="2"/>
  <c r="C388" i="2" s="1"/>
  <c r="B380" i="2"/>
  <c r="C380" i="2" s="1"/>
  <c r="B372" i="2"/>
  <c r="C372" i="2" s="1"/>
  <c r="B364" i="2"/>
  <c r="C364" i="2" s="1"/>
  <c r="B395" i="2"/>
  <c r="C395" i="2" s="1"/>
  <c r="B387" i="2"/>
  <c r="C387" i="2" s="1"/>
  <c r="B379" i="2"/>
  <c r="C379" i="2" s="1"/>
  <c r="B371" i="2"/>
  <c r="C371" i="2" s="1"/>
  <c r="B363" i="2"/>
  <c r="C363" i="2" s="1"/>
  <c r="B355" i="2"/>
  <c r="C355" i="2" s="1"/>
  <c r="B347" i="2"/>
  <c r="C347" i="2" s="1"/>
  <c r="B339" i="2"/>
  <c r="C339" i="2" s="1"/>
  <c r="B331" i="2"/>
  <c r="C331" i="2" s="1"/>
  <c r="B323" i="2"/>
  <c r="C323" i="2" s="1"/>
  <c r="B315" i="2"/>
  <c r="C315" i="2" s="1"/>
  <c r="B307" i="2"/>
  <c r="C307" i="2" s="1"/>
  <c r="B299" i="2"/>
  <c r="C299" i="2" s="1"/>
  <c r="B291" i="2"/>
  <c r="C291" i="2" s="1"/>
  <c r="B283" i="2"/>
  <c r="C283" i="2" s="1"/>
  <c r="B275" i="2"/>
  <c r="C275" i="2" s="1"/>
  <c r="B267" i="2"/>
  <c r="C267" i="2" s="1"/>
  <c r="B259" i="2"/>
  <c r="C259" i="2" s="1"/>
  <c r="B251" i="2"/>
  <c r="C251" i="2" s="1"/>
  <c r="B243" i="2"/>
  <c r="C243" i="2" s="1"/>
  <c r="B394" i="2"/>
  <c r="C394" i="2" s="1"/>
  <c r="B386" i="2"/>
  <c r="C386" i="2" s="1"/>
  <c r="B378" i="2"/>
  <c r="C378" i="2" s="1"/>
  <c r="B370" i="2"/>
  <c r="C370" i="2" s="1"/>
  <c r="B362" i="2"/>
  <c r="C362" i="2" s="1"/>
  <c r="B393" i="2"/>
  <c r="C393" i="2" s="1"/>
  <c r="B385" i="2"/>
  <c r="C385" i="2" s="1"/>
  <c r="B377" i="2"/>
  <c r="C377" i="2" s="1"/>
  <c r="B369" i="2"/>
  <c r="C369" i="2" s="1"/>
  <c r="B361" i="2"/>
  <c r="C361" i="2" s="1"/>
  <c r="B353" i="2"/>
  <c r="C353" i="2" s="1"/>
  <c r="B345" i="2"/>
  <c r="C345" i="2" s="1"/>
  <c r="B337" i="2"/>
  <c r="C337" i="2" s="1"/>
  <c r="B329" i="2"/>
  <c r="C329" i="2" s="1"/>
  <c r="B321" i="2"/>
  <c r="C321" i="2" s="1"/>
  <c r="B313" i="2"/>
  <c r="C313" i="2" s="1"/>
  <c r="B305" i="2"/>
  <c r="C305" i="2" s="1"/>
  <c r="B297" i="2"/>
  <c r="C297" i="2" s="1"/>
  <c r="B289" i="2"/>
  <c r="C289" i="2" s="1"/>
  <c r="B281" i="2"/>
  <c r="C281" i="2" s="1"/>
  <c r="B273" i="2"/>
  <c r="C273" i="2" s="1"/>
  <c r="B265" i="2"/>
  <c r="C265" i="2" s="1"/>
  <c r="B257" i="2"/>
  <c r="C257" i="2" s="1"/>
  <c r="B249" i="2"/>
  <c r="C249" i="2" s="1"/>
  <c r="B241" i="2"/>
  <c r="C241" i="2" s="1"/>
  <c r="B233" i="2"/>
  <c r="C233" i="2" s="1"/>
  <c r="B225" i="2"/>
  <c r="C225" i="2" s="1"/>
  <c r="B217" i="2"/>
  <c r="C217" i="2" s="1"/>
  <c r="B209" i="2"/>
  <c r="C209" i="2" s="1"/>
  <c r="B201" i="2"/>
  <c r="C201" i="2" s="1"/>
  <c r="B193" i="2"/>
  <c r="C193" i="2" s="1"/>
  <c r="B185" i="2"/>
  <c r="C185" i="2" s="1"/>
  <c r="B177" i="2"/>
  <c r="C177" i="2" s="1"/>
  <c r="B169" i="2"/>
  <c r="C169" i="2" s="1"/>
  <c r="B346" i="2"/>
  <c r="C346" i="2" s="1"/>
  <c r="B334" i="2"/>
  <c r="C334" i="2" s="1"/>
  <c r="B320" i="2"/>
  <c r="C320" i="2" s="1"/>
  <c r="B308" i="2"/>
  <c r="C308" i="2" s="1"/>
  <c r="B295" i="2"/>
  <c r="C295" i="2" s="1"/>
  <c r="B282" i="2"/>
  <c r="C282" i="2" s="1"/>
  <c r="B270" i="2"/>
  <c r="C270" i="2" s="1"/>
  <c r="B256" i="2"/>
  <c r="C256" i="2" s="1"/>
  <c r="B244" i="2"/>
  <c r="C244" i="2" s="1"/>
  <c r="B220" i="2"/>
  <c r="C220" i="2" s="1"/>
  <c r="B208" i="2"/>
  <c r="C208" i="2" s="1"/>
  <c r="B174" i="2"/>
  <c r="C174" i="2" s="1"/>
  <c r="B163" i="2"/>
  <c r="C163" i="2" s="1"/>
  <c r="B359" i="2"/>
  <c r="C359" i="2" s="1"/>
  <c r="B196" i="2"/>
  <c r="C196" i="2" s="1"/>
  <c r="B184" i="2"/>
  <c r="C184" i="2" s="1"/>
  <c r="B162" i="2"/>
  <c r="C162" i="2" s="1"/>
  <c r="B153" i="2"/>
  <c r="C153" i="2" s="1"/>
  <c r="B145" i="2"/>
  <c r="C145" i="2" s="1"/>
  <c r="B137" i="2"/>
  <c r="C137" i="2" s="1"/>
  <c r="B129" i="2"/>
  <c r="C129" i="2" s="1"/>
  <c r="B121" i="2"/>
  <c r="C121" i="2" s="1"/>
  <c r="B113" i="2"/>
  <c r="C113" i="2" s="1"/>
  <c r="B105" i="2"/>
  <c r="C105" i="2" s="1"/>
  <c r="B97" i="2"/>
  <c r="C97" i="2" s="1"/>
  <c r="B89" i="2"/>
  <c r="C89" i="2" s="1"/>
  <c r="B81" i="2"/>
  <c r="C81" i="2" s="1"/>
  <c r="B73" i="2"/>
  <c r="C73" i="2" s="1"/>
  <c r="B65" i="2"/>
  <c r="C65" i="2" s="1"/>
  <c r="B57" i="2"/>
  <c r="C57" i="2" s="1"/>
  <c r="B49" i="2"/>
  <c r="C49" i="2" s="1"/>
  <c r="B41" i="2"/>
  <c r="C41" i="2" s="1"/>
  <c r="B33" i="2"/>
  <c r="C33" i="2" s="1"/>
  <c r="B25" i="2"/>
  <c r="C25" i="2" s="1"/>
  <c r="B17" i="2"/>
  <c r="C17" i="2" s="1"/>
  <c r="B9" i="2"/>
  <c r="C9" i="2" s="1"/>
  <c r="B356" i="2"/>
  <c r="C356" i="2" s="1"/>
  <c r="B182" i="2"/>
  <c r="C182" i="2" s="1"/>
  <c r="B151" i="2"/>
  <c r="C151" i="2" s="1"/>
  <c r="B119" i="2"/>
  <c r="C119" i="2" s="1"/>
  <c r="B95" i="2"/>
  <c r="C95" i="2" s="1"/>
  <c r="B71" i="2"/>
  <c r="C71" i="2" s="1"/>
  <c r="B47" i="2"/>
  <c r="C47" i="2" s="1"/>
  <c r="B23" i="2"/>
  <c r="C23" i="2" s="1"/>
  <c r="B222" i="2"/>
  <c r="C222" i="2" s="1"/>
  <c r="B198" i="2"/>
  <c r="C198" i="2" s="1"/>
  <c r="B138" i="2"/>
  <c r="C138" i="2" s="1"/>
  <c r="B82" i="2"/>
  <c r="C82" i="2" s="1"/>
  <c r="B42" i="2"/>
  <c r="C42" i="2" s="1"/>
  <c r="B231" i="2"/>
  <c r="C231" i="2" s="1"/>
  <c r="B216" i="2"/>
  <c r="C216" i="2" s="1"/>
  <c r="B143" i="2"/>
  <c r="C143" i="2" s="1"/>
  <c r="B135" i="2"/>
  <c r="C135" i="2" s="1"/>
  <c r="B111" i="2"/>
  <c r="C111" i="2" s="1"/>
  <c r="B103" i="2"/>
  <c r="C103" i="2" s="1"/>
  <c r="B79" i="2"/>
  <c r="C79" i="2" s="1"/>
  <c r="B63" i="2"/>
  <c r="C63" i="2" s="1"/>
  <c r="B39" i="2"/>
  <c r="C39" i="2" s="1"/>
  <c r="B15" i="2"/>
  <c r="C15" i="2" s="1"/>
  <c r="B336" i="2"/>
  <c r="C336" i="2" s="1"/>
  <c r="B223" i="2"/>
  <c r="C223" i="2" s="1"/>
  <c r="B310" i="2"/>
  <c r="C310" i="2" s="1"/>
  <c r="B271" i="2"/>
  <c r="C271" i="2" s="1"/>
  <c r="B187" i="2"/>
  <c r="C187" i="2" s="1"/>
  <c r="B186" i="2"/>
  <c r="C186" i="2" s="1"/>
  <c r="B154" i="2"/>
  <c r="C154" i="2" s="1"/>
  <c r="B130" i="2"/>
  <c r="C130" i="2" s="1"/>
  <c r="B98" i="2"/>
  <c r="C98" i="2" s="1"/>
  <c r="B90" i="2"/>
  <c r="C90" i="2" s="1"/>
  <c r="B66" i="2"/>
  <c r="C66" i="2" s="1"/>
  <c r="B50" i="2"/>
  <c r="C50" i="2" s="1"/>
  <c r="B18" i="2"/>
  <c r="C18" i="2" s="1"/>
  <c r="B344" i="2"/>
  <c r="C344" i="2" s="1"/>
  <c r="B332" i="2"/>
  <c r="C332" i="2" s="1"/>
  <c r="B319" i="2"/>
  <c r="C319" i="2" s="1"/>
  <c r="B306" i="2"/>
  <c r="C306" i="2" s="1"/>
  <c r="B294" i="2"/>
  <c r="C294" i="2" s="1"/>
  <c r="B280" i="2"/>
  <c r="C280" i="2" s="1"/>
  <c r="B268" i="2"/>
  <c r="C268" i="2" s="1"/>
  <c r="B255" i="2"/>
  <c r="C255" i="2" s="1"/>
  <c r="B242" i="2"/>
  <c r="C242" i="2" s="1"/>
  <c r="B219" i="2"/>
  <c r="C219" i="2" s="1"/>
  <c r="B207" i="2"/>
  <c r="C207" i="2" s="1"/>
  <c r="B172" i="2"/>
  <c r="C172" i="2" s="1"/>
  <c r="B161" i="2"/>
  <c r="C161" i="2" s="1"/>
  <c r="B358" i="2"/>
  <c r="C358" i="2" s="1"/>
  <c r="B230" i="2"/>
  <c r="C230" i="2" s="1"/>
  <c r="B218" i="2"/>
  <c r="C218" i="2" s="1"/>
  <c r="B195" i="2"/>
  <c r="C195" i="2" s="1"/>
  <c r="B183" i="2"/>
  <c r="C183" i="2" s="1"/>
  <c r="B152" i="2"/>
  <c r="C152" i="2" s="1"/>
  <c r="B144" i="2"/>
  <c r="C144" i="2" s="1"/>
  <c r="B136" i="2"/>
  <c r="C136" i="2" s="1"/>
  <c r="B128" i="2"/>
  <c r="C128" i="2" s="1"/>
  <c r="B120" i="2"/>
  <c r="C120" i="2" s="1"/>
  <c r="B112" i="2"/>
  <c r="C112" i="2" s="1"/>
  <c r="B104" i="2"/>
  <c r="C104" i="2" s="1"/>
  <c r="B96" i="2"/>
  <c r="C96" i="2" s="1"/>
  <c r="B88" i="2"/>
  <c r="C88" i="2" s="1"/>
  <c r="B80" i="2"/>
  <c r="C80" i="2" s="1"/>
  <c r="B72" i="2"/>
  <c r="C72" i="2" s="1"/>
  <c r="B64" i="2"/>
  <c r="C64" i="2" s="1"/>
  <c r="B56" i="2"/>
  <c r="C56" i="2" s="1"/>
  <c r="B48" i="2"/>
  <c r="C48" i="2" s="1"/>
  <c r="B40" i="2"/>
  <c r="C40" i="2" s="1"/>
  <c r="B32" i="2"/>
  <c r="C32" i="2" s="1"/>
  <c r="B24" i="2"/>
  <c r="C24" i="2" s="1"/>
  <c r="B16" i="2"/>
  <c r="C16" i="2" s="1"/>
  <c r="B8" i="2"/>
  <c r="C8" i="2" s="1"/>
  <c r="B228" i="2"/>
  <c r="C228" i="2" s="1"/>
  <c r="B170" i="2"/>
  <c r="C170" i="2" s="1"/>
  <c r="B127" i="2"/>
  <c r="C127" i="2" s="1"/>
  <c r="B87" i="2"/>
  <c r="C87" i="2" s="1"/>
  <c r="B55" i="2"/>
  <c r="C55" i="2" s="1"/>
  <c r="B31" i="2"/>
  <c r="C31" i="2" s="1"/>
  <c r="B7" i="2"/>
  <c r="C7" i="2" s="1"/>
  <c r="B324" i="2"/>
  <c r="C324" i="2" s="1"/>
  <c r="B335" i="2"/>
  <c r="C335" i="2" s="1"/>
  <c r="B258" i="2"/>
  <c r="C258" i="2" s="1"/>
  <c r="B360" i="2"/>
  <c r="C360" i="2" s="1"/>
  <c r="B122" i="2"/>
  <c r="C122" i="2" s="1"/>
  <c r="B26" i="2"/>
  <c r="C26" i="2" s="1"/>
  <c r="B343" i="2"/>
  <c r="C343" i="2" s="1"/>
  <c r="B330" i="2"/>
  <c r="C330" i="2" s="1"/>
  <c r="B318" i="2"/>
  <c r="C318" i="2" s="1"/>
  <c r="B304" i="2"/>
  <c r="C304" i="2" s="1"/>
  <c r="B292" i="2"/>
  <c r="C292" i="2" s="1"/>
  <c r="B279" i="2"/>
  <c r="C279" i="2" s="1"/>
  <c r="B266" i="2"/>
  <c r="C266" i="2" s="1"/>
  <c r="B254" i="2"/>
  <c r="C254" i="2" s="1"/>
  <c r="B240" i="2"/>
  <c r="C240" i="2" s="1"/>
  <c r="B206" i="2"/>
  <c r="C206" i="2" s="1"/>
  <c r="B194" i="2"/>
  <c r="C194" i="2" s="1"/>
  <c r="B171" i="2"/>
  <c r="C171" i="2" s="1"/>
  <c r="B160" i="2"/>
  <c r="C160" i="2" s="1"/>
  <c r="B298" i="2"/>
  <c r="C298" i="2" s="1"/>
  <c r="B354" i="2"/>
  <c r="C354" i="2" s="1"/>
  <c r="B342" i="2"/>
  <c r="C342" i="2" s="1"/>
  <c r="B328" i="2"/>
  <c r="C328" i="2" s="1"/>
  <c r="B316" i="2"/>
  <c r="C316" i="2" s="1"/>
  <c r="B303" i="2"/>
  <c r="C303" i="2" s="1"/>
  <c r="B290" i="2"/>
  <c r="C290" i="2" s="1"/>
  <c r="B278" i="2"/>
  <c r="C278" i="2" s="1"/>
  <c r="B264" i="2"/>
  <c r="C264" i="2" s="1"/>
  <c r="B252" i="2"/>
  <c r="C252" i="2" s="1"/>
  <c r="B239" i="2"/>
  <c r="C239" i="2" s="1"/>
  <c r="B204" i="2"/>
  <c r="C204" i="2" s="1"/>
  <c r="B192" i="2"/>
  <c r="C192" i="2" s="1"/>
  <c r="B159" i="2"/>
  <c r="C159" i="2" s="1"/>
  <c r="B311" i="2"/>
  <c r="C311" i="2" s="1"/>
  <c r="B146" i="2"/>
  <c r="C146" i="2" s="1"/>
  <c r="B227" i="2"/>
  <c r="C227" i="2" s="1"/>
  <c r="B215" i="2"/>
  <c r="C215" i="2" s="1"/>
  <c r="B180" i="2"/>
  <c r="C180" i="2" s="1"/>
  <c r="B168" i="2"/>
  <c r="C168" i="2" s="1"/>
  <c r="B150" i="2"/>
  <c r="C150" i="2" s="1"/>
  <c r="B142" i="2"/>
  <c r="C142" i="2" s="1"/>
  <c r="B134" i="2"/>
  <c r="C134" i="2" s="1"/>
  <c r="B126" i="2"/>
  <c r="C126" i="2" s="1"/>
  <c r="B118" i="2"/>
  <c r="C118" i="2" s="1"/>
  <c r="B110" i="2"/>
  <c r="C110" i="2" s="1"/>
  <c r="B102" i="2"/>
  <c r="C102" i="2" s="1"/>
  <c r="B94" i="2"/>
  <c r="C94" i="2" s="1"/>
  <c r="B86" i="2"/>
  <c r="C86" i="2" s="1"/>
  <c r="B78" i="2"/>
  <c r="C78" i="2" s="1"/>
  <c r="B70" i="2"/>
  <c r="C70" i="2" s="1"/>
  <c r="B62" i="2"/>
  <c r="C62" i="2" s="1"/>
  <c r="B54" i="2"/>
  <c r="C54" i="2" s="1"/>
  <c r="B46" i="2"/>
  <c r="C46" i="2" s="1"/>
  <c r="B38" i="2"/>
  <c r="C38" i="2" s="1"/>
  <c r="B30" i="2"/>
  <c r="C30" i="2" s="1"/>
  <c r="B22" i="2"/>
  <c r="C22" i="2" s="1"/>
  <c r="B14" i="2"/>
  <c r="C14" i="2" s="1"/>
  <c r="B6" i="2"/>
  <c r="C6" i="2" s="1"/>
  <c r="B352" i="2"/>
  <c r="C352" i="2" s="1"/>
  <c r="B340" i="2"/>
  <c r="C340" i="2" s="1"/>
  <c r="B327" i="2"/>
  <c r="C327" i="2" s="1"/>
  <c r="B314" i="2"/>
  <c r="C314" i="2" s="1"/>
  <c r="B302" i="2"/>
  <c r="C302" i="2" s="1"/>
  <c r="B288" i="2"/>
  <c r="C288" i="2" s="1"/>
  <c r="B276" i="2"/>
  <c r="C276" i="2" s="1"/>
  <c r="B263" i="2"/>
  <c r="C263" i="2" s="1"/>
  <c r="B250" i="2"/>
  <c r="C250" i="2" s="1"/>
  <c r="B238" i="2"/>
  <c r="C238" i="2" s="1"/>
  <c r="B226" i="2"/>
  <c r="C226" i="2" s="1"/>
  <c r="B203" i="2"/>
  <c r="C203" i="2" s="1"/>
  <c r="B191" i="2"/>
  <c r="C191" i="2" s="1"/>
  <c r="B158" i="2"/>
  <c r="C158" i="2" s="1"/>
  <c r="B350" i="2"/>
  <c r="C350" i="2" s="1"/>
  <c r="B176" i="2"/>
  <c r="C176" i="2" s="1"/>
  <c r="B322" i="2"/>
  <c r="C322" i="2" s="1"/>
  <c r="B284" i="2"/>
  <c r="C284" i="2" s="1"/>
  <c r="B210" i="2"/>
  <c r="C210" i="2" s="1"/>
  <c r="B164" i="2"/>
  <c r="C164" i="2" s="1"/>
  <c r="B232" i="2"/>
  <c r="C232" i="2" s="1"/>
  <c r="B114" i="2"/>
  <c r="C114" i="2" s="1"/>
  <c r="B74" i="2"/>
  <c r="C74" i="2" s="1"/>
  <c r="B34" i="2"/>
  <c r="C34" i="2" s="1"/>
  <c r="B214" i="2"/>
  <c r="C214" i="2" s="1"/>
  <c r="B202" i="2"/>
  <c r="C202" i="2" s="1"/>
  <c r="B179" i="2"/>
  <c r="C179" i="2" s="1"/>
  <c r="B167" i="2"/>
  <c r="C167" i="2" s="1"/>
  <c r="B149" i="2"/>
  <c r="C149" i="2" s="1"/>
  <c r="B141" i="2"/>
  <c r="C141" i="2" s="1"/>
  <c r="B133" i="2"/>
  <c r="C133" i="2" s="1"/>
  <c r="B125" i="2"/>
  <c r="C125" i="2" s="1"/>
  <c r="B117" i="2"/>
  <c r="C117" i="2" s="1"/>
  <c r="B109" i="2"/>
  <c r="C109" i="2" s="1"/>
  <c r="B101" i="2"/>
  <c r="C101" i="2" s="1"/>
  <c r="B93" i="2"/>
  <c r="C93" i="2" s="1"/>
  <c r="B85" i="2"/>
  <c r="C85" i="2" s="1"/>
  <c r="B77" i="2"/>
  <c r="C77" i="2" s="1"/>
  <c r="B69" i="2"/>
  <c r="C69" i="2" s="1"/>
  <c r="B61" i="2"/>
  <c r="C61" i="2" s="1"/>
  <c r="B53" i="2"/>
  <c r="C53" i="2" s="1"/>
  <c r="B45" i="2"/>
  <c r="C45" i="2" s="1"/>
  <c r="B37" i="2"/>
  <c r="C37" i="2" s="1"/>
  <c r="B29" i="2"/>
  <c r="C29" i="2" s="1"/>
  <c r="B21" i="2"/>
  <c r="C21" i="2" s="1"/>
  <c r="B13" i="2"/>
  <c r="C13" i="2" s="1"/>
  <c r="B5" i="2"/>
  <c r="C5" i="2" s="1"/>
  <c r="B3" i="2"/>
  <c r="C3" i="2" s="1"/>
  <c r="B392" i="2"/>
  <c r="C392" i="2" s="1"/>
  <c r="B351" i="2"/>
  <c r="C351" i="2" s="1"/>
  <c r="B338" i="2"/>
  <c r="C338" i="2" s="1"/>
  <c r="B326" i="2"/>
  <c r="C326" i="2" s="1"/>
  <c r="B312" i="2"/>
  <c r="C312" i="2" s="1"/>
  <c r="B300" i="2"/>
  <c r="C300" i="2" s="1"/>
  <c r="B287" i="2"/>
  <c r="C287" i="2" s="1"/>
  <c r="B274" i="2"/>
  <c r="C274" i="2" s="1"/>
  <c r="B262" i="2"/>
  <c r="C262" i="2" s="1"/>
  <c r="B248" i="2"/>
  <c r="C248" i="2" s="1"/>
  <c r="B236" i="2"/>
  <c r="C236" i="2" s="1"/>
  <c r="B224" i="2"/>
  <c r="C224" i="2" s="1"/>
  <c r="B190" i="2"/>
  <c r="C190" i="2" s="1"/>
  <c r="B178" i="2"/>
  <c r="C178" i="2" s="1"/>
  <c r="B157" i="2"/>
  <c r="C157" i="2" s="1"/>
  <c r="B384" i="2"/>
  <c r="C384" i="2" s="1"/>
  <c r="B212" i="2"/>
  <c r="C212" i="2" s="1"/>
  <c r="B200" i="2"/>
  <c r="C200" i="2" s="1"/>
  <c r="B166" i="2"/>
  <c r="C166" i="2" s="1"/>
  <c r="B156" i="2"/>
  <c r="C156" i="2" s="1"/>
  <c r="B148" i="2"/>
  <c r="C148" i="2" s="1"/>
  <c r="B140" i="2"/>
  <c r="C140" i="2" s="1"/>
  <c r="B132" i="2"/>
  <c r="C132" i="2" s="1"/>
  <c r="B124" i="2"/>
  <c r="C124" i="2" s="1"/>
  <c r="B116" i="2"/>
  <c r="C116" i="2" s="1"/>
  <c r="B108" i="2"/>
  <c r="C108" i="2" s="1"/>
  <c r="B100" i="2"/>
  <c r="C100" i="2" s="1"/>
  <c r="B92" i="2"/>
  <c r="C92" i="2" s="1"/>
  <c r="B84" i="2"/>
  <c r="C84" i="2" s="1"/>
  <c r="B76" i="2"/>
  <c r="C76" i="2" s="1"/>
  <c r="B68" i="2"/>
  <c r="C68" i="2" s="1"/>
  <c r="B60" i="2"/>
  <c r="C60" i="2" s="1"/>
  <c r="B52" i="2"/>
  <c r="C52" i="2" s="1"/>
  <c r="B44" i="2"/>
  <c r="C44" i="2" s="1"/>
  <c r="B36" i="2"/>
  <c r="C36" i="2" s="1"/>
  <c r="B28" i="2"/>
  <c r="C28" i="2" s="1"/>
  <c r="B20" i="2"/>
  <c r="C20" i="2" s="1"/>
  <c r="B12" i="2"/>
  <c r="C12" i="2" s="1"/>
  <c r="B4" i="2"/>
  <c r="C4" i="2" s="1"/>
  <c r="B2" i="2"/>
  <c r="C2" i="2" s="1"/>
  <c r="B376" i="2"/>
  <c r="C376" i="2" s="1"/>
  <c r="B260" i="2"/>
  <c r="C260" i="2" s="1"/>
  <c r="B235" i="2"/>
  <c r="C235" i="2" s="1"/>
  <c r="B188" i="2"/>
  <c r="C188" i="2" s="1"/>
  <c r="B348" i="2"/>
  <c r="C348" i="2" s="1"/>
  <c r="B296" i="2"/>
  <c r="C296" i="2" s="1"/>
  <c r="B246" i="2"/>
  <c r="C246" i="2" s="1"/>
  <c r="B175" i="2"/>
  <c r="C175" i="2" s="1"/>
  <c r="B106" i="2"/>
  <c r="C106" i="2" s="1"/>
  <c r="B58" i="2"/>
  <c r="C58" i="2" s="1"/>
  <c r="B10" i="2"/>
  <c r="C10" i="2" s="1"/>
  <c r="B286" i="2"/>
  <c r="C286" i="2" s="1"/>
  <c r="B272" i="2"/>
  <c r="C272" i="2" s="1"/>
  <c r="B247" i="2"/>
  <c r="C247" i="2" s="1"/>
  <c r="B368" i="2"/>
  <c r="C368" i="2" s="1"/>
  <c r="B234" i="2"/>
  <c r="C234" i="2" s="1"/>
  <c r="B211" i="2"/>
  <c r="C211" i="2" s="1"/>
  <c r="B199" i="2"/>
  <c r="C199" i="2" s="1"/>
  <c r="B165" i="2"/>
  <c r="C165" i="2" s="1"/>
  <c r="B155" i="2"/>
  <c r="C155" i="2" s="1"/>
  <c r="B147" i="2"/>
  <c r="C147" i="2" s="1"/>
  <c r="B139" i="2"/>
  <c r="C139" i="2" s="1"/>
  <c r="B131" i="2"/>
  <c r="C131" i="2" s="1"/>
  <c r="B123" i="2"/>
  <c r="C123" i="2" s="1"/>
  <c r="B115" i="2"/>
  <c r="C115" i="2" s="1"/>
  <c r="B107" i="2"/>
  <c r="C107" i="2" s="1"/>
  <c r="B99" i="2"/>
  <c r="C99" i="2" s="1"/>
  <c r="B91" i="2"/>
  <c r="C91" i="2" s="1"/>
  <c r="B83" i="2"/>
  <c r="C83" i="2" s="1"/>
  <c r="B75" i="2"/>
  <c r="C75" i="2" s="1"/>
  <c r="B67" i="2"/>
  <c r="C67" i="2" s="1"/>
  <c r="B59" i="2"/>
  <c r="C59" i="2" s="1"/>
  <c r="B51" i="2"/>
  <c r="C51" i="2" s="1"/>
  <c r="B43" i="2"/>
  <c r="C43" i="2" s="1"/>
  <c r="B35" i="2"/>
  <c r="C35" i="2" s="1"/>
  <c r="B27" i="2"/>
  <c r="C27" i="2" s="1"/>
  <c r="B19" i="2"/>
  <c r="C19" i="2" s="1"/>
  <c r="B11" i="2"/>
  <c r="C11" i="2" s="1"/>
  <c r="J3" i="2"/>
  <c r="K3" i="2" s="1"/>
  <c r="C2" i="5"/>
  <c r="D2" i="5" s="1"/>
  <c r="C6" i="5"/>
  <c r="D6" i="5" s="1"/>
  <c r="E16" i="5"/>
  <c r="C22" i="5"/>
  <c r="D22" i="5" s="1"/>
  <c r="E32" i="5"/>
  <c r="C38" i="5"/>
  <c r="D38" i="5" s="1"/>
  <c r="E48" i="5"/>
  <c r="C54" i="5"/>
  <c r="D54" i="5" s="1"/>
  <c r="E64" i="5"/>
  <c r="C70" i="5"/>
  <c r="D70" i="5" s="1"/>
  <c r="E80" i="5"/>
  <c r="C86" i="5"/>
  <c r="D86" i="5" s="1"/>
  <c r="E96" i="5"/>
  <c r="C102" i="5"/>
  <c r="D102" i="5" s="1"/>
  <c r="E112" i="5"/>
  <c r="C118" i="5"/>
  <c r="D118" i="5" s="1"/>
  <c r="E128" i="5"/>
  <c r="C134" i="5"/>
  <c r="D134" i="5" s="1"/>
  <c r="E144" i="5"/>
  <c r="C150" i="5"/>
  <c r="D150" i="5" s="1"/>
  <c r="E160" i="5"/>
  <c r="C166" i="5"/>
  <c r="D166" i="5" s="1"/>
  <c r="E176" i="5"/>
  <c r="C182" i="5"/>
  <c r="D182" i="5" s="1"/>
  <c r="E192" i="5"/>
  <c r="C198" i="5"/>
  <c r="D198" i="5" s="1"/>
  <c r="E208" i="5"/>
  <c r="C214" i="5"/>
  <c r="D214" i="5" s="1"/>
  <c r="E224" i="5"/>
  <c r="C230" i="5"/>
  <c r="D230" i="5" s="1"/>
  <c r="E240" i="5"/>
  <c r="C246" i="5"/>
  <c r="D246" i="5" s="1"/>
  <c r="E256" i="5"/>
  <c r="C262" i="5"/>
  <c r="D262" i="5" s="1"/>
  <c r="E272" i="5"/>
  <c r="C278" i="5"/>
  <c r="D278" i="5" s="1"/>
  <c r="E288" i="5"/>
  <c r="C294" i="5"/>
  <c r="D294" i="5" s="1"/>
  <c r="E304" i="5"/>
  <c r="C310" i="5"/>
  <c r="D310" i="5" s="1"/>
  <c r="E320" i="5"/>
  <c r="C326" i="5"/>
  <c r="D326" i="5" s="1"/>
  <c r="E336" i="5"/>
  <c r="C342" i="5"/>
  <c r="D342" i="5" s="1"/>
  <c r="E352" i="5"/>
  <c r="C358" i="5"/>
  <c r="D358" i="5" s="1"/>
  <c r="E368" i="5"/>
  <c r="C374" i="5"/>
  <c r="D374" i="5" s="1"/>
  <c r="E384" i="5"/>
  <c r="C390" i="5"/>
  <c r="D390" i="5" s="1"/>
  <c r="E11" i="5"/>
  <c r="C17" i="5"/>
  <c r="D17" i="5" s="1"/>
  <c r="E27" i="5"/>
  <c r="C33" i="5"/>
  <c r="D33" i="5" s="1"/>
  <c r="E43" i="5"/>
  <c r="C49" i="5"/>
  <c r="D49" i="5" s="1"/>
  <c r="E59" i="5"/>
  <c r="C65" i="5"/>
  <c r="D65" i="5" s="1"/>
  <c r="E75" i="5"/>
  <c r="C81" i="5"/>
  <c r="D81" i="5" s="1"/>
  <c r="E91" i="5"/>
  <c r="C97" i="5"/>
  <c r="D97" i="5" s="1"/>
  <c r="E107" i="5"/>
  <c r="C113" i="5"/>
  <c r="D113" i="5" s="1"/>
  <c r="E123" i="5"/>
  <c r="C129" i="5"/>
  <c r="D129" i="5" s="1"/>
  <c r="E139" i="5"/>
  <c r="C145" i="5"/>
  <c r="D145" i="5" s="1"/>
  <c r="E155" i="5"/>
  <c r="C161" i="5"/>
  <c r="D161" i="5" s="1"/>
  <c r="E171" i="5"/>
  <c r="C177" i="5"/>
  <c r="D177" i="5" s="1"/>
  <c r="E187" i="5"/>
  <c r="C193" i="5"/>
  <c r="D193" i="5" s="1"/>
  <c r="E203" i="5"/>
  <c r="C209" i="5"/>
  <c r="D209" i="5" s="1"/>
  <c r="E219" i="5"/>
  <c r="C225" i="5"/>
  <c r="D225" i="5" s="1"/>
  <c r="E235" i="5"/>
  <c r="C241" i="5"/>
  <c r="D241" i="5" s="1"/>
  <c r="E251" i="5"/>
  <c r="C257" i="5"/>
  <c r="D257" i="5" s="1"/>
  <c r="E267" i="5"/>
  <c r="C273" i="5"/>
  <c r="D273" i="5" s="1"/>
  <c r="E283" i="5"/>
  <c r="C289" i="5"/>
  <c r="D289" i="5" s="1"/>
  <c r="E299" i="5"/>
  <c r="C305" i="5"/>
  <c r="D305" i="5" s="1"/>
  <c r="E315" i="5"/>
  <c r="C321" i="5"/>
  <c r="D321" i="5" s="1"/>
  <c r="E331" i="5"/>
  <c r="C337" i="5"/>
  <c r="D337" i="5" s="1"/>
  <c r="E347" i="5"/>
  <c r="C353" i="5"/>
  <c r="D353" i="5" s="1"/>
  <c r="E363" i="5"/>
  <c r="C369" i="5"/>
  <c r="D369" i="5" s="1"/>
  <c r="E379" i="5"/>
  <c r="C385" i="5"/>
  <c r="D385" i="5" s="1"/>
  <c r="E395" i="5"/>
  <c r="E2" i="5"/>
  <c r="E6" i="5"/>
  <c r="C12" i="5"/>
  <c r="D12" i="5" s="1"/>
  <c r="E22" i="5"/>
  <c r="C28" i="5"/>
  <c r="D28" i="5" s="1"/>
  <c r="E38" i="5"/>
  <c r="C44" i="5"/>
  <c r="D44" i="5" s="1"/>
  <c r="E54" i="5"/>
  <c r="C60" i="5"/>
  <c r="D60" i="5" s="1"/>
  <c r="E70" i="5"/>
  <c r="C76" i="5"/>
  <c r="D76" i="5" s="1"/>
  <c r="E86" i="5"/>
  <c r="C92" i="5"/>
  <c r="D92" i="5" s="1"/>
  <c r="E102" i="5"/>
  <c r="C108" i="5"/>
  <c r="D108" i="5" s="1"/>
  <c r="E118" i="5"/>
  <c r="C124" i="5"/>
  <c r="D124" i="5" s="1"/>
  <c r="E134" i="5"/>
  <c r="C140" i="5"/>
  <c r="D140" i="5" s="1"/>
  <c r="E150" i="5"/>
  <c r="C156" i="5"/>
  <c r="D156" i="5" s="1"/>
  <c r="E166" i="5"/>
  <c r="C172" i="5"/>
  <c r="D172" i="5" s="1"/>
  <c r="E182" i="5"/>
  <c r="C188" i="5"/>
  <c r="D188" i="5" s="1"/>
  <c r="E198" i="5"/>
  <c r="C204" i="5"/>
  <c r="D204" i="5" s="1"/>
  <c r="E214" i="5"/>
  <c r="C220" i="5"/>
  <c r="D220" i="5" s="1"/>
  <c r="E230" i="5"/>
  <c r="C236" i="5"/>
  <c r="D236" i="5" s="1"/>
  <c r="E246" i="5"/>
  <c r="C252" i="5"/>
  <c r="D252" i="5" s="1"/>
  <c r="E262" i="5"/>
  <c r="C268" i="5"/>
  <c r="D268" i="5" s="1"/>
  <c r="E278" i="5"/>
  <c r="C284" i="5"/>
  <c r="D284" i="5" s="1"/>
  <c r="E294" i="5"/>
  <c r="C300" i="5"/>
  <c r="D300" i="5" s="1"/>
  <c r="E310" i="5"/>
  <c r="C316" i="5"/>
  <c r="D316" i="5" s="1"/>
  <c r="E326" i="5"/>
  <c r="C332" i="5"/>
  <c r="D332" i="5" s="1"/>
  <c r="E342" i="5"/>
  <c r="C348" i="5"/>
  <c r="D348" i="5" s="1"/>
  <c r="E358" i="5"/>
  <c r="C364" i="5"/>
  <c r="D364" i="5" s="1"/>
  <c r="E374" i="5"/>
  <c r="C380" i="5"/>
  <c r="D380" i="5" s="1"/>
  <c r="E390" i="5"/>
  <c r="C396" i="5"/>
  <c r="D396" i="5" s="1"/>
  <c r="C3" i="5"/>
  <c r="D3" i="5" s="1"/>
  <c r="C7" i="5"/>
  <c r="D7" i="5" s="1"/>
  <c r="C23" i="5"/>
  <c r="D23" i="5" s="1"/>
  <c r="C39" i="5"/>
  <c r="D39" i="5" s="1"/>
  <c r="C55" i="5"/>
  <c r="D55" i="5" s="1"/>
  <c r="C71" i="5"/>
  <c r="D71" i="5" s="1"/>
  <c r="C87" i="5"/>
  <c r="D87" i="5" s="1"/>
  <c r="C103" i="5"/>
  <c r="D103" i="5" s="1"/>
  <c r="C119" i="5"/>
  <c r="D119" i="5" s="1"/>
  <c r="C135" i="5"/>
  <c r="D135" i="5" s="1"/>
  <c r="C151" i="5"/>
  <c r="D151" i="5" s="1"/>
  <c r="C167" i="5"/>
  <c r="D167" i="5" s="1"/>
  <c r="C183" i="5"/>
  <c r="D183" i="5" s="1"/>
  <c r="C199" i="5"/>
  <c r="D199" i="5" s="1"/>
  <c r="C215" i="5"/>
  <c r="D215" i="5" s="1"/>
  <c r="C231" i="5"/>
  <c r="D231" i="5" s="1"/>
  <c r="C247" i="5"/>
  <c r="D247" i="5" s="1"/>
  <c r="C263" i="5"/>
  <c r="D263" i="5" s="1"/>
  <c r="C279" i="5"/>
  <c r="D279" i="5" s="1"/>
  <c r="C295" i="5"/>
  <c r="D295" i="5" s="1"/>
  <c r="C311" i="5"/>
  <c r="D311" i="5" s="1"/>
  <c r="C327" i="5"/>
  <c r="D327" i="5" s="1"/>
  <c r="C343" i="5"/>
  <c r="D343" i="5" s="1"/>
  <c r="C359" i="5"/>
  <c r="D359" i="5" s="1"/>
  <c r="C375" i="5"/>
  <c r="D375" i="5" s="1"/>
  <c r="C391" i="5"/>
  <c r="D391" i="5" s="1"/>
  <c r="C18" i="5"/>
  <c r="D18" i="5" s="1"/>
  <c r="C34" i="5"/>
  <c r="D34" i="5" s="1"/>
  <c r="C50" i="5"/>
  <c r="D50" i="5" s="1"/>
  <c r="C66" i="5"/>
  <c r="D66" i="5" s="1"/>
  <c r="C82" i="5"/>
  <c r="D82" i="5" s="1"/>
  <c r="C98" i="5"/>
  <c r="D98" i="5" s="1"/>
  <c r="C114" i="5"/>
  <c r="D114" i="5" s="1"/>
  <c r="C130" i="5"/>
  <c r="D130" i="5" s="1"/>
  <c r="C146" i="5"/>
  <c r="D146" i="5" s="1"/>
  <c r="C162" i="5"/>
  <c r="D162" i="5" s="1"/>
  <c r="C178" i="5"/>
  <c r="D178" i="5" s="1"/>
  <c r="C194" i="5"/>
  <c r="D194" i="5" s="1"/>
  <c r="C210" i="5"/>
  <c r="D210" i="5" s="1"/>
  <c r="C226" i="5"/>
  <c r="D226" i="5" s="1"/>
  <c r="C242" i="5"/>
  <c r="D242" i="5" s="1"/>
  <c r="C258" i="5"/>
  <c r="D258" i="5" s="1"/>
  <c r="C274" i="5"/>
  <c r="D274" i="5" s="1"/>
  <c r="C290" i="5"/>
  <c r="D290" i="5" s="1"/>
  <c r="C306" i="5"/>
  <c r="D306" i="5" s="1"/>
  <c r="C322" i="5"/>
  <c r="D322" i="5" s="1"/>
  <c r="C338" i="5"/>
  <c r="D338" i="5" s="1"/>
  <c r="C354" i="5"/>
  <c r="D354" i="5" s="1"/>
  <c r="C370" i="5"/>
  <c r="D370" i="5" s="1"/>
  <c r="C386" i="5"/>
  <c r="D386" i="5" s="1"/>
  <c r="E3" i="5"/>
  <c r="E7" i="5"/>
  <c r="C13" i="5"/>
  <c r="D13" i="5" s="1"/>
  <c r="E23" i="5"/>
  <c r="C29" i="5"/>
  <c r="D29" i="5" s="1"/>
  <c r="E39" i="5"/>
  <c r="C45" i="5"/>
  <c r="D45" i="5" s="1"/>
  <c r="E55" i="5"/>
  <c r="C61" i="5"/>
  <c r="D61" i="5" s="1"/>
  <c r="E71" i="5"/>
  <c r="C77" i="5"/>
  <c r="D77" i="5" s="1"/>
  <c r="E87" i="5"/>
  <c r="C93" i="5"/>
  <c r="D93" i="5" s="1"/>
  <c r="E103" i="5"/>
  <c r="C109" i="5"/>
  <c r="D109" i="5" s="1"/>
  <c r="E119" i="5"/>
  <c r="C125" i="5"/>
  <c r="D125" i="5" s="1"/>
  <c r="E135" i="5"/>
  <c r="C141" i="5"/>
  <c r="D141" i="5" s="1"/>
  <c r="E151" i="5"/>
  <c r="C157" i="5"/>
  <c r="D157" i="5" s="1"/>
  <c r="E167" i="5"/>
  <c r="C173" i="5"/>
  <c r="D173" i="5" s="1"/>
  <c r="E183" i="5"/>
  <c r="C189" i="5"/>
  <c r="D189" i="5" s="1"/>
  <c r="E199" i="5"/>
  <c r="C205" i="5"/>
  <c r="D205" i="5" s="1"/>
  <c r="E215" i="5"/>
  <c r="C221" i="5"/>
  <c r="D221" i="5" s="1"/>
  <c r="E231" i="5"/>
  <c r="C237" i="5"/>
  <c r="D237" i="5" s="1"/>
  <c r="E247" i="5"/>
  <c r="C253" i="5"/>
  <c r="D253" i="5" s="1"/>
  <c r="E263" i="5"/>
  <c r="C269" i="5"/>
  <c r="D269" i="5" s="1"/>
  <c r="E279" i="5"/>
  <c r="C285" i="5"/>
  <c r="D285" i="5" s="1"/>
  <c r="E295" i="5"/>
  <c r="C301" i="5"/>
  <c r="D301" i="5" s="1"/>
  <c r="E311" i="5"/>
  <c r="C317" i="5"/>
  <c r="D317" i="5" s="1"/>
  <c r="E327" i="5"/>
  <c r="C333" i="5"/>
  <c r="D333" i="5" s="1"/>
  <c r="E343" i="5"/>
  <c r="C349" i="5"/>
  <c r="D349" i="5" s="1"/>
  <c r="E359" i="5"/>
  <c r="C365" i="5"/>
  <c r="D365" i="5" s="1"/>
  <c r="E375" i="5"/>
  <c r="C381" i="5"/>
  <c r="D381" i="5" s="1"/>
  <c r="E391" i="5"/>
  <c r="C397" i="5"/>
  <c r="D397" i="5" s="1"/>
  <c r="C8" i="5"/>
  <c r="D8" i="5" s="1"/>
  <c r="C24" i="5"/>
  <c r="D24" i="5" s="1"/>
  <c r="C40" i="5"/>
  <c r="D40" i="5" s="1"/>
  <c r="C56" i="5"/>
  <c r="D56" i="5" s="1"/>
  <c r="C72" i="5"/>
  <c r="D72" i="5" s="1"/>
  <c r="C88" i="5"/>
  <c r="D88" i="5" s="1"/>
  <c r="C104" i="5"/>
  <c r="D104" i="5" s="1"/>
  <c r="C120" i="5"/>
  <c r="D120" i="5" s="1"/>
  <c r="C136" i="5"/>
  <c r="D136" i="5" s="1"/>
  <c r="C152" i="5"/>
  <c r="D152" i="5" s="1"/>
  <c r="C168" i="5"/>
  <c r="D168" i="5" s="1"/>
  <c r="C184" i="5"/>
  <c r="D184" i="5" s="1"/>
  <c r="C200" i="5"/>
  <c r="D200" i="5" s="1"/>
  <c r="C216" i="5"/>
  <c r="D216" i="5" s="1"/>
  <c r="C232" i="5"/>
  <c r="D232" i="5" s="1"/>
  <c r="C248" i="5"/>
  <c r="D248" i="5" s="1"/>
  <c r="C264" i="5"/>
  <c r="D264" i="5" s="1"/>
  <c r="C280" i="5"/>
  <c r="D280" i="5" s="1"/>
  <c r="C296" i="5"/>
  <c r="D296" i="5" s="1"/>
  <c r="C312" i="5"/>
  <c r="D312" i="5" s="1"/>
  <c r="C328" i="5"/>
  <c r="D328" i="5" s="1"/>
  <c r="C344" i="5"/>
  <c r="D344" i="5" s="1"/>
  <c r="C360" i="5"/>
  <c r="D360" i="5" s="1"/>
  <c r="C376" i="5"/>
  <c r="D376" i="5" s="1"/>
  <c r="C392" i="5"/>
  <c r="D392" i="5" s="1"/>
  <c r="C19" i="5"/>
  <c r="D19" i="5" s="1"/>
  <c r="C35" i="5"/>
  <c r="D35" i="5" s="1"/>
  <c r="C51" i="5"/>
  <c r="D51" i="5" s="1"/>
  <c r="C67" i="5"/>
  <c r="D67" i="5" s="1"/>
  <c r="C83" i="5"/>
  <c r="D83" i="5" s="1"/>
  <c r="C99" i="5"/>
  <c r="D99" i="5" s="1"/>
  <c r="C115" i="5"/>
  <c r="D115" i="5" s="1"/>
  <c r="C131" i="5"/>
  <c r="D131" i="5" s="1"/>
  <c r="C147" i="5"/>
  <c r="D147" i="5" s="1"/>
  <c r="C163" i="5"/>
  <c r="D163" i="5" s="1"/>
  <c r="C179" i="5"/>
  <c r="D179" i="5" s="1"/>
  <c r="C195" i="5"/>
  <c r="D195" i="5" s="1"/>
  <c r="C211" i="5"/>
  <c r="D211" i="5" s="1"/>
  <c r="C227" i="5"/>
  <c r="D227" i="5" s="1"/>
  <c r="E237" i="5"/>
  <c r="C243" i="5"/>
  <c r="D243" i="5" s="1"/>
  <c r="E253" i="5"/>
  <c r="C259" i="5"/>
  <c r="D259" i="5" s="1"/>
  <c r="E269" i="5"/>
  <c r="C275" i="5"/>
  <c r="D275" i="5" s="1"/>
  <c r="E285" i="5"/>
  <c r="C291" i="5"/>
  <c r="D291" i="5" s="1"/>
  <c r="E301" i="5"/>
  <c r="C307" i="5"/>
  <c r="D307" i="5" s="1"/>
  <c r="E317" i="5"/>
  <c r="C323" i="5"/>
  <c r="D323" i="5" s="1"/>
  <c r="E333" i="5"/>
  <c r="C339" i="5"/>
  <c r="D339" i="5" s="1"/>
  <c r="E349" i="5"/>
  <c r="C355" i="5"/>
  <c r="D355" i="5" s="1"/>
  <c r="E365" i="5"/>
  <c r="C371" i="5"/>
  <c r="D371" i="5" s="1"/>
  <c r="E381" i="5"/>
  <c r="C387" i="5"/>
  <c r="D387" i="5" s="1"/>
  <c r="E397" i="5"/>
  <c r="E8" i="5"/>
  <c r="C14" i="5"/>
  <c r="D14" i="5" s="1"/>
  <c r="E24" i="5"/>
  <c r="C30" i="5"/>
  <c r="D30" i="5" s="1"/>
  <c r="E40" i="5"/>
  <c r="C46" i="5"/>
  <c r="D46" i="5" s="1"/>
  <c r="E56" i="5"/>
  <c r="C62" i="5"/>
  <c r="D62" i="5" s="1"/>
  <c r="E72" i="5"/>
  <c r="C78" i="5"/>
  <c r="D78" i="5" s="1"/>
  <c r="E88" i="5"/>
  <c r="C94" i="5"/>
  <c r="D94" i="5" s="1"/>
  <c r="E104" i="5"/>
  <c r="C110" i="5"/>
  <c r="D110" i="5" s="1"/>
  <c r="E120" i="5"/>
  <c r="C126" i="5"/>
  <c r="D126" i="5" s="1"/>
  <c r="E136" i="5"/>
  <c r="C142" i="5"/>
  <c r="D142" i="5" s="1"/>
  <c r="E152" i="5"/>
  <c r="C158" i="5"/>
  <c r="D158" i="5" s="1"/>
  <c r="E168" i="5"/>
  <c r="C174" i="5"/>
  <c r="D174" i="5" s="1"/>
  <c r="E184" i="5"/>
  <c r="C190" i="5"/>
  <c r="D190" i="5" s="1"/>
  <c r="E200" i="5"/>
  <c r="C206" i="5"/>
  <c r="D206" i="5" s="1"/>
  <c r="E216" i="5"/>
  <c r="C222" i="5"/>
  <c r="D222" i="5" s="1"/>
  <c r="E232" i="5"/>
  <c r="C238" i="5"/>
  <c r="D238" i="5" s="1"/>
  <c r="E248" i="5"/>
  <c r="C254" i="5"/>
  <c r="D254" i="5" s="1"/>
  <c r="E264" i="5"/>
  <c r="C270" i="5"/>
  <c r="D270" i="5" s="1"/>
  <c r="E280" i="5"/>
  <c r="C286" i="5"/>
  <c r="D286" i="5" s="1"/>
  <c r="E296" i="5"/>
  <c r="C302" i="5"/>
  <c r="D302" i="5" s="1"/>
  <c r="E312" i="5"/>
  <c r="C318" i="5"/>
  <c r="D318" i="5" s="1"/>
  <c r="E328" i="5"/>
  <c r="C334" i="5"/>
  <c r="D334" i="5" s="1"/>
  <c r="E344" i="5"/>
  <c r="C350" i="5"/>
  <c r="D350" i="5" s="1"/>
  <c r="E360" i="5"/>
  <c r="C366" i="5"/>
  <c r="D366" i="5" s="1"/>
  <c r="E376" i="5"/>
  <c r="C382" i="5"/>
  <c r="D382" i="5" s="1"/>
  <c r="E392" i="5"/>
  <c r="C398" i="5"/>
  <c r="D398" i="5" s="1"/>
  <c r="C9" i="5"/>
  <c r="D9" i="5" s="1"/>
  <c r="E19" i="5"/>
  <c r="C25" i="5"/>
  <c r="D25" i="5" s="1"/>
  <c r="E35" i="5"/>
  <c r="C41" i="5"/>
  <c r="D41" i="5" s="1"/>
  <c r="E51" i="5"/>
  <c r="C57" i="5"/>
  <c r="D57" i="5" s="1"/>
  <c r="E67" i="5"/>
  <c r="C73" i="5"/>
  <c r="D73" i="5" s="1"/>
  <c r="E83" i="5"/>
  <c r="C89" i="5"/>
  <c r="D89" i="5" s="1"/>
  <c r="E99" i="5"/>
  <c r="C105" i="5"/>
  <c r="D105" i="5" s="1"/>
  <c r="E115" i="5"/>
  <c r="C121" i="5"/>
  <c r="D121" i="5" s="1"/>
  <c r="E131" i="5"/>
  <c r="C137" i="5"/>
  <c r="D137" i="5" s="1"/>
  <c r="E147" i="5"/>
  <c r="C153" i="5"/>
  <c r="D153" i="5" s="1"/>
  <c r="E163" i="5"/>
  <c r="C169" i="5"/>
  <c r="D169" i="5" s="1"/>
  <c r="E179" i="5"/>
  <c r="C185" i="5"/>
  <c r="D185" i="5" s="1"/>
  <c r="E195" i="5"/>
  <c r="C201" i="5"/>
  <c r="D201" i="5" s="1"/>
  <c r="E211" i="5"/>
  <c r="C217" i="5"/>
  <c r="D217" i="5" s="1"/>
  <c r="E227" i="5"/>
  <c r="C233" i="5"/>
  <c r="D233" i="5" s="1"/>
  <c r="E243" i="5"/>
  <c r="C249" i="5"/>
  <c r="D249" i="5" s="1"/>
  <c r="E259" i="5"/>
  <c r="C265" i="5"/>
  <c r="D265" i="5" s="1"/>
  <c r="E275" i="5"/>
  <c r="C281" i="5"/>
  <c r="D281" i="5" s="1"/>
  <c r="E291" i="5"/>
  <c r="C297" i="5"/>
  <c r="D297" i="5" s="1"/>
  <c r="E307" i="5"/>
  <c r="C313" i="5"/>
  <c r="D313" i="5" s="1"/>
  <c r="E323" i="5"/>
  <c r="C329" i="5"/>
  <c r="D329" i="5" s="1"/>
  <c r="E339" i="5"/>
  <c r="C345" i="5"/>
  <c r="D345" i="5" s="1"/>
  <c r="E355" i="5"/>
  <c r="C361" i="5"/>
  <c r="D361" i="5" s="1"/>
  <c r="E371" i="5"/>
  <c r="C377" i="5"/>
  <c r="D377" i="5" s="1"/>
  <c r="E387" i="5"/>
  <c r="C393" i="5"/>
  <c r="D393" i="5" s="1"/>
  <c r="C4" i="5"/>
  <c r="D4" i="5" s="1"/>
  <c r="C20" i="5"/>
  <c r="D20" i="5" s="1"/>
  <c r="C36" i="5"/>
  <c r="D36" i="5" s="1"/>
  <c r="C52" i="5"/>
  <c r="D52" i="5" s="1"/>
  <c r="C68" i="5"/>
  <c r="D68" i="5" s="1"/>
  <c r="C84" i="5"/>
  <c r="D84" i="5" s="1"/>
  <c r="C100" i="5"/>
  <c r="D100" i="5" s="1"/>
  <c r="C116" i="5"/>
  <c r="D116" i="5" s="1"/>
  <c r="C132" i="5"/>
  <c r="D132" i="5" s="1"/>
  <c r="C148" i="5"/>
  <c r="D148" i="5" s="1"/>
  <c r="C164" i="5"/>
  <c r="D164" i="5" s="1"/>
  <c r="C180" i="5"/>
  <c r="D180" i="5" s="1"/>
  <c r="C196" i="5"/>
  <c r="D196" i="5" s="1"/>
  <c r="C212" i="5"/>
  <c r="D212" i="5" s="1"/>
  <c r="C228" i="5"/>
  <c r="D228" i="5" s="1"/>
  <c r="C244" i="5"/>
  <c r="D244" i="5" s="1"/>
  <c r="C260" i="5"/>
  <c r="D260" i="5" s="1"/>
  <c r="C276" i="5"/>
  <c r="D276" i="5" s="1"/>
  <c r="C292" i="5"/>
  <c r="D292" i="5" s="1"/>
  <c r="C308" i="5"/>
  <c r="D308" i="5" s="1"/>
  <c r="C324" i="5"/>
  <c r="D324" i="5" s="1"/>
  <c r="C340" i="5"/>
  <c r="D340" i="5" s="1"/>
  <c r="C356" i="5"/>
  <c r="D356" i="5" s="1"/>
  <c r="C372" i="5"/>
  <c r="D372" i="5" s="1"/>
  <c r="C388" i="5"/>
  <c r="D388" i="5" s="1"/>
  <c r="C15" i="5"/>
  <c r="D15" i="5" s="1"/>
  <c r="C31" i="5"/>
  <c r="D31" i="5" s="1"/>
  <c r="C47" i="5"/>
  <c r="D47" i="5" s="1"/>
  <c r="C63" i="5"/>
  <c r="D63" i="5" s="1"/>
  <c r="C79" i="5"/>
  <c r="D79" i="5" s="1"/>
  <c r="C95" i="5"/>
  <c r="D95" i="5" s="1"/>
  <c r="C111" i="5"/>
  <c r="D111" i="5" s="1"/>
  <c r="C127" i="5"/>
  <c r="D127" i="5" s="1"/>
  <c r="C143" i="5"/>
  <c r="D143" i="5" s="1"/>
  <c r="C159" i="5"/>
  <c r="D159" i="5" s="1"/>
  <c r="C175" i="5"/>
  <c r="D175" i="5" s="1"/>
  <c r="C191" i="5"/>
  <c r="D191" i="5" s="1"/>
  <c r="C207" i="5"/>
  <c r="D207" i="5" s="1"/>
  <c r="C223" i="5"/>
  <c r="D223" i="5" s="1"/>
  <c r="C239" i="5"/>
  <c r="D239" i="5" s="1"/>
  <c r="C255" i="5"/>
  <c r="D255" i="5" s="1"/>
  <c r="C271" i="5"/>
  <c r="D271" i="5" s="1"/>
  <c r="C287" i="5"/>
  <c r="D287" i="5" s="1"/>
  <c r="C303" i="5"/>
  <c r="D303" i="5" s="1"/>
  <c r="C319" i="5"/>
  <c r="D319" i="5" s="1"/>
  <c r="C335" i="5"/>
  <c r="D335" i="5" s="1"/>
  <c r="C351" i="5"/>
  <c r="D351" i="5" s="1"/>
  <c r="C367" i="5"/>
  <c r="D367" i="5" s="1"/>
  <c r="C383" i="5"/>
  <c r="D383" i="5" s="1"/>
  <c r="C399" i="5"/>
  <c r="D399" i="5" s="1"/>
  <c r="E4" i="5"/>
  <c r="C10" i="5"/>
  <c r="D10" i="5" s="1"/>
  <c r="E20" i="5"/>
  <c r="C26" i="5"/>
  <c r="D26" i="5" s="1"/>
  <c r="E36" i="5"/>
  <c r="C42" i="5"/>
  <c r="D42" i="5" s="1"/>
  <c r="E52" i="5"/>
  <c r="C58" i="5"/>
  <c r="D58" i="5" s="1"/>
  <c r="E68" i="5"/>
  <c r="C74" i="5"/>
  <c r="D74" i="5" s="1"/>
  <c r="E84" i="5"/>
  <c r="C90" i="5"/>
  <c r="D90" i="5" s="1"/>
  <c r="E100" i="5"/>
  <c r="C106" i="5"/>
  <c r="D106" i="5" s="1"/>
  <c r="E116" i="5"/>
  <c r="C122" i="5"/>
  <c r="D122" i="5" s="1"/>
  <c r="E132" i="5"/>
  <c r="C138" i="5"/>
  <c r="D138" i="5" s="1"/>
  <c r="E148" i="5"/>
  <c r="C154" i="5"/>
  <c r="D154" i="5" s="1"/>
  <c r="E164" i="5"/>
  <c r="C170" i="5"/>
  <c r="D170" i="5" s="1"/>
  <c r="E180" i="5"/>
  <c r="C186" i="5"/>
  <c r="D186" i="5" s="1"/>
  <c r="E196" i="5"/>
  <c r="C202" i="5"/>
  <c r="D202" i="5" s="1"/>
  <c r="E212" i="5"/>
  <c r="C218" i="5"/>
  <c r="D218" i="5" s="1"/>
  <c r="E228" i="5"/>
  <c r="C234" i="5"/>
  <c r="D234" i="5" s="1"/>
  <c r="E244" i="5"/>
  <c r="C250" i="5"/>
  <c r="D250" i="5" s="1"/>
  <c r="E260" i="5"/>
  <c r="C266" i="5"/>
  <c r="D266" i="5" s="1"/>
  <c r="E276" i="5"/>
  <c r="C282" i="5"/>
  <c r="D282" i="5" s="1"/>
  <c r="E292" i="5"/>
  <c r="C298" i="5"/>
  <c r="D298" i="5" s="1"/>
  <c r="E308" i="5"/>
  <c r="C314" i="5"/>
  <c r="D314" i="5" s="1"/>
  <c r="E324" i="5"/>
  <c r="C330" i="5"/>
  <c r="D330" i="5" s="1"/>
  <c r="E340" i="5"/>
  <c r="C346" i="5"/>
  <c r="D346" i="5" s="1"/>
  <c r="E356" i="5"/>
  <c r="C362" i="5"/>
  <c r="D362" i="5" s="1"/>
  <c r="E372" i="5"/>
  <c r="C378" i="5"/>
  <c r="D378" i="5" s="1"/>
  <c r="E388" i="5"/>
  <c r="C394" i="5"/>
  <c r="D394" i="5" s="1"/>
  <c r="C5" i="5"/>
  <c r="D5" i="5" s="1"/>
  <c r="E15" i="5"/>
  <c r="C21" i="5"/>
  <c r="D21" i="5" s="1"/>
  <c r="E31" i="5"/>
  <c r="C37" i="5"/>
  <c r="D37" i="5" s="1"/>
  <c r="E47" i="5"/>
  <c r="C53" i="5"/>
  <c r="D53" i="5" s="1"/>
  <c r="E63" i="5"/>
  <c r="C69" i="5"/>
  <c r="D69" i="5" s="1"/>
  <c r="E79" i="5"/>
  <c r="C85" i="5"/>
  <c r="D85" i="5" s="1"/>
  <c r="E95" i="5"/>
  <c r="C101" i="5"/>
  <c r="D101" i="5" s="1"/>
  <c r="E111" i="5"/>
  <c r="C117" i="5"/>
  <c r="D117" i="5" s="1"/>
  <c r="E127" i="5"/>
  <c r="C133" i="5"/>
  <c r="D133" i="5" s="1"/>
  <c r="E143" i="5"/>
  <c r="C149" i="5"/>
  <c r="D149" i="5" s="1"/>
  <c r="E159" i="5"/>
  <c r="C165" i="5"/>
  <c r="D165" i="5" s="1"/>
  <c r="E175" i="5"/>
  <c r="C181" i="5"/>
  <c r="D181" i="5" s="1"/>
  <c r="E191" i="5"/>
  <c r="C197" i="5"/>
  <c r="D197" i="5" s="1"/>
  <c r="E207" i="5"/>
  <c r="C213" i="5"/>
  <c r="D213" i="5" s="1"/>
  <c r="E223" i="5"/>
  <c r="C229" i="5"/>
  <c r="D229" i="5" s="1"/>
  <c r="E239" i="5"/>
  <c r="C245" i="5"/>
  <c r="D245" i="5" s="1"/>
  <c r="E255" i="5"/>
  <c r="C261" i="5"/>
  <c r="D261" i="5" s="1"/>
  <c r="E271" i="5"/>
  <c r="C277" i="5"/>
  <c r="D277" i="5" s="1"/>
  <c r="E287" i="5"/>
  <c r="C293" i="5"/>
  <c r="D293" i="5" s="1"/>
  <c r="E303" i="5"/>
  <c r="C309" i="5"/>
  <c r="D309" i="5" s="1"/>
  <c r="E319" i="5"/>
  <c r="C325" i="5"/>
  <c r="D325" i="5" s="1"/>
  <c r="E335" i="5"/>
  <c r="C341" i="5"/>
  <c r="D341" i="5" s="1"/>
  <c r="E351" i="5"/>
  <c r="C357" i="5"/>
  <c r="D357" i="5" s="1"/>
  <c r="E367" i="5"/>
  <c r="C373" i="5"/>
  <c r="D373" i="5" s="1"/>
  <c r="E383" i="5"/>
  <c r="C389" i="5"/>
  <c r="D389" i="5" s="1"/>
  <c r="E399" i="5"/>
  <c r="E10" i="5"/>
  <c r="C16" i="5"/>
  <c r="D16" i="5" s="1"/>
  <c r="E26" i="5"/>
  <c r="C32" i="5"/>
  <c r="D32" i="5" s="1"/>
  <c r="E42" i="5"/>
  <c r="C48" i="5"/>
  <c r="D48" i="5" s="1"/>
  <c r="E58" i="5"/>
  <c r="C64" i="5"/>
  <c r="D64" i="5" s="1"/>
  <c r="E74" i="5"/>
  <c r="C80" i="5"/>
  <c r="D80" i="5" s="1"/>
  <c r="E90" i="5"/>
  <c r="C96" i="5"/>
  <c r="D96" i="5" s="1"/>
  <c r="E106" i="5"/>
  <c r="C112" i="5"/>
  <c r="D112" i="5" s="1"/>
  <c r="E122" i="5"/>
  <c r="C128" i="5"/>
  <c r="D128" i="5" s="1"/>
  <c r="E138" i="5"/>
  <c r="C144" i="5"/>
  <c r="D144" i="5" s="1"/>
  <c r="E154" i="5"/>
  <c r="C160" i="5"/>
  <c r="D160" i="5" s="1"/>
  <c r="E170" i="5"/>
  <c r="C176" i="5"/>
  <c r="D176" i="5" s="1"/>
  <c r="E186" i="5"/>
  <c r="C192" i="5"/>
  <c r="D192" i="5" s="1"/>
  <c r="E202" i="5"/>
  <c r="C208" i="5"/>
  <c r="D208" i="5" s="1"/>
  <c r="E218" i="5"/>
  <c r="C224" i="5"/>
  <c r="D224" i="5" s="1"/>
  <c r="E234" i="5"/>
  <c r="C240" i="5"/>
  <c r="D240" i="5" s="1"/>
  <c r="E250" i="5"/>
  <c r="C256" i="5"/>
  <c r="D256" i="5" s="1"/>
  <c r="E266" i="5"/>
  <c r="C272" i="5"/>
  <c r="D272" i="5" s="1"/>
  <c r="E282" i="5"/>
  <c r="C288" i="5"/>
  <c r="D288" i="5" s="1"/>
  <c r="E298" i="5"/>
  <c r="C304" i="5"/>
  <c r="D304" i="5" s="1"/>
  <c r="E314" i="5"/>
  <c r="C320" i="5"/>
  <c r="D320" i="5" s="1"/>
  <c r="E330" i="5"/>
  <c r="C336" i="5"/>
  <c r="D336" i="5" s="1"/>
  <c r="E346" i="5"/>
  <c r="C352" i="5"/>
  <c r="D352" i="5" s="1"/>
  <c r="E362" i="5"/>
  <c r="C368" i="5"/>
  <c r="D368" i="5" s="1"/>
  <c r="E378" i="5"/>
  <c r="C384" i="5"/>
  <c r="D384" i="5" s="1"/>
  <c r="E5" i="5"/>
  <c r="C11" i="5"/>
  <c r="D11" i="5" s="1"/>
  <c r="E21" i="5"/>
  <c r="C27" i="5"/>
  <c r="D27" i="5" s="1"/>
  <c r="E37" i="5"/>
  <c r="C43" i="5"/>
  <c r="D43" i="5" s="1"/>
  <c r="E53" i="5"/>
  <c r="C59" i="5"/>
  <c r="D59" i="5" s="1"/>
  <c r="E69" i="5"/>
  <c r="C75" i="5"/>
  <c r="D75" i="5" s="1"/>
  <c r="E85" i="5"/>
  <c r="C91" i="5"/>
  <c r="D91" i="5" s="1"/>
  <c r="E101" i="5"/>
  <c r="C107" i="5"/>
  <c r="D107" i="5" s="1"/>
  <c r="E117" i="5"/>
  <c r="C123" i="5"/>
  <c r="D123" i="5" s="1"/>
  <c r="E133" i="5"/>
  <c r="C139" i="5"/>
  <c r="D139" i="5" s="1"/>
  <c r="E149" i="5"/>
  <c r="C155" i="5"/>
  <c r="D155" i="5" s="1"/>
  <c r="E165" i="5"/>
  <c r="C171" i="5"/>
  <c r="D171" i="5" s="1"/>
  <c r="E181" i="5"/>
  <c r="C187" i="5"/>
  <c r="D187" i="5" s="1"/>
  <c r="E197" i="5"/>
  <c r="C203" i="5"/>
  <c r="D203" i="5" s="1"/>
  <c r="E213" i="5"/>
  <c r="C219" i="5"/>
  <c r="D219" i="5" s="1"/>
  <c r="E229" i="5"/>
  <c r="C235" i="5"/>
  <c r="D235" i="5" s="1"/>
  <c r="E245" i="5"/>
  <c r="C251" i="5"/>
  <c r="D251" i="5" s="1"/>
  <c r="E261" i="5"/>
  <c r="C267" i="5"/>
  <c r="D267" i="5" s="1"/>
  <c r="E277" i="5"/>
  <c r="C283" i="5"/>
  <c r="D283" i="5" s="1"/>
  <c r="E293" i="5"/>
  <c r="C299" i="5"/>
  <c r="D299" i="5" s="1"/>
  <c r="E309" i="5"/>
  <c r="C315" i="5"/>
  <c r="D315" i="5" s="1"/>
  <c r="E325" i="5"/>
  <c r="C331" i="5"/>
  <c r="D331" i="5" s="1"/>
  <c r="E341" i="5"/>
  <c r="C347" i="5"/>
  <c r="D347" i="5" s="1"/>
  <c r="E357" i="5"/>
  <c r="C363" i="5"/>
  <c r="D363" i="5" s="1"/>
  <c r="E373" i="5"/>
  <c r="C379" i="5"/>
  <c r="D379" i="5" s="1"/>
  <c r="L3" i="2" l="1"/>
</calcChain>
</file>

<file path=xl/sharedStrings.xml><?xml version="1.0" encoding="utf-8"?>
<sst xmlns="http://schemas.openxmlformats.org/spreadsheetml/2006/main" count="2682" uniqueCount="464">
  <si>
    <t>number</t>
  </si>
  <si>
    <t>task</t>
  </si>
  <si>
    <t>dificulty</t>
  </si>
  <si>
    <t>Completed</t>
  </si>
  <si>
    <t>Add Power-to-Weight Ratio Column</t>
  </si>
  <si>
    <t>Easy</t>
  </si>
  <si>
    <t>Yes</t>
  </si>
  <si>
    <t>Create a summary table of vehicle counts</t>
  </si>
  <si>
    <t>Identify and visualize Outliers in MPG</t>
  </si>
  <si>
    <t>Analyze MPG VS Engine Size</t>
  </si>
  <si>
    <t>Medium</t>
  </si>
  <si>
    <t>Create a Pivot Table for MPG by Origin and Model Year</t>
  </si>
  <si>
    <t>Normalize acceleration across all vehicles</t>
  </si>
  <si>
    <t>Segment vehicles by performance tier</t>
  </si>
  <si>
    <t>Hard</t>
  </si>
  <si>
    <t>Predict missing Horsepower Values</t>
  </si>
  <si>
    <t>Build a Dashboard showing fuel efficiency trends</t>
  </si>
  <si>
    <t>Build a Machine Learning Model to predict MPG</t>
  </si>
  <si>
    <t>No</t>
  </si>
  <si>
    <t>Average MPG by origin and model year</t>
  </si>
  <si>
    <t>Average horsepower by cylinders</t>
  </si>
  <si>
    <t>Count of vehicles by origin</t>
  </si>
  <si>
    <t xml:space="preserve"> Count of Vehicles by origin and cylinders</t>
  </si>
  <si>
    <t>Row Labels</t>
  </si>
  <si>
    <t>Average of mpg</t>
  </si>
  <si>
    <t>Average of horsepower</t>
  </si>
  <si>
    <t>Count of name</t>
  </si>
  <si>
    <t>europe</t>
  </si>
  <si>
    <t>japan</t>
  </si>
  <si>
    <t>usa</t>
  </si>
  <si>
    <t>Grand Total</t>
  </si>
  <si>
    <t>name</t>
  </si>
  <si>
    <t>cylinders</t>
  </si>
  <si>
    <t>mpg</t>
  </si>
  <si>
    <t>weight</t>
  </si>
  <si>
    <t>displacement</t>
  </si>
  <si>
    <t>horsepower</t>
  </si>
  <si>
    <t>Power-to-Weight</t>
  </si>
  <si>
    <t>acceleration</t>
  </si>
  <si>
    <t>model_year</t>
  </si>
  <si>
    <t>origin</t>
  </si>
  <si>
    <t>bmw 2002</t>
  </si>
  <si>
    <t>saab 99e</t>
  </si>
  <si>
    <t>audi 100 ls</t>
  </si>
  <si>
    <t>peugeot 504</t>
  </si>
  <si>
    <t>volkswagen 1131 deluxe sedan</t>
  </si>
  <si>
    <t>opel 1900</t>
  </si>
  <si>
    <t>fiat 124b</t>
  </si>
  <si>
    <t>peugeot 304</t>
  </si>
  <si>
    <t>volkswagen model 111</t>
  </si>
  <si>
    <t>volvo 145e (sw)</t>
  </si>
  <si>
    <t>renault 12 (sw)</t>
  </si>
  <si>
    <t>volkswagen 411 (sw)</t>
  </si>
  <si>
    <t>peugeot 504 (sw)</t>
  </si>
  <si>
    <t>volkswagen type 3</t>
  </si>
  <si>
    <t>saab 99le</t>
  </si>
  <si>
    <t>fiat 124 sport coupe</t>
  </si>
  <si>
    <t>volvo 144ea</t>
  </si>
  <si>
    <t>audi 100ls</t>
  </si>
  <si>
    <t>opel manta</t>
  </si>
  <si>
    <t>fiat 128</t>
  </si>
  <si>
    <t>volkswagen super beetle</t>
  </si>
  <si>
    <t>audi fox</t>
  </si>
  <si>
    <t>volkswagen dasher</t>
  </si>
  <si>
    <t>fiat x1.9</t>
  </si>
  <si>
    <t>fiat 124 tc</t>
  </si>
  <si>
    <t>volkswagen rabbit</t>
  </si>
  <si>
    <t>volvo 244dl</t>
  </si>
  <si>
    <t>renault 12tl</t>
  </si>
  <si>
    <t>vw rabbit</t>
  </si>
  <si>
    <t>fiat 131</t>
  </si>
  <si>
    <t>volvo 245</t>
  </si>
  <si>
    <t>mercedes-benz 280s</t>
  </si>
  <si>
    <t>bmw 320i</t>
  </si>
  <si>
    <t>volkswagen rabbit custom</t>
  </si>
  <si>
    <t>renault 5 gtl</t>
  </si>
  <si>
    <t>saab 99gle</t>
  </si>
  <si>
    <t>volkswagen scirocco</t>
  </si>
  <si>
    <t>volkswagen rabbit custom diesel</t>
  </si>
  <si>
    <t>audi 5000</t>
  </si>
  <si>
    <t>volvo 264gl</t>
  </si>
  <si>
    <t>peugeot 604sl</t>
  </si>
  <si>
    <t>vw rabbit custom</t>
  </si>
  <si>
    <t>fiat strada custom</t>
  </si>
  <si>
    <t>mercedes benz 300d</t>
  </si>
  <si>
    <t>audi 4000</t>
  </si>
  <si>
    <t>triumph tr7 coupe</t>
  </si>
  <si>
    <t>vokswagen rabbit</t>
  </si>
  <si>
    <t>vw rabbit c (diesel)</t>
  </si>
  <si>
    <t>mercedes-benz 240d</t>
  </si>
  <si>
    <t>vw dasher (diesel)</t>
  </si>
  <si>
    <t>renault lecar deluxe</t>
  </si>
  <si>
    <t>audi 5000s (diesel)</t>
  </si>
  <si>
    <t>volkswagen jetta</t>
  </si>
  <si>
    <t>peugeot 505s turbo diesel</t>
  </si>
  <si>
    <t>renault 18i</t>
  </si>
  <si>
    <t>volvo diesel</t>
  </si>
  <si>
    <t>volkswagen rabbit l</t>
  </si>
  <si>
    <t>vw pickup</t>
  </si>
  <si>
    <t>datsun pl510</t>
  </si>
  <si>
    <t>toyota corona mark ii</t>
  </si>
  <si>
    <t>datsun 1200</t>
  </si>
  <si>
    <t>toyota corona</t>
  </si>
  <si>
    <t>toyota corolla 1200</t>
  </si>
  <si>
    <t>mazda rx2 coupe</t>
  </si>
  <si>
    <t>toyota corolla 1600 (sw)</t>
  </si>
  <si>
    <t>toyota corona hardtop</t>
  </si>
  <si>
    <t>datsun 510 (sw)</t>
  </si>
  <si>
    <t>toyouta corona mark ii (sw)</t>
  </si>
  <si>
    <t>maxda rx3</t>
  </si>
  <si>
    <t>datsun 610</t>
  </si>
  <si>
    <t>toyota carina</t>
  </si>
  <si>
    <t>toyota mark ii</t>
  </si>
  <si>
    <t>honda civic</t>
  </si>
  <si>
    <t>subaru</t>
  </si>
  <si>
    <t>datsun b210</t>
  </si>
  <si>
    <t>datsun 710</t>
  </si>
  <si>
    <t>toyota corolla</t>
  </si>
  <si>
    <t>honda civic cvcc</t>
  </si>
  <si>
    <t>datsun b-210</t>
  </si>
  <si>
    <t>mazda rx-4</t>
  </si>
  <si>
    <t>datsun f-10 hatchback</t>
  </si>
  <si>
    <t>subaru dl</t>
  </si>
  <si>
    <t>honda accord cvcc</t>
  </si>
  <si>
    <t>toyota corolla liftback</t>
  </si>
  <si>
    <t>datsun 810</t>
  </si>
  <si>
    <t>datsun 510</t>
  </si>
  <si>
    <t>datsun 200-sx</t>
  </si>
  <si>
    <t>toyota celica gt liftback</t>
  </si>
  <si>
    <t>datsun b210 gx</t>
  </si>
  <si>
    <t>honda accord lx</t>
  </si>
  <si>
    <t>mazda glc deluxe</t>
  </si>
  <si>
    <t>maxda glc deluxe</t>
  </si>
  <si>
    <t>datsun 210</t>
  </si>
  <si>
    <t>mazda rx-7 gs</t>
  </si>
  <si>
    <t>datsun 510 hatchback</t>
  </si>
  <si>
    <t>honda civic 1500 gl</t>
  </si>
  <si>
    <t>toyota corona liftback</t>
  </si>
  <si>
    <t>datsun 310</t>
  </si>
  <si>
    <t>honda accord</t>
  </si>
  <si>
    <t>mazda glc</t>
  </si>
  <si>
    <t>toyota corolla tercel</t>
  </si>
  <si>
    <t>mazda 626</t>
  </si>
  <si>
    <t>datsun 280-zx</t>
  </si>
  <si>
    <t>datsun 200sx</t>
  </si>
  <si>
    <t>mazda glc 4</t>
  </si>
  <si>
    <t>honda civic 1300</t>
  </si>
  <si>
    <t>honda prelude</t>
  </si>
  <si>
    <t>toyota starlet</t>
  </si>
  <si>
    <t>datsun 210 mpg</t>
  </si>
  <si>
    <t>toyota tercel</t>
  </si>
  <si>
    <t>datsun 810 maxima</t>
  </si>
  <si>
    <t>toyota cressida</t>
  </si>
  <si>
    <t>nissan stanza xe</t>
  </si>
  <si>
    <t>toyota celica gt</t>
  </si>
  <si>
    <t>mazda glc custom</t>
  </si>
  <si>
    <t>honda civic (auto)</t>
  </si>
  <si>
    <t>datsun 310 gx</t>
  </si>
  <si>
    <t>mazda glc custom l</t>
  </si>
  <si>
    <t>amc hornet</t>
  </si>
  <si>
    <t>amc gremlin</t>
  </si>
  <si>
    <t>plymouth duster</t>
  </si>
  <si>
    <t>ford maverick</t>
  </si>
  <si>
    <t>buick estate wagon (sw)</t>
  </si>
  <si>
    <t>pontiac catalina</t>
  </si>
  <si>
    <t>chevrolet impala</t>
  </si>
  <si>
    <t>plymouth fury iii</t>
  </si>
  <si>
    <t>amc ambassador dpl</t>
  </si>
  <si>
    <t>dodge d200</t>
  </si>
  <si>
    <t>dodge challenger se</t>
  </si>
  <si>
    <t>ford f250</t>
  </si>
  <si>
    <t>chevy c20</t>
  </si>
  <si>
    <t>ford galaxie 500</t>
  </si>
  <si>
    <t>buick skylark 320</t>
  </si>
  <si>
    <t>plymouth 'cuda 340</t>
  </si>
  <si>
    <t>amc rebel sst</t>
  </si>
  <si>
    <t>plymouth satellite</t>
  </si>
  <si>
    <t>hi 1200d</t>
  </si>
  <si>
    <t>ford torino</t>
  </si>
  <si>
    <t>chevrolet monte carlo</t>
  </si>
  <si>
    <t>chevrolet chevelle malibu</t>
  </si>
  <si>
    <t>chevrolet vega 2300</t>
  </si>
  <si>
    <t>mercury capri 2000</t>
  </si>
  <si>
    <t>plymouth cricket</t>
  </si>
  <si>
    <t>chevrolet vega (sw)</t>
  </si>
  <si>
    <t>ford pinto</t>
  </si>
  <si>
    <t>amc hornet sportabout (sw)</t>
  </si>
  <si>
    <t>plymouth satellite custom</t>
  </si>
  <si>
    <t>pontiac firebird</t>
  </si>
  <si>
    <t>amc matador</t>
  </si>
  <si>
    <t>ford mustang</t>
  </si>
  <si>
    <t>ford torino 500</t>
  </si>
  <si>
    <t>pontiac catalina brougham</t>
  </si>
  <si>
    <t>dodge monaco (sw)</t>
  </si>
  <si>
    <t>ford country squire (sw)</t>
  </si>
  <si>
    <t>pontiac safari (sw)</t>
  </si>
  <si>
    <t>ford pinto runabout</t>
  </si>
  <si>
    <t>dodge colt hardtop</t>
  </si>
  <si>
    <t>chevrolet vega</t>
  </si>
  <si>
    <t>dodge colt (sw)</t>
  </si>
  <si>
    <t>ford pinto (sw)</t>
  </si>
  <si>
    <t>mercury marquis</t>
  </si>
  <si>
    <t>chrysler newport royal</t>
  </si>
  <si>
    <t>amc ambassador sst</t>
  </si>
  <si>
    <t>amc matador (sw)</t>
  </si>
  <si>
    <t>plymouth satellite custom (sw)</t>
  </si>
  <si>
    <t>oldsmobile delta 88 royale</t>
  </si>
  <si>
    <t>buick lesabre custom</t>
  </si>
  <si>
    <t>ford gran torino (sw)</t>
  </si>
  <si>
    <t>chevrolet chevelle concours (sw)</t>
  </si>
  <si>
    <t>mercury capri v6</t>
  </si>
  <si>
    <t>plymouth valiant</t>
  </si>
  <si>
    <t>chevrolet nova custom</t>
  </si>
  <si>
    <t>pontiac grand prix</t>
  </si>
  <si>
    <t>oldsmobile omega</t>
  </si>
  <si>
    <t>amc ambassador brougham</t>
  </si>
  <si>
    <t>buick electra 225 custom</t>
  </si>
  <si>
    <t>chrysler new yorker brougham</t>
  </si>
  <si>
    <t>dodge dart custom</t>
  </si>
  <si>
    <t>buick century 350</t>
  </si>
  <si>
    <t>mercury marquis brougham</t>
  </si>
  <si>
    <t>oldsmobile vista cruiser</t>
  </si>
  <si>
    <t>dodge coronet custom</t>
  </si>
  <si>
    <t>plymouth custom suburb</t>
  </si>
  <si>
    <t>chevrolet malibu</t>
  </si>
  <si>
    <t>ford ltd</t>
  </si>
  <si>
    <t>chevrolet monte carlo s</t>
  </si>
  <si>
    <t>plymouth fury gran sedan</t>
  </si>
  <si>
    <t>ford country</t>
  </si>
  <si>
    <t>ford gran torino</t>
  </si>
  <si>
    <t>chevrolet caprice classic</t>
  </si>
  <si>
    <t>dodge colt</t>
  </si>
  <si>
    <t>chevrolet nova</t>
  </si>
  <si>
    <t>plymouth satellite sebring</t>
  </si>
  <si>
    <t>chevrolet chevelle malibu classic</t>
  </si>
  <si>
    <t>dodge coronet custom (sw)</t>
  </si>
  <si>
    <t>buick century luxus (sw)</t>
  </si>
  <si>
    <t>pontiac astro</t>
  </si>
  <si>
    <t>buick skyhawk</t>
  </si>
  <si>
    <t>plymouth valiant custom</t>
  </si>
  <si>
    <t>buick century</t>
  </si>
  <si>
    <t>amc pacer</t>
  </si>
  <si>
    <t>chevroelt chevelle malibu</t>
  </si>
  <si>
    <t>plymouth fury</t>
  </si>
  <si>
    <t>mercury monarch</t>
  </si>
  <si>
    <t>ford mustang ii</t>
  </si>
  <si>
    <t>chevrolet monza 2+2</t>
  </si>
  <si>
    <t>plymouth grand fury</t>
  </si>
  <si>
    <t>chevrolet bel air</t>
  </si>
  <si>
    <t>capri ii</t>
  </si>
  <si>
    <t>chevrolet woody</t>
  </si>
  <si>
    <t>chevrolet chevette</t>
  </si>
  <si>
    <t>pontiac ventura sj</t>
  </si>
  <si>
    <t>amc pacer d/l</t>
  </si>
  <si>
    <t>dodge aspen se</t>
  </si>
  <si>
    <t>ford granada ghia</t>
  </si>
  <si>
    <t>cadillac seville</t>
  </si>
  <si>
    <t>dodge d100</t>
  </si>
  <si>
    <t>plymouth volare premier v8</t>
  </si>
  <si>
    <t>chevy c10</t>
  </si>
  <si>
    <t>dodge coronet brougham</t>
  </si>
  <si>
    <t>ford f108</t>
  </si>
  <si>
    <t>plymouth arrow gs</t>
  </si>
  <si>
    <t>dodge colt m/m</t>
  </si>
  <si>
    <t>buick opel isuzu deluxe</t>
  </si>
  <si>
    <t>ford mustang ii 2+2</t>
  </si>
  <si>
    <t>pontiac sunbird coupe</t>
  </si>
  <si>
    <t>chevrolet concours</t>
  </si>
  <si>
    <t>buick skylark</t>
  </si>
  <si>
    <t>ford granada</t>
  </si>
  <si>
    <t>plymouth volare custom</t>
  </si>
  <si>
    <t>chrysler cordoba</t>
  </si>
  <si>
    <t>pontiac grand prix lj</t>
  </si>
  <si>
    <t>chevrolet monte carlo landau</t>
  </si>
  <si>
    <t>dodge monaco brougham</t>
  </si>
  <si>
    <t>ford thunderbird</t>
  </si>
  <si>
    <t>mercury cougar brougham</t>
  </si>
  <si>
    <t>oldsmobile cutlass supreme</t>
  </si>
  <si>
    <t>plymouth sapporo</t>
  </si>
  <si>
    <t>ford fiesta</t>
  </si>
  <si>
    <t>dodge omni</t>
  </si>
  <si>
    <t>ford fairmont (man)</t>
  </si>
  <si>
    <t>oldsmobile starfire sx</t>
  </si>
  <si>
    <t>buick regal sport coupe (turbo)</t>
  </si>
  <si>
    <t>amc concord d/l</t>
  </si>
  <si>
    <t>buick century special</t>
  </si>
  <si>
    <t>dodge aspen</t>
  </si>
  <si>
    <t>pontiac phoenix lj</t>
  </si>
  <si>
    <t>plymouth volare</t>
  </si>
  <si>
    <t>ford fairmont (auto)</t>
  </si>
  <si>
    <t>amc concord</t>
  </si>
  <si>
    <t>mercury zephyr</t>
  </si>
  <si>
    <t>ford futura</t>
  </si>
  <si>
    <t>mercury monarch ghia</t>
  </si>
  <si>
    <t>dodge diplomat</t>
  </si>
  <si>
    <t>dodge magnum xe</t>
  </si>
  <si>
    <t>oldsmobile cutlass salon brougham</t>
  </si>
  <si>
    <t>dodge colt hatchback custom</t>
  </si>
  <si>
    <t>pontiac phoenix</t>
  </si>
  <si>
    <t>buick skylark limited</t>
  </si>
  <si>
    <t>plymouth horizon tc3</t>
  </si>
  <si>
    <t>plymouth horizon</t>
  </si>
  <si>
    <t>ford fairmont 4</t>
  </si>
  <si>
    <t>amc spirit dl</t>
  </si>
  <si>
    <t>chevrolet citation</t>
  </si>
  <si>
    <t>oldsmobile omega brougham</t>
  </si>
  <si>
    <t>pontiac lemans v6</t>
  </si>
  <si>
    <t>dodge aspen 6</t>
  </si>
  <si>
    <t>mercury zephyr 6</t>
  </si>
  <si>
    <t>amc concord dl 6</t>
  </si>
  <si>
    <t>chrysler lebaron town @ country (sw)</t>
  </si>
  <si>
    <t>dodge st. regis</t>
  </si>
  <si>
    <t>mercury grand marquis</t>
  </si>
  <si>
    <t>chevrolet malibu classic (sw)</t>
  </si>
  <si>
    <t>ford ltd landau</t>
  </si>
  <si>
    <t>cadillac eldorado</t>
  </si>
  <si>
    <t>ford fairmont</t>
  </si>
  <si>
    <t>ford mustang cobra</t>
  </si>
  <si>
    <t>plymouth reliant</t>
  </si>
  <si>
    <t>dodge aries wagon (sw)</t>
  </si>
  <si>
    <t>plymouth champ</t>
  </si>
  <si>
    <t>ford escort 4w</t>
  </si>
  <si>
    <t>plymouth horizon 4</t>
  </si>
  <si>
    <t>ford escort 2h</t>
  </si>
  <si>
    <t>ford granada gl</t>
  </si>
  <si>
    <t>chrysler lebaron salon</t>
  </si>
  <si>
    <t>oldsmobile cutlass ls</t>
  </si>
  <si>
    <t>chevrolet cavalier 2-door</t>
  </si>
  <si>
    <t>dodge rampage</t>
  </si>
  <si>
    <t>chrysler lebaron medallion</t>
  </si>
  <si>
    <t>dodge charger 2.2</t>
  </si>
  <si>
    <t>chevrolet cavalier</t>
  </si>
  <si>
    <t>chevrolet cavalier wagon</t>
  </si>
  <si>
    <t>dodge aries se</t>
  </si>
  <si>
    <t>pontiac j2000 se hatchback</t>
  </si>
  <si>
    <t>mercury lynx l</t>
  </si>
  <si>
    <t>ford fairmont futura</t>
  </si>
  <si>
    <t>ford mustang gl</t>
  </si>
  <si>
    <t>chevrolet camaro</t>
  </si>
  <si>
    <t>chevy s-10</t>
  </si>
  <si>
    <t>ford ranger</t>
  </si>
  <si>
    <t>plymouth horizon miser</t>
  </si>
  <si>
    <t>amc concord dl</t>
  </si>
  <si>
    <t>ford granada l</t>
  </si>
  <si>
    <t>buick century limited</t>
  </si>
  <si>
    <t>oldsmobile cutlass ciera (diesel)</t>
  </si>
  <si>
    <t>SUMMARY OUTPUT</t>
  </si>
  <si>
    <t>calculations</t>
  </si>
  <si>
    <t>Vehicles with missing horsepower</t>
  </si>
  <si>
    <t>Predicted horsepower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</si>
  <si>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</si>
  <si>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</si>
  <si>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</si>
  <si>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</si>
  <si>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</si>
  <si>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</si>
  <si>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</si>
  <si>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</si>
  <si>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</si>
  <si>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</si>
  <si>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</si>
  <si>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</si>
  <si>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</si>
  <si>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</si>
  <si>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</si>
  <si>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</si>
  <si>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</si>
  <si>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</si>
  <si>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</si>
  <si>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</si>
  <si>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</si>
  <si>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</si>
  <si>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</si>
  <si>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</si>
  <si>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X Variable 2</t>
  </si>
  <si>
    <t>X Variable 3</t>
  </si>
  <si>
    <t>Predicted Horsepower Values</t>
  </si>
  <si>
    <t>Method documentation:</t>
  </si>
  <si>
    <t>Step</t>
  </si>
  <si>
    <t>Description</t>
  </si>
  <si>
    <t>Extract the names, horsepower, displacement and weight columns into a new worksheet for analysis</t>
  </si>
  <si>
    <t>Filter out records with missing horsepower</t>
  </si>
  <si>
    <t>Use the Data Analysis Tools from toolPak to pass on the Y-Range (Horsepower) and X-Range columns (cylinders, displacement,…)</t>
  </si>
  <si>
    <t>After creating a new worksheet for regression analysis, utilize the Intercept and X-Variables from the coefficients column to use the formula</t>
  </si>
  <si>
    <t>Formula: Intercept + (x-variable1 also known as the cylinder_coef * cylinder) + (x-variable2 * weight) + (x-variable3 * displacement)</t>
  </si>
  <si>
    <t>Performance Tier</t>
  </si>
  <si>
    <t>Summaries</t>
  </si>
  <si>
    <t>Histogram Charts</t>
  </si>
  <si>
    <t>MPG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</si>
  <si>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</si>
  <si>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</si>
  <si>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</si>
  <si>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</si>
  <si>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</si>
  <si>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</si>
  <si>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</si>
  <si>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</si>
  <si>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</si>
  <si>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</si>
  <si>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</si>
  <si>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</si>
  <si>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HORSEPOWER</t>
  </si>
  <si>
    <t>Tier Thresholds</t>
  </si>
  <si>
    <t>Distribution around the years</t>
  </si>
  <si>
    <t>Tier</t>
  </si>
  <si>
    <t>Horsepower</t>
  </si>
  <si>
    <t>Acceleration</t>
  </si>
  <si>
    <t>Count of Performance Tier</t>
  </si>
  <si>
    <t>High Performance</t>
  </si>
  <si>
    <t>&gt; 100</t>
  </si>
  <si>
    <t>&lt; 13</t>
  </si>
  <si>
    <t>&gt; 32.5</t>
  </si>
  <si>
    <t>Economy</t>
  </si>
  <si>
    <t>Mid Range</t>
  </si>
  <si>
    <t>60-100</t>
  </si>
  <si>
    <t>13-19</t>
  </si>
  <si>
    <t>17-32.5</t>
  </si>
  <si>
    <t>&lt; 60</t>
  </si>
  <si>
    <t>&gt; 19</t>
  </si>
  <si>
    <t>&lt; 17</t>
  </si>
  <si>
    <t>ACCELERATION</t>
  </si>
  <si>
    <t>Z-Score Acceleration</t>
  </si>
  <si>
    <t>Is an Outlier?</t>
  </si>
  <si>
    <t>Normalized Acceleration</t>
  </si>
  <si>
    <t>Z-Flltering Method</t>
  </si>
  <si>
    <t>Min-max Normalization</t>
  </si>
  <si>
    <t>Standard Deviation (STD dev)</t>
  </si>
  <si>
    <t>Average MPG</t>
  </si>
  <si>
    <t>Lowest</t>
  </si>
  <si>
    <t>Q1</t>
  </si>
  <si>
    <t>Q3</t>
  </si>
  <si>
    <t>Europe</t>
  </si>
  <si>
    <t>Z-Score</t>
  </si>
  <si>
    <t>Regions</t>
  </si>
  <si>
    <t>Japan</t>
  </si>
  <si>
    <t>USA</t>
  </si>
  <si>
    <t>IQR (Inter Quartile Range)</t>
  </si>
  <si>
    <t>Total Average</t>
  </si>
  <si>
    <t>ROUNDED RES TO 3 D.P.</t>
  </si>
  <si>
    <t>Z-Filtering Method</t>
  </si>
  <si>
    <t>STD Dev</t>
  </si>
  <si>
    <t>Correlation Coefficient</t>
  </si>
  <si>
    <t>Results of the trend</t>
  </si>
  <si>
    <t>MPG is negatively correlated with engine displacement.</t>
  </si>
  <si>
    <t>As a car's fuel efficiency improves, its engine displacement decreases.</t>
  </si>
  <si>
    <t>Both of these attributes are inversely proportional to each other.</t>
  </si>
  <si>
    <t>Is Outlier?</t>
  </si>
  <si>
    <t>The 5-Number Summary</t>
  </si>
  <si>
    <t>Determine Outlier Thresholds</t>
  </si>
  <si>
    <t>Mininum</t>
  </si>
  <si>
    <t>Q1 (25th percentile)</t>
  </si>
  <si>
    <t>Q3 (75th percentile)</t>
  </si>
  <si>
    <t>Lower Bound</t>
  </si>
  <si>
    <t>Upper Bound</t>
  </si>
  <si>
    <t>Average</t>
  </si>
  <si>
    <t>Std Dev</t>
  </si>
  <si>
    <t>Vehicle Count Summary Table</t>
  </si>
  <si>
    <t>Origin</t>
  </si>
  <si>
    <t>Usa</t>
  </si>
  <si>
    <t>Cylinders</t>
  </si>
  <si>
    <t>Model Year</t>
  </si>
  <si>
    <t>Top 10 Most Powerful Vehicles per Pound</t>
  </si>
  <si>
    <t>Vehicle Name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</si>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</sst>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DB9CA"/>
      </patternFill>
    </fill>
    <fill>
      <patternFill patternType="solid">
        <fgColor rgb="FFC9C9C9"/>
      </patternFill>
    </fill>
    <fill>
      <patternFill patternType="solid">
        <fgColor rgb="FFA9D18E"/>
      </patternFill>
    </fill>
    <fill>
      <patternFill patternType="solid">
        <fgColor rgb="FFDAE3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4" fontId="0" fillId="0" borderId="0" xfId="0" applyNumberFormat="1"/>
    <xf numFmtId="3" fontId="0" fillId="0" borderId="0" xfId="0" applyNumberFormat="1"/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/>
    </xf>
    <xf numFmtId="3" fontId="1" fillId="2" borderId="2" xfId="0" applyNumberFormat="1" applyFont="1" applyFill="1" applyBorder="1" applyAlignment="1">
      <alignment horizontal="left" wrapText="1"/>
    </xf>
    <xf numFmtId="4" fontId="1" fillId="3" borderId="2" xfId="0" applyNumberFormat="1" applyFont="1" applyFill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 applyAlignment="1">
      <alignment horizontal="left"/>
    </xf>
    <xf numFmtId="3" fontId="1" fillId="2" borderId="2" xfId="0" applyNumberFormat="1" applyFont="1" applyFill="1" applyBorder="1" applyAlignment="1">
      <alignment horizontal="right"/>
    </xf>
    <xf numFmtId="4" fontId="1" fillId="3" borderId="2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left"/>
    </xf>
    <xf numFmtId="3" fontId="1" fillId="0" borderId="4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right"/>
    </xf>
    <xf numFmtId="4" fontId="1" fillId="0" borderId="4" xfId="0" applyNumberFormat="1" applyFont="1" applyBorder="1" applyAlignment="1">
      <alignment horizontal="left"/>
    </xf>
    <xf numFmtId="4" fontId="1" fillId="4" borderId="2" xfId="0" applyNumberFormat="1" applyFont="1" applyFill="1" applyBorder="1" applyAlignment="1">
      <alignment horizontal="left" wrapText="1"/>
    </xf>
    <xf numFmtId="4" fontId="1" fillId="4" borderId="2" xfId="0" applyNumberFormat="1" applyFont="1" applyFill="1" applyBorder="1" applyAlignment="1">
      <alignment horizontal="right"/>
    </xf>
    <xf numFmtId="3" fontId="0" fillId="0" borderId="0" xfId="0" applyNumberFormat="1" applyAlignment="1">
      <alignment wrapText="1"/>
    </xf>
    <xf numFmtId="3" fontId="2" fillId="0" borderId="3" xfId="0" applyNumberFormat="1" applyFont="1" applyBorder="1" applyAlignment="1">
      <alignment horizontal="left"/>
    </xf>
    <xf numFmtId="4" fontId="0" fillId="0" borderId="0" xfId="0" applyNumberFormat="1" applyAlignment="1">
      <alignment horizontal="right" wrapText="1"/>
    </xf>
    <xf numFmtId="4" fontId="0" fillId="0" borderId="0" xfId="0" applyNumberFormat="1" applyAlignment="1">
      <alignment wrapText="1"/>
    </xf>
    <xf numFmtId="3" fontId="1" fillId="5" borderId="2" xfId="0" applyNumberFormat="1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4" formatCode="#,##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2" displayName="Table2" ref="A1:C399" totalsRowShown="0">
  <autoFilter ref="A1:C399" xr:uid="{00000000-0009-0000-0100-000004000000}"/>
  <tableColumns count="3">
    <tableColumn id="1" xr3:uid="{00000000-0010-0000-0000-000001000000}" name="mpg"/>
    <tableColumn id="2" xr3:uid="{00000000-0010-0000-0000-000002000000}" name="Z-Score"/>
    <tableColumn id="3" xr3:uid="{00000000-0010-0000-0000-000003000000}" name="Is Outlier?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Q21:U24" totalsRowShown="0">
  <autoFilter ref="Q21:U24" xr:uid="{00000000-0009-0000-0100-000003000000}"/>
  <tableColumns count="5">
    <tableColumn id="1" xr3:uid="{00000000-0010-0000-0100-000001000000}" name="Tier"/>
    <tableColumn id="2" xr3:uid="{00000000-0010-0000-0100-000002000000}" name="Horsepower"/>
    <tableColumn id="3" xr3:uid="{00000000-0010-0000-0100-000003000000}" name="Acceleration"/>
    <tableColumn id="4" xr3:uid="{00000000-0010-0000-0100-000004000000}" name="MPG"/>
    <tableColumn id="5" xr3:uid="{00000000-0010-0000-0100-000005000000}" name="C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700C92-D63F-4404-935E-5F4D0309B941}" name="Table5" displayName="Table5" ref="A1:J393" totalsRowShown="0" headerRowDxfId="0" dataDxfId="1">
  <autoFilter ref="A1:J393" xr:uid="{D53A0AF8-0566-4440-89B9-751DFE240C82}"/>
  <tableColumns count="10">
    <tableColumn id="1" xr3:uid="{7BACBB44-486C-46B2-9EBF-55F655602C15}" name="name"/>
    <tableColumn id="2" xr3:uid="{AB730129-FFC3-49DB-B023-D7FA67C79262}" name="mpg" dataDxfId="9"/>
    <tableColumn id="3" xr3:uid="{BB307AF2-7611-413F-812A-F84D5FC4FBA0}" name="cylinders" dataDxfId="8"/>
    <tableColumn id="4" xr3:uid="{D20EE5E7-FB84-4CDD-BF9E-2B3703154630}" name="displacement" dataDxfId="7"/>
    <tableColumn id="5" xr3:uid="{9FE0167E-2B9A-4FF7-9B6A-85D02888D45B}" name="horsepower" dataDxfId="6"/>
    <tableColumn id="6" xr3:uid="{BB446BBB-3330-42E9-B6B7-22B829081349}" name="weight" dataDxfId="5"/>
    <tableColumn id="7" xr3:uid="{EB98BA19-0B0E-4B3D-A870-DCA978FE2253}" name="Power-to-Weight" dataDxfId="4">
      <calculatedColumnFormula>IFERROR(E2/F2, "")</calculatedColumnFormula>
    </tableColumn>
    <tableColumn id="8" xr3:uid="{54E07B9F-6105-47D7-B904-745C818FB44A}" name="acceleration" dataDxfId="3"/>
    <tableColumn id="9" xr3:uid="{E11F4418-1DF8-418F-8C37-0E18A79CE92A}" name="model_year" dataDxfId="2"/>
    <tableColumn id="10" xr3:uid="{A1285C20-E4EB-4F87-8058-0D2FE0992408}" name="origi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D11" totalsRowShown="0">
  <autoFilter ref="A1:D11" xr:uid="{00000000-0009-0000-0100-000001000000}"/>
  <tableColumns count="4">
    <tableColumn id="1" xr3:uid="{00000000-0010-0000-0300-000001000000}" name="number"/>
    <tableColumn id="2" xr3:uid="{00000000-0010-0000-0300-000002000000}" name="task"/>
    <tableColumn id="3" xr3:uid="{00000000-0010-0000-0300-000003000000}" name="dificulty"/>
    <tableColumn id="4" xr3:uid="{00000000-0010-0000-0300-000004000000}" name="Complete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413"/>
  <sheetViews>
    <sheetView topLeftCell="A393" workbookViewId="0">
      <selection activeCell="F406" sqref="F406"/>
    </sheetView>
  </sheetViews>
  <sheetFormatPr defaultRowHeight="14.4" x14ac:dyDescent="0.3"/>
  <cols>
    <col min="1" max="1" width="37" bestFit="1" customWidth="1"/>
    <col min="2" max="2" width="13.5546875" style="4" bestFit="1" customWidth="1"/>
    <col min="3" max="3" width="13.5546875" style="1" bestFit="1" customWidth="1"/>
    <col min="4" max="4" width="12.88671875" style="6" bestFit="1" customWidth="1"/>
    <col min="5" max="5" width="11.6640625" style="6" bestFit="1" customWidth="1"/>
    <col min="6" max="6" width="13.5546875" style="6" bestFit="1" customWidth="1"/>
    <col min="7" max="7" width="10.109375" style="5" bestFit="1" customWidth="1"/>
    <col min="8" max="8" width="12.6640625" style="6" bestFit="1" customWidth="1"/>
    <col min="9" max="9" width="11.5546875" style="6" bestFit="1" customWidth="1"/>
    <col min="10" max="19" width="13.5546875" bestFit="1" customWidth="1"/>
    <col min="20" max="20" width="10.5546875" bestFit="1" customWidth="1"/>
    <col min="21" max="21" width="11.44140625" style="6" bestFit="1" customWidth="1"/>
    <col min="22" max="22" width="11.109375" style="6" bestFit="1" customWidth="1"/>
    <col min="23" max="23" width="9.33203125" style="6" bestFit="1" customWidth="1"/>
    <col min="24" max="24" width="8.6640625" style="6" bestFit="1" customWidth="1"/>
    <col min="25" max="25" width="13.5546875" style="6" bestFit="1" customWidth="1"/>
  </cols>
  <sheetData>
    <row r="1" spans="1:25" s="10" customFormat="1" ht="58.5" customHeight="1" x14ac:dyDescent="0.3">
      <c r="A1" s="11" t="s">
        <v>31</v>
      </c>
      <c r="B1" s="13" t="s">
        <v>33</v>
      </c>
      <c r="C1" s="12" t="s">
        <v>32</v>
      </c>
      <c r="D1" s="12" t="s">
        <v>35</v>
      </c>
      <c r="E1" s="12" t="s">
        <v>36</v>
      </c>
      <c r="F1" s="12" t="s">
        <v>34</v>
      </c>
      <c r="G1" s="13" t="s">
        <v>37</v>
      </c>
      <c r="H1" s="12" t="s">
        <v>38</v>
      </c>
      <c r="I1" s="12" t="s">
        <v>39</v>
      </c>
      <c r="J1" s="11" t="s">
        <v>40</v>
      </c>
      <c r="U1" s="29"/>
      <c r="V1" s="29" t="s">
        <v>456</v>
      </c>
      <c r="W1" s="29"/>
      <c r="X1" s="29"/>
      <c r="Y1" s="29"/>
    </row>
    <row r="2" spans="1:25" ht="18.75" customHeight="1" x14ac:dyDescent="0.3">
      <c r="A2" t="s">
        <v>41</v>
      </c>
      <c r="B2" s="2">
        <v>26</v>
      </c>
      <c r="C2" s="2">
        <v>4</v>
      </c>
      <c r="D2" s="2">
        <v>121</v>
      </c>
      <c r="E2" s="2">
        <v>113</v>
      </c>
      <c r="F2" s="2">
        <v>2234</v>
      </c>
      <c r="G2" s="8">
        <f t="shared" ref="G2:G65" si="0">IFERROR(E2/F2, "")</f>
        <v>5.0581915846016116E-2</v>
      </c>
      <c r="H2" s="8">
        <v>12.5</v>
      </c>
      <c r="I2" s="2">
        <v>70</v>
      </c>
      <c r="J2" t="s">
        <v>27</v>
      </c>
      <c r="W2" s="6" t="s">
        <v>457</v>
      </c>
      <c r="Y2" s="6" t="s">
        <v>364</v>
      </c>
    </row>
    <row r="3" spans="1:25" ht="18.75" customHeight="1" x14ac:dyDescent="0.3">
      <c r="A3" t="s">
        <v>42</v>
      </c>
      <c r="B3" s="2">
        <v>25</v>
      </c>
      <c r="C3" s="2">
        <v>4</v>
      </c>
      <c r="D3" s="2">
        <v>104</v>
      </c>
      <c r="E3" s="2">
        <v>95</v>
      </c>
      <c r="F3" s="2">
        <v>2375</v>
      </c>
      <c r="G3" s="8">
        <f t="shared" si="0"/>
        <v>0.04</v>
      </c>
      <c r="H3" s="8">
        <v>17.5</v>
      </c>
      <c r="I3" s="2">
        <v>70</v>
      </c>
      <c r="J3" t="s">
        <v>27</v>
      </c>
      <c r="V3" s="6" t="s">
        <v>431</v>
      </c>
      <c r="W3" s="6" t="s">
        <v>434</v>
      </c>
      <c r="X3" s="6" t="s">
        <v>458</v>
      </c>
    </row>
    <row r="4" spans="1:25" ht="18.75" customHeight="1" x14ac:dyDescent="0.3">
      <c r="A4" t="s">
        <v>43</v>
      </c>
      <c r="B4" s="2">
        <v>24</v>
      </c>
      <c r="C4" s="2">
        <v>4</v>
      </c>
      <c r="D4" s="2">
        <v>107</v>
      </c>
      <c r="E4" s="2">
        <v>90</v>
      </c>
      <c r="F4" s="2">
        <v>2430</v>
      </c>
      <c r="G4" s="8">
        <f t="shared" si="0"/>
        <v>3.7037037037037035E-2</v>
      </c>
      <c r="H4" s="8">
        <v>14.5</v>
      </c>
      <c r="I4" s="2">
        <v>70</v>
      </c>
      <c r="J4" t="s">
        <v>27</v>
      </c>
      <c r="T4" t="s">
        <v>400</v>
      </c>
      <c r="V4" s="2">
        <v>70</v>
      </c>
      <c r="W4" s="2">
        <v>79</v>
      </c>
      <c r="X4" s="2">
        <v>249</v>
      </c>
      <c r="Y4" s="2">
        <v>398</v>
      </c>
    </row>
    <row r="5" spans="1:25" ht="18.75" customHeight="1" x14ac:dyDescent="0.3">
      <c r="A5" t="s">
        <v>44</v>
      </c>
      <c r="B5" s="2">
        <v>25</v>
      </c>
      <c r="C5" s="2">
        <v>4</v>
      </c>
      <c r="D5" s="2">
        <v>110</v>
      </c>
      <c r="E5" s="2">
        <v>87</v>
      </c>
      <c r="F5" s="2">
        <v>2672</v>
      </c>
      <c r="G5" s="8">
        <f t="shared" si="0"/>
        <v>3.2559880239520958E-2</v>
      </c>
      <c r="H5" s="8">
        <v>17.5</v>
      </c>
      <c r="I5" s="2">
        <v>70</v>
      </c>
      <c r="J5" t="s">
        <v>27</v>
      </c>
      <c r="U5" s="2">
        <v>3</v>
      </c>
      <c r="V5" s="2">
        <v>0</v>
      </c>
      <c r="W5" s="2">
        <v>4</v>
      </c>
      <c r="X5" s="2">
        <v>0</v>
      </c>
      <c r="Y5" s="2">
        <v>4</v>
      </c>
    </row>
    <row r="6" spans="1:25" ht="18.75" customHeight="1" x14ac:dyDescent="0.3">
      <c r="A6" t="s">
        <v>45</v>
      </c>
      <c r="B6" s="2">
        <v>26</v>
      </c>
      <c r="C6" s="2">
        <v>4</v>
      </c>
      <c r="D6" s="2">
        <v>97</v>
      </c>
      <c r="E6" s="2">
        <v>46</v>
      </c>
      <c r="F6" s="2">
        <v>1835</v>
      </c>
      <c r="G6" s="8">
        <f t="shared" si="0"/>
        <v>2.5068119891008173E-2</v>
      </c>
      <c r="H6" s="8">
        <v>20.5</v>
      </c>
      <c r="I6" s="2">
        <v>70</v>
      </c>
      <c r="J6" t="s">
        <v>27</v>
      </c>
      <c r="U6" s="2">
        <v>4</v>
      </c>
      <c r="V6" s="2">
        <v>63</v>
      </c>
      <c r="W6" s="2">
        <v>69</v>
      </c>
      <c r="X6" s="2">
        <v>72</v>
      </c>
      <c r="Y6" s="2">
        <v>204</v>
      </c>
    </row>
    <row r="7" spans="1:25" ht="18.75" customHeight="1" x14ac:dyDescent="0.3">
      <c r="A7" t="s">
        <v>46</v>
      </c>
      <c r="B7" s="2">
        <v>28</v>
      </c>
      <c r="C7" s="2">
        <v>4</v>
      </c>
      <c r="D7" s="2">
        <v>116</v>
      </c>
      <c r="E7" s="2">
        <v>90</v>
      </c>
      <c r="F7" s="2">
        <v>2123</v>
      </c>
      <c r="G7" s="8">
        <f t="shared" si="0"/>
        <v>4.239284032030146E-2</v>
      </c>
      <c r="H7" s="2">
        <v>14</v>
      </c>
      <c r="I7" s="2">
        <v>71</v>
      </c>
      <c r="J7" t="s">
        <v>27</v>
      </c>
      <c r="T7" t="s">
        <v>459</v>
      </c>
      <c r="U7" s="2">
        <v>5</v>
      </c>
      <c r="V7" s="2">
        <v>3</v>
      </c>
      <c r="W7" s="2">
        <v>0</v>
      </c>
      <c r="X7" s="2">
        <v>0</v>
      </c>
      <c r="Y7" s="2">
        <v>3</v>
      </c>
    </row>
    <row r="8" spans="1:25" ht="18.75" customHeight="1" x14ac:dyDescent="0.3">
      <c r="A8" t="s">
        <v>47</v>
      </c>
      <c r="B8" s="2">
        <v>30</v>
      </c>
      <c r="C8" s="2">
        <v>4</v>
      </c>
      <c r="D8" s="2">
        <v>88</v>
      </c>
      <c r="E8" s="2">
        <v>76</v>
      </c>
      <c r="F8" s="2">
        <v>2065</v>
      </c>
      <c r="G8" s="8">
        <f t="shared" si="0"/>
        <v>3.6803874092009685E-2</v>
      </c>
      <c r="H8" s="8">
        <v>14.5</v>
      </c>
      <c r="I8" s="2">
        <v>71</v>
      </c>
      <c r="J8" t="s">
        <v>27</v>
      </c>
      <c r="U8" s="2">
        <v>6</v>
      </c>
      <c r="V8" s="2">
        <v>4</v>
      </c>
      <c r="W8" s="2">
        <v>6</v>
      </c>
      <c r="X8" s="2">
        <v>74</v>
      </c>
      <c r="Y8" s="2">
        <v>84</v>
      </c>
    </row>
    <row r="9" spans="1:25" ht="18.75" customHeight="1" x14ac:dyDescent="0.3">
      <c r="A9" t="s">
        <v>48</v>
      </c>
      <c r="B9" s="2">
        <v>30</v>
      </c>
      <c r="C9" s="2">
        <v>4</v>
      </c>
      <c r="D9" s="2">
        <v>79</v>
      </c>
      <c r="E9" s="2">
        <v>70</v>
      </c>
      <c r="F9" s="2">
        <v>2074</v>
      </c>
      <c r="G9" s="8">
        <f t="shared" si="0"/>
        <v>3.3751205400192864E-2</v>
      </c>
      <c r="H9" s="8">
        <v>19.5</v>
      </c>
      <c r="I9" s="2">
        <v>71</v>
      </c>
      <c r="J9" t="s">
        <v>27</v>
      </c>
      <c r="U9" s="2">
        <v>8</v>
      </c>
      <c r="V9" s="2">
        <v>0</v>
      </c>
      <c r="W9" s="2">
        <v>0</v>
      </c>
      <c r="X9" s="2">
        <v>103</v>
      </c>
      <c r="Y9" s="2">
        <v>103</v>
      </c>
    </row>
    <row r="10" spans="1:25" ht="18.75" customHeight="1" x14ac:dyDescent="0.3">
      <c r="A10" t="s">
        <v>49</v>
      </c>
      <c r="B10" s="2">
        <v>27</v>
      </c>
      <c r="C10" s="2">
        <v>4</v>
      </c>
      <c r="D10" s="2">
        <v>97</v>
      </c>
      <c r="E10" s="2">
        <v>60</v>
      </c>
      <c r="F10" s="2">
        <v>1834</v>
      </c>
      <c r="G10" s="8">
        <f t="shared" si="0"/>
        <v>3.271537622682661E-2</v>
      </c>
      <c r="H10" s="2">
        <v>19</v>
      </c>
      <c r="I10" s="2">
        <v>71</v>
      </c>
      <c r="J10" t="s">
        <v>27</v>
      </c>
      <c r="U10" s="2">
        <v>70</v>
      </c>
      <c r="V10" s="2">
        <v>5</v>
      </c>
      <c r="W10" s="2">
        <v>2</v>
      </c>
      <c r="X10" s="2">
        <v>22</v>
      </c>
      <c r="Y10" s="2">
        <v>29</v>
      </c>
    </row>
    <row r="11" spans="1:25" ht="18.75" customHeight="1" x14ac:dyDescent="0.3">
      <c r="A11" t="s">
        <v>50</v>
      </c>
      <c r="B11" s="2">
        <v>18</v>
      </c>
      <c r="C11" s="2">
        <v>4</v>
      </c>
      <c r="D11" s="2">
        <v>121</v>
      </c>
      <c r="E11" s="2">
        <v>112</v>
      </c>
      <c r="F11" s="2">
        <v>2933</v>
      </c>
      <c r="G11" s="8">
        <f t="shared" si="0"/>
        <v>3.8186157517899763E-2</v>
      </c>
      <c r="H11" s="8">
        <v>14.5</v>
      </c>
      <c r="I11" s="2">
        <v>72</v>
      </c>
      <c r="J11" t="s">
        <v>27</v>
      </c>
      <c r="U11" s="2">
        <v>71</v>
      </c>
      <c r="V11" s="2">
        <v>4</v>
      </c>
      <c r="W11" s="2">
        <v>4</v>
      </c>
      <c r="X11" s="2">
        <v>20</v>
      </c>
      <c r="Y11" s="2">
        <v>28</v>
      </c>
    </row>
    <row r="12" spans="1:25" ht="18.75" customHeight="1" x14ac:dyDescent="0.3">
      <c r="A12" t="s">
        <v>51</v>
      </c>
      <c r="B12" s="2">
        <v>26</v>
      </c>
      <c r="C12" s="2">
        <v>4</v>
      </c>
      <c r="D12" s="2">
        <v>96</v>
      </c>
      <c r="E12" s="2">
        <v>69</v>
      </c>
      <c r="F12" s="2">
        <v>2189</v>
      </c>
      <c r="G12" s="8">
        <f t="shared" si="0"/>
        <v>3.1521242576518956E-2</v>
      </c>
      <c r="H12" s="2">
        <v>18</v>
      </c>
      <c r="I12" s="2">
        <v>72</v>
      </c>
      <c r="J12" t="s">
        <v>27</v>
      </c>
      <c r="U12" s="2">
        <v>72</v>
      </c>
      <c r="V12" s="2">
        <v>5</v>
      </c>
      <c r="W12" s="2">
        <v>5</v>
      </c>
      <c r="X12" s="2">
        <v>18</v>
      </c>
      <c r="Y12" s="2">
        <v>28</v>
      </c>
    </row>
    <row r="13" spans="1:25" ht="18.75" customHeight="1" x14ac:dyDescent="0.3">
      <c r="A13" t="s">
        <v>52</v>
      </c>
      <c r="B13" s="2">
        <v>22</v>
      </c>
      <c r="C13" s="2">
        <v>4</v>
      </c>
      <c r="D13" s="2">
        <v>121</v>
      </c>
      <c r="E13" s="2">
        <v>76</v>
      </c>
      <c r="F13" s="2">
        <v>2511</v>
      </c>
      <c r="G13" s="8">
        <f t="shared" si="0"/>
        <v>3.0266825965750695E-2</v>
      </c>
      <c r="H13" s="2">
        <v>18</v>
      </c>
      <c r="I13" s="2">
        <v>72</v>
      </c>
      <c r="J13" t="s">
        <v>27</v>
      </c>
      <c r="U13" s="2">
        <v>73</v>
      </c>
      <c r="V13" s="2">
        <v>7</v>
      </c>
      <c r="W13" s="2">
        <v>4</v>
      </c>
      <c r="X13" s="2">
        <v>29</v>
      </c>
      <c r="Y13" s="2">
        <v>40</v>
      </c>
    </row>
    <row r="14" spans="1:25" ht="18.75" customHeight="1" x14ac:dyDescent="0.3">
      <c r="A14" t="s">
        <v>53</v>
      </c>
      <c r="B14" s="2">
        <v>21</v>
      </c>
      <c r="C14" s="2">
        <v>4</v>
      </c>
      <c r="D14" s="2">
        <v>120</v>
      </c>
      <c r="E14" s="2">
        <v>87</v>
      </c>
      <c r="F14" s="2">
        <v>2979</v>
      </c>
      <c r="G14" s="8">
        <f t="shared" si="0"/>
        <v>2.920443101711984E-2</v>
      </c>
      <c r="H14" s="8">
        <v>19.5</v>
      </c>
      <c r="I14" s="2">
        <v>72</v>
      </c>
      <c r="J14" t="s">
        <v>27</v>
      </c>
      <c r="U14" s="2">
        <v>74</v>
      </c>
      <c r="V14" s="2">
        <v>6</v>
      </c>
      <c r="W14" s="2">
        <v>6</v>
      </c>
      <c r="X14" s="2">
        <v>15</v>
      </c>
      <c r="Y14" s="2">
        <v>27</v>
      </c>
    </row>
    <row r="15" spans="1:25" ht="18.75" customHeight="1" x14ac:dyDescent="0.3">
      <c r="A15" t="s">
        <v>54</v>
      </c>
      <c r="B15" s="2">
        <v>23</v>
      </c>
      <c r="C15" s="2">
        <v>4</v>
      </c>
      <c r="D15" s="2">
        <v>97</v>
      </c>
      <c r="E15" s="2">
        <v>54</v>
      </c>
      <c r="F15" s="2">
        <v>2254</v>
      </c>
      <c r="G15" s="8">
        <f t="shared" si="0"/>
        <v>2.3957409050576754E-2</v>
      </c>
      <c r="H15" s="8">
        <v>23.5</v>
      </c>
      <c r="I15" s="2">
        <v>72</v>
      </c>
      <c r="J15" t="s">
        <v>27</v>
      </c>
      <c r="T15" t="s">
        <v>460</v>
      </c>
      <c r="U15" s="2">
        <v>75</v>
      </c>
      <c r="V15" s="2">
        <v>6</v>
      </c>
      <c r="W15" s="2">
        <v>4</v>
      </c>
      <c r="X15" s="2">
        <v>20</v>
      </c>
      <c r="Y15" s="2">
        <v>30</v>
      </c>
    </row>
    <row r="16" spans="1:25" ht="18.75" customHeight="1" x14ac:dyDescent="0.3">
      <c r="A16" t="s">
        <v>55</v>
      </c>
      <c r="B16" s="2">
        <v>24</v>
      </c>
      <c r="C16" s="2">
        <v>4</v>
      </c>
      <c r="D16" s="2">
        <v>121</v>
      </c>
      <c r="E16" s="2">
        <v>110</v>
      </c>
      <c r="F16" s="2">
        <v>2660</v>
      </c>
      <c r="G16" s="8">
        <f t="shared" si="0"/>
        <v>4.1353383458646614E-2</v>
      </c>
      <c r="H16" s="2">
        <v>14</v>
      </c>
      <c r="I16" s="2">
        <v>73</v>
      </c>
      <c r="J16" t="s">
        <v>27</v>
      </c>
      <c r="U16" s="2">
        <v>76</v>
      </c>
      <c r="V16" s="2">
        <v>8</v>
      </c>
      <c r="W16" s="2">
        <v>4</v>
      </c>
      <c r="X16" s="2">
        <v>22</v>
      </c>
      <c r="Y16" s="2">
        <v>34</v>
      </c>
    </row>
    <row r="17" spans="1:25" ht="18.75" customHeight="1" x14ac:dyDescent="0.3">
      <c r="A17" t="s">
        <v>56</v>
      </c>
      <c r="B17" s="2">
        <v>26</v>
      </c>
      <c r="C17" s="2">
        <v>4</v>
      </c>
      <c r="D17" s="2">
        <v>98</v>
      </c>
      <c r="E17" s="2">
        <v>90</v>
      </c>
      <c r="F17" s="2">
        <v>2265</v>
      </c>
      <c r="G17" s="8">
        <f t="shared" si="0"/>
        <v>3.9735099337748346E-2</v>
      </c>
      <c r="H17" s="8">
        <v>15.5</v>
      </c>
      <c r="I17" s="2">
        <v>73</v>
      </c>
      <c r="J17" t="s">
        <v>27</v>
      </c>
      <c r="U17" s="2">
        <v>77</v>
      </c>
      <c r="V17" s="2">
        <v>4</v>
      </c>
      <c r="W17" s="2">
        <v>6</v>
      </c>
      <c r="X17" s="2">
        <v>18</v>
      </c>
      <c r="Y17" s="2">
        <v>28</v>
      </c>
    </row>
    <row r="18" spans="1:25" ht="18.75" customHeight="1" x14ac:dyDescent="0.3">
      <c r="A18" t="s">
        <v>57</v>
      </c>
      <c r="B18" s="2">
        <v>19</v>
      </c>
      <c r="C18" s="2">
        <v>4</v>
      </c>
      <c r="D18" s="2">
        <v>121</v>
      </c>
      <c r="E18" s="2">
        <v>112</v>
      </c>
      <c r="F18" s="2">
        <v>2868</v>
      </c>
      <c r="G18" s="8">
        <f t="shared" si="0"/>
        <v>3.9051603905160388E-2</v>
      </c>
      <c r="H18" s="8">
        <v>15.5</v>
      </c>
      <c r="I18" s="2">
        <v>73</v>
      </c>
      <c r="J18" t="s">
        <v>27</v>
      </c>
      <c r="U18" s="2">
        <v>78</v>
      </c>
      <c r="V18" s="2">
        <v>6</v>
      </c>
      <c r="W18" s="2">
        <v>8</v>
      </c>
      <c r="X18" s="2">
        <v>22</v>
      </c>
      <c r="Y18" s="2">
        <v>36</v>
      </c>
    </row>
    <row r="19" spans="1:25" ht="18.75" customHeight="1" x14ac:dyDescent="0.3">
      <c r="A19" t="s">
        <v>58</v>
      </c>
      <c r="B19" s="2">
        <v>20</v>
      </c>
      <c r="C19" s="2">
        <v>4</v>
      </c>
      <c r="D19" s="2">
        <v>114</v>
      </c>
      <c r="E19" s="2">
        <v>91</v>
      </c>
      <c r="F19" s="2">
        <v>2582</v>
      </c>
      <c r="G19" s="8">
        <f t="shared" si="0"/>
        <v>3.5243996901626648E-2</v>
      </c>
      <c r="H19" s="2">
        <v>14</v>
      </c>
      <c r="I19" s="2">
        <v>73</v>
      </c>
      <c r="J19" t="s">
        <v>27</v>
      </c>
      <c r="U19" s="2">
        <v>79</v>
      </c>
      <c r="V19" s="2">
        <v>4</v>
      </c>
      <c r="W19" s="2">
        <v>2</v>
      </c>
      <c r="X19" s="2">
        <v>23</v>
      </c>
      <c r="Y19" s="2">
        <v>29</v>
      </c>
    </row>
    <row r="20" spans="1:25" ht="18.75" customHeight="1" x14ac:dyDescent="0.3">
      <c r="A20" t="s">
        <v>59</v>
      </c>
      <c r="B20" s="2">
        <v>24</v>
      </c>
      <c r="C20" s="2">
        <v>4</v>
      </c>
      <c r="D20" s="2">
        <v>116</v>
      </c>
      <c r="E20" s="2">
        <v>75</v>
      </c>
      <c r="F20" s="2">
        <v>2158</v>
      </c>
      <c r="G20" s="8">
        <f t="shared" si="0"/>
        <v>3.4754402224281743E-2</v>
      </c>
      <c r="H20" s="8">
        <v>15.5</v>
      </c>
      <c r="I20" s="2">
        <v>73</v>
      </c>
      <c r="J20" t="s">
        <v>27</v>
      </c>
      <c r="U20" s="2">
        <v>80</v>
      </c>
      <c r="V20" s="2">
        <v>9</v>
      </c>
      <c r="W20" s="2">
        <v>13</v>
      </c>
      <c r="X20" s="2">
        <v>7</v>
      </c>
      <c r="Y20" s="2">
        <v>29</v>
      </c>
    </row>
    <row r="21" spans="1:25" ht="18.75" customHeight="1" x14ac:dyDescent="0.3">
      <c r="A21" t="s">
        <v>60</v>
      </c>
      <c r="B21" s="2">
        <v>29</v>
      </c>
      <c r="C21" s="2">
        <v>4</v>
      </c>
      <c r="D21" s="2">
        <v>68</v>
      </c>
      <c r="E21" s="2">
        <v>49</v>
      </c>
      <c r="F21" s="2">
        <v>1867</v>
      </c>
      <c r="G21" s="8">
        <f t="shared" si="0"/>
        <v>2.6245313336904125E-2</v>
      </c>
      <c r="H21" s="8">
        <v>19.5</v>
      </c>
      <c r="I21" s="2">
        <v>73</v>
      </c>
      <c r="J21" t="s">
        <v>27</v>
      </c>
      <c r="U21" s="2">
        <v>81</v>
      </c>
      <c r="V21" s="2">
        <v>4</v>
      </c>
      <c r="W21" s="2">
        <v>12</v>
      </c>
      <c r="X21" s="2">
        <v>13</v>
      </c>
      <c r="Y21" s="2">
        <v>29</v>
      </c>
    </row>
    <row r="22" spans="1:25" ht="18.75" customHeight="1" x14ac:dyDescent="0.3">
      <c r="A22" t="s">
        <v>61</v>
      </c>
      <c r="B22" s="2">
        <v>26</v>
      </c>
      <c r="C22" s="2">
        <v>4</v>
      </c>
      <c r="D22" s="2">
        <v>97</v>
      </c>
      <c r="E22" s="2">
        <v>46</v>
      </c>
      <c r="F22" s="2">
        <v>1950</v>
      </c>
      <c r="G22" s="8">
        <f t="shared" si="0"/>
        <v>2.3589743589743591E-2</v>
      </c>
      <c r="H22" s="2">
        <v>21</v>
      </c>
      <c r="I22" s="2">
        <v>73</v>
      </c>
      <c r="J22" t="s">
        <v>27</v>
      </c>
      <c r="U22" s="2">
        <v>82</v>
      </c>
      <c r="V22" s="2">
        <v>2</v>
      </c>
      <c r="W22" s="2">
        <v>9</v>
      </c>
      <c r="X22" s="2">
        <v>20</v>
      </c>
      <c r="Y22" s="2">
        <v>31</v>
      </c>
    </row>
    <row r="23" spans="1:25" ht="18.75" customHeight="1" x14ac:dyDescent="0.3">
      <c r="A23" t="s">
        <v>62</v>
      </c>
      <c r="B23" s="2">
        <v>29</v>
      </c>
      <c r="C23" s="2">
        <v>4</v>
      </c>
      <c r="D23" s="2">
        <v>98</v>
      </c>
      <c r="E23" s="2">
        <v>83</v>
      </c>
      <c r="F23" s="2">
        <v>2219</v>
      </c>
      <c r="G23" s="8">
        <f t="shared" si="0"/>
        <v>3.740423614240649E-2</v>
      </c>
      <c r="H23" s="8">
        <v>16.5</v>
      </c>
      <c r="I23" s="2">
        <v>74</v>
      </c>
      <c r="J23" t="s">
        <v>27</v>
      </c>
      <c r="T23" t="s">
        <v>364</v>
      </c>
      <c r="V23" s="2">
        <v>210</v>
      </c>
      <c r="W23" s="2">
        <v>237</v>
      </c>
      <c r="X23" s="2">
        <v>747</v>
      </c>
      <c r="Y23" s="2">
        <v>1194</v>
      </c>
    </row>
    <row r="24" spans="1:25" ht="18.75" customHeight="1" x14ac:dyDescent="0.3">
      <c r="A24" t="s">
        <v>60</v>
      </c>
      <c r="B24" s="2">
        <v>24</v>
      </c>
      <c r="C24" s="2">
        <v>4</v>
      </c>
      <c r="D24" s="2">
        <v>90</v>
      </c>
      <c r="E24" s="2">
        <v>75</v>
      </c>
      <c r="F24" s="2">
        <v>2108</v>
      </c>
      <c r="G24" s="8">
        <f t="shared" si="0"/>
        <v>3.5578747628083489E-2</v>
      </c>
      <c r="H24" s="8">
        <v>15.5</v>
      </c>
      <c r="I24" s="2">
        <v>74</v>
      </c>
      <c r="J24" t="s">
        <v>27</v>
      </c>
    </row>
    <row r="25" spans="1:25" ht="18.75" customHeight="1" x14ac:dyDescent="0.3">
      <c r="A25" t="s">
        <v>63</v>
      </c>
      <c r="B25" s="2">
        <v>26</v>
      </c>
      <c r="C25" s="2">
        <v>4</v>
      </c>
      <c r="D25" s="2">
        <v>79</v>
      </c>
      <c r="E25" s="2">
        <v>67</v>
      </c>
      <c r="F25" s="2">
        <v>1963</v>
      </c>
      <c r="G25" s="8">
        <f t="shared" si="0"/>
        <v>3.4131431482424861E-2</v>
      </c>
      <c r="H25" s="8">
        <v>15.5</v>
      </c>
      <c r="I25" s="2">
        <v>74</v>
      </c>
      <c r="J25" t="s">
        <v>27</v>
      </c>
    </row>
    <row r="26" spans="1:25" ht="18.75" customHeight="1" x14ac:dyDescent="0.3">
      <c r="A26" t="s">
        <v>59</v>
      </c>
      <c r="B26" s="2">
        <v>26</v>
      </c>
      <c r="C26" s="2">
        <v>4</v>
      </c>
      <c r="D26" s="2">
        <v>97</v>
      </c>
      <c r="E26" s="2">
        <v>78</v>
      </c>
      <c r="F26" s="2">
        <v>2300</v>
      </c>
      <c r="G26" s="8">
        <f t="shared" si="0"/>
        <v>3.3913043478260872E-2</v>
      </c>
      <c r="H26" s="8">
        <v>14.5</v>
      </c>
      <c r="I26" s="2">
        <v>74</v>
      </c>
      <c r="J26" t="s">
        <v>27</v>
      </c>
    </row>
    <row r="27" spans="1:25" ht="18.75" customHeight="1" x14ac:dyDescent="0.3">
      <c r="A27" t="s">
        <v>64</v>
      </c>
      <c r="B27" s="2">
        <v>31</v>
      </c>
      <c r="C27" s="2">
        <v>4</v>
      </c>
      <c r="D27" s="2">
        <v>79</v>
      </c>
      <c r="E27" s="2">
        <v>67</v>
      </c>
      <c r="F27" s="2">
        <v>2000</v>
      </c>
      <c r="G27" s="8">
        <f t="shared" si="0"/>
        <v>3.3500000000000002E-2</v>
      </c>
      <c r="H27" s="2">
        <v>16</v>
      </c>
      <c r="I27" s="2">
        <v>74</v>
      </c>
      <c r="J27" t="s">
        <v>27</v>
      </c>
    </row>
    <row r="28" spans="1:25" ht="18.75" customHeight="1" x14ac:dyDescent="0.3">
      <c r="A28" t="s">
        <v>65</v>
      </c>
      <c r="B28" s="2">
        <v>26</v>
      </c>
      <c r="C28" s="2">
        <v>4</v>
      </c>
      <c r="D28" s="2">
        <v>116</v>
      </c>
      <c r="E28" s="2">
        <v>75</v>
      </c>
      <c r="F28" s="2">
        <v>2246</v>
      </c>
      <c r="G28" s="8">
        <f t="shared" si="0"/>
        <v>3.3392698130008905E-2</v>
      </c>
      <c r="H28" s="2">
        <v>14</v>
      </c>
      <c r="I28" s="2">
        <v>74</v>
      </c>
      <c r="J28" t="s">
        <v>27</v>
      </c>
    </row>
    <row r="29" spans="1:25" ht="18.75" customHeight="1" x14ac:dyDescent="0.3">
      <c r="A29" t="s">
        <v>55</v>
      </c>
      <c r="B29" s="2">
        <v>25</v>
      </c>
      <c r="C29" s="2">
        <v>4</v>
      </c>
      <c r="D29" s="2">
        <v>121</v>
      </c>
      <c r="E29" s="2">
        <v>115</v>
      </c>
      <c r="F29" s="2">
        <v>2671</v>
      </c>
      <c r="G29" s="8">
        <f t="shared" si="0"/>
        <v>4.3055035567203297E-2</v>
      </c>
      <c r="H29" s="8">
        <v>13.5</v>
      </c>
      <c r="I29" s="2">
        <v>75</v>
      </c>
      <c r="J29" t="s">
        <v>27</v>
      </c>
    </row>
    <row r="30" spans="1:25" ht="18.75" customHeight="1" x14ac:dyDescent="0.3">
      <c r="A30" t="s">
        <v>66</v>
      </c>
      <c r="B30" s="2">
        <v>29</v>
      </c>
      <c r="C30" s="2">
        <v>4</v>
      </c>
      <c r="D30" s="2">
        <v>90</v>
      </c>
      <c r="E30" s="2">
        <v>70</v>
      </c>
      <c r="F30" s="2">
        <v>1937</v>
      </c>
      <c r="G30" s="8">
        <f t="shared" si="0"/>
        <v>3.6138358286009295E-2</v>
      </c>
      <c r="H30" s="2">
        <v>14</v>
      </c>
      <c r="I30" s="2">
        <v>75</v>
      </c>
      <c r="J30" t="s">
        <v>27</v>
      </c>
    </row>
    <row r="31" spans="1:25" ht="18.75" customHeight="1" x14ac:dyDescent="0.3">
      <c r="A31" t="s">
        <v>58</v>
      </c>
      <c r="B31" s="2">
        <v>23</v>
      </c>
      <c r="C31" s="2">
        <v>4</v>
      </c>
      <c r="D31" s="2">
        <v>115</v>
      </c>
      <c r="E31" s="2">
        <v>95</v>
      </c>
      <c r="F31" s="2">
        <v>2694</v>
      </c>
      <c r="G31" s="8">
        <f t="shared" si="0"/>
        <v>3.526354862657758E-2</v>
      </c>
      <c r="H31" s="2">
        <v>15</v>
      </c>
      <c r="I31" s="2">
        <v>75</v>
      </c>
      <c r="J31" t="s">
        <v>27</v>
      </c>
    </row>
    <row r="32" spans="1:25" ht="18.75" customHeight="1" x14ac:dyDescent="0.3">
      <c r="A32" t="s">
        <v>67</v>
      </c>
      <c r="B32" s="2">
        <v>22</v>
      </c>
      <c r="C32" s="2">
        <v>4</v>
      </c>
      <c r="D32" s="2">
        <v>121</v>
      </c>
      <c r="E32" s="2">
        <v>98</v>
      </c>
      <c r="F32" s="2">
        <v>2945</v>
      </c>
      <c r="G32" s="8">
        <f t="shared" si="0"/>
        <v>3.3276740237691005E-2</v>
      </c>
      <c r="H32" s="8">
        <v>14.5</v>
      </c>
      <c r="I32" s="2">
        <v>75</v>
      </c>
      <c r="J32" t="s">
        <v>27</v>
      </c>
    </row>
    <row r="33" spans="1:10" ht="18.75" customHeight="1" x14ac:dyDescent="0.3">
      <c r="A33" t="s">
        <v>63</v>
      </c>
      <c r="B33" s="2">
        <v>25</v>
      </c>
      <c r="C33" s="2">
        <v>4</v>
      </c>
      <c r="D33" s="2">
        <v>90</v>
      </c>
      <c r="E33" s="2">
        <v>71</v>
      </c>
      <c r="F33" s="2">
        <v>2223</v>
      </c>
      <c r="G33" s="8">
        <f t="shared" si="0"/>
        <v>3.1938821412505626E-2</v>
      </c>
      <c r="H33" s="8">
        <v>16.5</v>
      </c>
      <c r="I33" s="2">
        <v>75</v>
      </c>
      <c r="J33" t="s">
        <v>27</v>
      </c>
    </row>
    <row r="34" spans="1:10" ht="18.75" customHeight="1" x14ac:dyDescent="0.3">
      <c r="A34" t="s">
        <v>44</v>
      </c>
      <c r="B34" s="2">
        <v>23</v>
      </c>
      <c r="C34" s="2">
        <v>4</v>
      </c>
      <c r="D34" s="2">
        <v>120</v>
      </c>
      <c r="E34" s="2">
        <v>88</v>
      </c>
      <c r="F34" s="2">
        <v>2957</v>
      </c>
      <c r="G34" s="8">
        <f t="shared" si="0"/>
        <v>2.9759891782211702E-2</v>
      </c>
      <c r="H34" s="2">
        <v>17</v>
      </c>
      <c r="I34" s="2">
        <v>75</v>
      </c>
      <c r="J34" t="s">
        <v>27</v>
      </c>
    </row>
    <row r="35" spans="1:10" ht="18.75" customHeight="1" x14ac:dyDescent="0.3">
      <c r="A35" t="s">
        <v>66</v>
      </c>
      <c r="B35" s="8">
        <v>29.5</v>
      </c>
      <c r="C35" s="2">
        <v>4</v>
      </c>
      <c r="D35" s="2">
        <v>97</v>
      </c>
      <c r="E35" s="2">
        <v>71</v>
      </c>
      <c r="F35" s="2">
        <v>1825</v>
      </c>
      <c r="G35" s="8">
        <f t="shared" si="0"/>
        <v>3.8904109589041093E-2</v>
      </c>
      <c r="H35" s="8">
        <v>12.2</v>
      </c>
      <c r="I35" s="2">
        <v>76</v>
      </c>
      <c r="J35" t="s">
        <v>27</v>
      </c>
    </row>
    <row r="36" spans="1:10" ht="18.75" customHeight="1" x14ac:dyDescent="0.3">
      <c r="A36" t="s">
        <v>68</v>
      </c>
      <c r="B36" s="2">
        <v>27</v>
      </c>
      <c r="C36" s="2">
        <v>4</v>
      </c>
      <c r="D36" s="2">
        <v>101</v>
      </c>
      <c r="E36" s="2">
        <v>83</v>
      </c>
      <c r="F36" s="2">
        <v>2202</v>
      </c>
      <c r="G36" s="8">
        <f t="shared" si="0"/>
        <v>3.7693006357856496E-2</v>
      </c>
      <c r="H36" s="8">
        <v>15.3</v>
      </c>
      <c r="I36" s="2">
        <v>76</v>
      </c>
      <c r="J36" t="s">
        <v>27</v>
      </c>
    </row>
    <row r="37" spans="1:10" ht="18.75" customHeight="1" x14ac:dyDescent="0.3">
      <c r="A37" t="s">
        <v>46</v>
      </c>
      <c r="B37" s="2">
        <v>25</v>
      </c>
      <c r="C37" s="2">
        <v>4</v>
      </c>
      <c r="D37" s="2">
        <v>116</v>
      </c>
      <c r="E37" s="2">
        <v>81</v>
      </c>
      <c r="F37" s="2">
        <v>2220</v>
      </c>
      <c r="G37" s="8">
        <f t="shared" si="0"/>
        <v>3.6486486486486489E-2</v>
      </c>
      <c r="H37" s="8">
        <v>16.899999999999999</v>
      </c>
      <c r="I37" s="2">
        <v>76</v>
      </c>
      <c r="J37" t="s">
        <v>27</v>
      </c>
    </row>
    <row r="38" spans="1:10" ht="18.75" customHeight="1" x14ac:dyDescent="0.3">
      <c r="A38" t="s">
        <v>69</v>
      </c>
      <c r="B38" s="2">
        <v>29</v>
      </c>
      <c r="C38" s="2">
        <v>4</v>
      </c>
      <c r="D38" s="2">
        <v>90</v>
      </c>
      <c r="E38" s="2">
        <v>70</v>
      </c>
      <c r="F38" s="2">
        <v>1937</v>
      </c>
      <c r="G38" s="8">
        <f t="shared" si="0"/>
        <v>3.6138358286009295E-2</v>
      </c>
      <c r="H38" s="8">
        <v>14.2</v>
      </c>
      <c r="I38" s="2">
        <v>76</v>
      </c>
      <c r="J38" t="s">
        <v>27</v>
      </c>
    </row>
    <row r="39" spans="1:10" ht="18.75" customHeight="1" x14ac:dyDescent="0.3">
      <c r="A39" t="s">
        <v>70</v>
      </c>
      <c r="B39" s="2">
        <v>28</v>
      </c>
      <c r="C39" s="2">
        <v>4</v>
      </c>
      <c r="D39" s="2">
        <v>107</v>
      </c>
      <c r="E39" s="2">
        <v>86</v>
      </c>
      <c r="F39" s="2">
        <v>2464</v>
      </c>
      <c r="G39" s="8">
        <f t="shared" si="0"/>
        <v>3.49025974025974E-2</v>
      </c>
      <c r="H39" s="8">
        <v>15.5</v>
      </c>
      <c r="I39" s="2">
        <v>76</v>
      </c>
      <c r="J39" t="s">
        <v>27</v>
      </c>
    </row>
    <row r="40" spans="1:10" ht="18.75" customHeight="1" x14ac:dyDescent="0.3">
      <c r="A40" t="s">
        <v>71</v>
      </c>
      <c r="B40" s="2">
        <v>20</v>
      </c>
      <c r="C40" s="2">
        <v>4</v>
      </c>
      <c r="D40" s="2">
        <v>130</v>
      </c>
      <c r="E40" s="2">
        <v>102</v>
      </c>
      <c r="F40" s="2">
        <v>3150</v>
      </c>
      <c r="G40" s="8">
        <f t="shared" si="0"/>
        <v>3.2380952380952378E-2</v>
      </c>
      <c r="H40" s="8">
        <v>15.7</v>
      </c>
      <c r="I40" s="2">
        <v>76</v>
      </c>
      <c r="J40" t="s">
        <v>27</v>
      </c>
    </row>
    <row r="41" spans="1:10" ht="18.75" customHeight="1" x14ac:dyDescent="0.3">
      <c r="A41" t="s">
        <v>44</v>
      </c>
      <c r="B41" s="2">
        <v>19</v>
      </c>
      <c r="C41" s="2">
        <v>4</v>
      </c>
      <c r="D41" s="2">
        <v>120</v>
      </c>
      <c r="E41" s="2">
        <v>88</v>
      </c>
      <c r="F41" s="2">
        <v>3270</v>
      </c>
      <c r="G41" s="8">
        <f t="shared" si="0"/>
        <v>2.6911314984709479E-2</v>
      </c>
      <c r="H41" s="8">
        <v>21.9</v>
      </c>
      <c r="I41" s="2">
        <v>76</v>
      </c>
      <c r="J41" t="s">
        <v>27</v>
      </c>
    </row>
    <row r="42" spans="1:10" ht="18.75" customHeight="1" x14ac:dyDescent="0.3">
      <c r="A42" t="s">
        <v>72</v>
      </c>
      <c r="B42" s="8">
        <v>16.5</v>
      </c>
      <c r="C42" s="2">
        <v>6</v>
      </c>
      <c r="D42" s="2">
        <v>168</v>
      </c>
      <c r="E42" s="2">
        <v>120</v>
      </c>
      <c r="F42" s="2">
        <v>3820</v>
      </c>
      <c r="G42" s="8">
        <f t="shared" si="0"/>
        <v>3.1413612565445025E-2</v>
      </c>
      <c r="H42" s="8">
        <v>16.7</v>
      </c>
      <c r="I42" s="2">
        <v>76</v>
      </c>
      <c r="J42" t="s">
        <v>27</v>
      </c>
    </row>
    <row r="43" spans="1:10" ht="18.75" customHeight="1" x14ac:dyDescent="0.3">
      <c r="A43" t="s">
        <v>73</v>
      </c>
      <c r="B43" s="8">
        <v>21.5</v>
      </c>
      <c r="C43" s="2">
        <v>4</v>
      </c>
      <c r="D43" s="2">
        <v>121</v>
      </c>
      <c r="E43" s="2">
        <v>110</v>
      </c>
      <c r="F43" s="2">
        <v>2600</v>
      </c>
      <c r="G43" s="8">
        <f t="shared" si="0"/>
        <v>4.230769230769231E-2</v>
      </c>
      <c r="H43" s="8">
        <v>12.8</v>
      </c>
      <c r="I43" s="2">
        <v>77</v>
      </c>
      <c r="J43" t="s">
        <v>27</v>
      </c>
    </row>
    <row r="44" spans="1:10" ht="18.75" customHeight="1" x14ac:dyDescent="0.3">
      <c r="A44" t="s">
        <v>74</v>
      </c>
      <c r="B44" s="2">
        <v>29</v>
      </c>
      <c r="C44" s="2">
        <v>4</v>
      </c>
      <c r="D44" s="2">
        <v>97</v>
      </c>
      <c r="E44" s="2">
        <v>78</v>
      </c>
      <c r="F44" s="2">
        <v>1940</v>
      </c>
      <c r="G44" s="8">
        <f t="shared" si="0"/>
        <v>4.0206185567010312E-2</v>
      </c>
      <c r="H44" s="8">
        <v>14.5</v>
      </c>
      <c r="I44" s="2">
        <v>77</v>
      </c>
      <c r="J44" t="s">
        <v>27</v>
      </c>
    </row>
    <row r="45" spans="1:10" ht="18.75" customHeight="1" x14ac:dyDescent="0.3">
      <c r="A45" t="s">
        <v>63</v>
      </c>
      <c r="B45" s="8">
        <v>30.5</v>
      </c>
      <c r="C45" s="2">
        <v>4</v>
      </c>
      <c r="D45" s="2">
        <v>97</v>
      </c>
      <c r="E45" s="2">
        <v>78</v>
      </c>
      <c r="F45" s="2">
        <v>2190</v>
      </c>
      <c r="G45" s="8">
        <f t="shared" si="0"/>
        <v>3.5616438356164383E-2</v>
      </c>
      <c r="H45" s="8">
        <v>14.1</v>
      </c>
      <c r="I45" s="2">
        <v>77</v>
      </c>
      <c r="J45" t="s">
        <v>27</v>
      </c>
    </row>
    <row r="46" spans="1:10" ht="18.75" customHeight="1" x14ac:dyDescent="0.3">
      <c r="A46" t="s">
        <v>75</v>
      </c>
      <c r="B46" s="2">
        <v>36</v>
      </c>
      <c r="C46" s="2">
        <v>4</v>
      </c>
      <c r="D46" s="2">
        <v>79</v>
      </c>
      <c r="E46" s="2">
        <v>58</v>
      </c>
      <c r="F46" s="2">
        <v>1825</v>
      </c>
      <c r="G46" s="8">
        <f t="shared" si="0"/>
        <v>3.1780821917808219E-2</v>
      </c>
      <c r="H46" s="8">
        <v>18.600000000000001</v>
      </c>
      <c r="I46" s="2">
        <v>77</v>
      </c>
      <c r="J46" t="s">
        <v>27</v>
      </c>
    </row>
    <row r="47" spans="1:10" ht="18.75" customHeight="1" x14ac:dyDescent="0.3">
      <c r="A47" t="s">
        <v>76</v>
      </c>
      <c r="B47" s="8">
        <v>21.6</v>
      </c>
      <c r="C47" s="2">
        <v>4</v>
      </c>
      <c r="D47" s="2">
        <v>121</v>
      </c>
      <c r="E47" s="2">
        <v>115</v>
      </c>
      <c r="F47" s="2">
        <v>2795</v>
      </c>
      <c r="G47" s="8">
        <f t="shared" si="0"/>
        <v>4.1144901610017888E-2</v>
      </c>
      <c r="H47" s="8">
        <v>15.7</v>
      </c>
      <c r="I47" s="2">
        <v>78</v>
      </c>
      <c r="J47" t="s">
        <v>27</v>
      </c>
    </row>
    <row r="48" spans="1:10" ht="18.75" customHeight="1" x14ac:dyDescent="0.3">
      <c r="A48" t="s">
        <v>77</v>
      </c>
      <c r="B48" s="8">
        <v>31.5</v>
      </c>
      <c r="C48" s="2">
        <v>4</v>
      </c>
      <c r="D48" s="2">
        <v>89</v>
      </c>
      <c r="E48" s="2">
        <v>71</v>
      </c>
      <c r="F48" s="2">
        <v>1990</v>
      </c>
      <c r="G48" s="8">
        <f t="shared" si="0"/>
        <v>3.5678391959798994E-2</v>
      </c>
      <c r="H48" s="8">
        <v>14.9</v>
      </c>
      <c r="I48" s="2">
        <v>78</v>
      </c>
      <c r="J48" t="s">
        <v>27</v>
      </c>
    </row>
    <row r="49" spans="1:10" ht="18.75" customHeight="1" x14ac:dyDescent="0.3">
      <c r="A49" t="s">
        <v>78</v>
      </c>
      <c r="B49" s="8">
        <v>43.1</v>
      </c>
      <c r="C49" s="2">
        <v>4</v>
      </c>
      <c r="D49" s="2">
        <v>90</v>
      </c>
      <c r="E49" s="2">
        <v>48</v>
      </c>
      <c r="F49" s="2">
        <v>1985</v>
      </c>
      <c r="G49" s="8">
        <f t="shared" si="0"/>
        <v>2.4181360201511334E-2</v>
      </c>
      <c r="H49" s="8">
        <v>21.5</v>
      </c>
      <c r="I49" s="2">
        <v>78</v>
      </c>
      <c r="J49" t="s">
        <v>27</v>
      </c>
    </row>
    <row r="50" spans="1:10" ht="18.75" customHeight="1" x14ac:dyDescent="0.3">
      <c r="A50" t="s">
        <v>79</v>
      </c>
      <c r="B50" s="8">
        <v>20.3</v>
      </c>
      <c r="C50" s="2">
        <v>5</v>
      </c>
      <c r="D50" s="2">
        <v>131</v>
      </c>
      <c r="E50" s="2">
        <v>103</v>
      </c>
      <c r="F50" s="2">
        <v>2830</v>
      </c>
      <c r="G50" s="8">
        <f t="shared" si="0"/>
        <v>3.6395759717314485E-2</v>
      </c>
      <c r="H50" s="8">
        <v>15.9</v>
      </c>
      <c r="I50" s="2">
        <v>78</v>
      </c>
      <c r="J50" t="s">
        <v>27</v>
      </c>
    </row>
    <row r="51" spans="1:10" ht="18.75" customHeight="1" x14ac:dyDescent="0.3">
      <c r="A51" t="s">
        <v>80</v>
      </c>
      <c r="B51" s="2">
        <v>17</v>
      </c>
      <c r="C51" s="2">
        <v>6</v>
      </c>
      <c r="D51" s="2">
        <v>163</v>
      </c>
      <c r="E51" s="2">
        <v>125</v>
      </c>
      <c r="F51" s="2">
        <v>3140</v>
      </c>
      <c r="G51" s="8">
        <f t="shared" si="0"/>
        <v>3.9808917197452227E-2</v>
      </c>
      <c r="H51" s="8">
        <v>13.6</v>
      </c>
      <c r="I51" s="2">
        <v>78</v>
      </c>
      <c r="J51" t="s">
        <v>27</v>
      </c>
    </row>
    <row r="52" spans="1:10" ht="18.75" customHeight="1" x14ac:dyDescent="0.3">
      <c r="A52" t="s">
        <v>81</v>
      </c>
      <c r="B52" s="8">
        <v>16.2</v>
      </c>
      <c r="C52" s="2">
        <v>6</v>
      </c>
      <c r="D52" s="2">
        <v>163</v>
      </c>
      <c r="E52" s="2">
        <v>133</v>
      </c>
      <c r="F52" s="2">
        <v>3410</v>
      </c>
      <c r="G52" s="8">
        <f t="shared" si="0"/>
        <v>3.9002932551319647E-2</v>
      </c>
      <c r="H52" s="8">
        <v>15.8</v>
      </c>
      <c r="I52" s="2">
        <v>78</v>
      </c>
      <c r="J52" t="s">
        <v>27</v>
      </c>
    </row>
    <row r="53" spans="1:10" ht="18.75" customHeight="1" x14ac:dyDescent="0.3">
      <c r="A53" t="s">
        <v>82</v>
      </c>
      <c r="B53" s="8">
        <v>31.9</v>
      </c>
      <c r="C53" s="2">
        <v>4</v>
      </c>
      <c r="D53" s="2">
        <v>89</v>
      </c>
      <c r="E53" s="2">
        <v>71</v>
      </c>
      <c r="F53" s="2">
        <v>1925</v>
      </c>
      <c r="G53" s="8">
        <f t="shared" si="0"/>
        <v>3.6883116883116886E-2</v>
      </c>
      <c r="H53" s="2">
        <v>14</v>
      </c>
      <c r="I53" s="2">
        <v>79</v>
      </c>
      <c r="J53" t="s">
        <v>27</v>
      </c>
    </row>
    <row r="54" spans="1:10" ht="18.75" customHeight="1" x14ac:dyDescent="0.3">
      <c r="A54" t="s">
        <v>83</v>
      </c>
      <c r="B54" s="8">
        <v>37.299999999999997</v>
      </c>
      <c r="C54" s="2">
        <v>4</v>
      </c>
      <c r="D54" s="2">
        <v>91</v>
      </c>
      <c r="E54" s="2">
        <v>69</v>
      </c>
      <c r="F54" s="2">
        <v>2130</v>
      </c>
      <c r="G54" s="8">
        <f t="shared" si="0"/>
        <v>3.2394366197183097E-2</v>
      </c>
      <c r="H54" s="8">
        <v>14.7</v>
      </c>
      <c r="I54" s="2">
        <v>79</v>
      </c>
      <c r="J54" t="s">
        <v>27</v>
      </c>
    </row>
    <row r="55" spans="1:10" ht="18.75" customHeight="1" x14ac:dyDescent="0.3">
      <c r="A55" t="s">
        <v>44</v>
      </c>
      <c r="B55" s="8">
        <v>27.2</v>
      </c>
      <c r="C55" s="2">
        <v>4</v>
      </c>
      <c r="D55" s="2">
        <v>141</v>
      </c>
      <c r="E55" s="2">
        <v>71</v>
      </c>
      <c r="F55" s="2">
        <v>3190</v>
      </c>
      <c r="G55" s="8">
        <f t="shared" si="0"/>
        <v>2.2257053291536051E-2</v>
      </c>
      <c r="H55" s="8">
        <v>24.8</v>
      </c>
      <c r="I55" s="2">
        <v>79</v>
      </c>
      <c r="J55" t="s">
        <v>27</v>
      </c>
    </row>
    <row r="56" spans="1:10" ht="18.75" customHeight="1" x14ac:dyDescent="0.3">
      <c r="A56" t="s">
        <v>84</v>
      </c>
      <c r="B56" s="8">
        <v>25.4</v>
      </c>
      <c r="C56" s="2">
        <v>5</v>
      </c>
      <c r="D56" s="2">
        <v>183</v>
      </c>
      <c r="E56" s="2">
        <v>77</v>
      </c>
      <c r="F56" s="2">
        <v>3530</v>
      </c>
      <c r="G56" s="8">
        <f t="shared" si="0"/>
        <v>2.1813031161473088E-2</v>
      </c>
      <c r="H56" s="8">
        <v>20.100000000000001</v>
      </c>
      <c r="I56" s="2">
        <v>79</v>
      </c>
      <c r="J56" t="s">
        <v>27</v>
      </c>
    </row>
    <row r="57" spans="1:10" ht="18.75" customHeight="1" x14ac:dyDescent="0.3">
      <c r="A57" t="s">
        <v>85</v>
      </c>
      <c r="B57" s="8">
        <v>34.299999999999997</v>
      </c>
      <c r="C57" s="2">
        <v>4</v>
      </c>
      <c r="D57" s="2">
        <v>97</v>
      </c>
      <c r="E57" s="2">
        <v>78</v>
      </c>
      <c r="F57" s="2">
        <v>2188</v>
      </c>
      <c r="G57" s="8">
        <f t="shared" si="0"/>
        <v>3.5648994515539302E-2</v>
      </c>
      <c r="H57" s="8">
        <v>15.8</v>
      </c>
      <c r="I57" s="2">
        <v>80</v>
      </c>
      <c r="J57" t="s">
        <v>27</v>
      </c>
    </row>
    <row r="58" spans="1:10" ht="18.75" customHeight="1" x14ac:dyDescent="0.3">
      <c r="A58" t="s">
        <v>69</v>
      </c>
      <c r="B58" s="8">
        <v>41.5</v>
      </c>
      <c r="C58" s="2">
        <v>4</v>
      </c>
      <c r="D58" s="2">
        <v>98</v>
      </c>
      <c r="E58" s="2">
        <v>76</v>
      </c>
      <c r="F58" s="2">
        <v>2144</v>
      </c>
      <c r="G58" s="8">
        <f t="shared" si="0"/>
        <v>3.5447761194029849E-2</v>
      </c>
      <c r="H58" s="8">
        <v>14.7</v>
      </c>
      <c r="I58" s="2">
        <v>80</v>
      </c>
      <c r="J58" t="s">
        <v>27</v>
      </c>
    </row>
    <row r="59" spans="1:10" ht="18.75" customHeight="1" x14ac:dyDescent="0.3">
      <c r="A59" t="s">
        <v>86</v>
      </c>
      <c r="B59" s="2">
        <v>35</v>
      </c>
      <c r="C59" s="2">
        <v>4</v>
      </c>
      <c r="D59" s="2">
        <v>122</v>
      </c>
      <c r="E59" s="2">
        <v>88</v>
      </c>
      <c r="F59" s="2">
        <v>2500</v>
      </c>
      <c r="G59" s="8">
        <f t="shared" si="0"/>
        <v>3.5200000000000002E-2</v>
      </c>
      <c r="H59" s="8">
        <v>15.1</v>
      </c>
      <c r="I59" s="2">
        <v>80</v>
      </c>
      <c r="J59" t="s">
        <v>27</v>
      </c>
    </row>
    <row r="60" spans="1:10" ht="18.75" customHeight="1" x14ac:dyDescent="0.3">
      <c r="A60" t="s">
        <v>87</v>
      </c>
      <c r="B60" s="8">
        <v>29.8</v>
      </c>
      <c r="C60" s="2">
        <v>4</v>
      </c>
      <c r="D60" s="2">
        <v>89</v>
      </c>
      <c r="E60" s="2">
        <v>62</v>
      </c>
      <c r="F60" s="2">
        <v>1845</v>
      </c>
      <c r="G60" s="8">
        <f t="shared" si="0"/>
        <v>3.3604336043360432E-2</v>
      </c>
      <c r="H60" s="8">
        <v>15.3</v>
      </c>
      <c r="I60" s="2">
        <v>80</v>
      </c>
      <c r="J60" t="s">
        <v>27</v>
      </c>
    </row>
    <row r="61" spans="1:10" ht="18.75" customHeight="1" x14ac:dyDescent="0.3">
      <c r="A61" t="s">
        <v>88</v>
      </c>
      <c r="B61" s="8">
        <v>44.3</v>
      </c>
      <c r="C61" s="2">
        <v>4</v>
      </c>
      <c r="D61" s="2">
        <v>90</v>
      </c>
      <c r="E61" s="2">
        <v>48</v>
      </c>
      <c r="F61" s="2">
        <v>2085</v>
      </c>
      <c r="G61" s="8">
        <f t="shared" si="0"/>
        <v>2.302158273381295E-2</v>
      </c>
      <c r="H61" s="8">
        <v>21.7</v>
      </c>
      <c r="I61" s="2">
        <v>80</v>
      </c>
      <c r="J61" t="s">
        <v>27</v>
      </c>
    </row>
    <row r="62" spans="1:10" ht="18.75" customHeight="1" x14ac:dyDescent="0.3">
      <c r="A62" t="s">
        <v>89</v>
      </c>
      <c r="B62" s="2">
        <v>30</v>
      </c>
      <c r="C62" s="2">
        <v>4</v>
      </c>
      <c r="D62" s="2">
        <v>146</v>
      </c>
      <c r="E62" s="2">
        <v>67</v>
      </c>
      <c r="F62" s="2">
        <v>3250</v>
      </c>
      <c r="G62" s="8">
        <f t="shared" si="0"/>
        <v>2.0615384615384615E-2</v>
      </c>
      <c r="H62" s="8">
        <v>21.8</v>
      </c>
      <c r="I62" s="2">
        <v>80</v>
      </c>
      <c r="J62" t="s">
        <v>27</v>
      </c>
    </row>
    <row r="63" spans="1:10" ht="18.75" customHeight="1" x14ac:dyDescent="0.3">
      <c r="A63" t="s">
        <v>90</v>
      </c>
      <c r="B63" s="8">
        <v>43.4</v>
      </c>
      <c r="C63" s="2">
        <v>4</v>
      </c>
      <c r="D63" s="2">
        <v>90</v>
      </c>
      <c r="E63" s="2">
        <v>48</v>
      </c>
      <c r="F63" s="2">
        <v>2335</v>
      </c>
      <c r="G63" s="8">
        <f t="shared" si="0"/>
        <v>2.0556745182012847E-2</v>
      </c>
      <c r="H63" s="8">
        <v>23.7</v>
      </c>
      <c r="I63" s="2">
        <v>80</v>
      </c>
      <c r="J63" t="s">
        <v>27</v>
      </c>
    </row>
    <row r="64" spans="1:10" ht="18.75" customHeight="1" x14ac:dyDescent="0.3">
      <c r="A64" t="s">
        <v>91</v>
      </c>
      <c r="B64" s="8">
        <v>40.9</v>
      </c>
      <c r="C64" s="2">
        <v>4</v>
      </c>
      <c r="D64" s="2">
        <v>85</v>
      </c>
      <c r="F64" s="2">
        <v>1835</v>
      </c>
      <c r="G64" s="2">
        <f t="shared" si="0"/>
        <v>0</v>
      </c>
      <c r="H64" s="8">
        <v>17.3</v>
      </c>
      <c r="I64" s="2">
        <v>80</v>
      </c>
      <c r="J64" t="s">
        <v>27</v>
      </c>
    </row>
    <row r="65" spans="1:10" ht="18.75" customHeight="1" x14ac:dyDescent="0.3">
      <c r="A65" t="s">
        <v>92</v>
      </c>
      <c r="B65" s="8">
        <v>36.4</v>
      </c>
      <c r="C65" s="2">
        <v>5</v>
      </c>
      <c r="D65" s="2">
        <v>121</v>
      </c>
      <c r="E65" s="2">
        <v>67</v>
      </c>
      <c r="F65" s="2">
        <v>2950</v>
      </c>
      <c r="G65" s="8">
        <f t="shared" si="0"/>
        <v>2.271186440677966E-2</v>
      </c>
      <c r="H65" s="8">
        <v>19.899999999999999</v>
      </c>
      <c r="I65" s="2">
        <v>80</v>
      </c>
      <c r="J65" t="s">
        <v>27</v>
      </c>
    </row>
    <row r="66" spans="1:10" ht="18.75" customHeight="1" x14ac:dyDescent="0.3">
      <c r="A66" t="s">
        <v>93</v>
      </c>
      <c r="B66" s="2">
        <v>33</v>
      </c>
      <c r="C66" s="2">
        <v>4</v>
      </c>
      <c r="D66" s="2">
        <v>105</v>
      </c>
      <c r="E66" s="2">
        <v>74</v>
      </c>
      <c r="F66" s="2">
        <v>2190</v>
      </c>
      <c r="G66" s="8">
        <f t="shared" ref="G66:G129" si="1">IFERROR(E66/F66, "")</f>
        <v>3.3789954337899546E-2</v>
      </c>
      <c r="H66" s="8">
        <v>14.2</v>
      </c>
      <c r="I66" s="2">
        <v>81</v>
      </c>
      <c r="J66" t="s">
        <v>27</v>
      </c>
    </row>
    <row r="67" spans="1:10" ht="18.75" customHeight="1" x14ac:dyDescent="0.3">
      <c r="A67" t="s">
        <v>94</v>
      </c>
      <c r="B67" s="8">
        <v>28.1</v>
      </c>
      <c r="C67" s="2">
        <v>4</v>
      </c>
      <c r="D67" s="2">
        <v>141</v>
      </c>
      <c r="E67" s="2">
        <v>80</v>
      </c>
      <c r="F67" s="2">
        <v>3230</v>
      </c>
      <c r="G67" s="8">
        <f t="shared" si="1"/>
        <v>2.4767801857585141E-2</v>
      </c>
      <c r="H67" s="8">
        <v>20.399999999999999</v>
      </c>
      <c r="I67" s="2">
        <v>81</v>
      </c>
      <c r="J67" t="s">
        <v>27</v>
      </c>
    </row>
    <row r="68" spans="1:10" ht="18.75" customHeight="1" x14ac:dyDescent="0.3">
      <c r="A68" t="s">
        <v>95</v>
      </c>
      <c r="B68" s="8">
        <v>34.5</v>
      </c>
      <c r="C68" s="2">
        <v>4</v>
      </c>
      <c r="D68" s="2">
        <v>100</v>
      </c>
      <c r="F68" s="2">
        <v>2320</v>
      </c>
      <c r="G68" s="2">
        <f t="shared" si="1"/>
        <v>0</v>
      </c>
      <c r="H68" s="8">
        <v>15.8</v>
      </c>
      <c r="I68" s="2">
        <v>81</v>
      </c>
      <c r="J68" t="s">
        <v>27</v>
      </c>
    </row>
    <row r="69" spans="1:10" ht="18.75" customHeight="1" x14ac:dyDescent="0.3">
      <c r="A69" t="s">
        <v>96</v>
      </c>
      <c r="B69" s="8">
        <v>30.7</v>
      </c>
      <c r="C69" s="2">
        <v>6</v>
      </c>
      <c r="D69" s="2">
        <v>145</v>
      </c>
      <c r="E69" s="2">
        <v>76</v>
      </c>
      <c r="F69" s="2">
        <v>3160</v>
      </c>
      <c r="G69" s="8">
        <f t="shared" si="1"/>
        <v>2.4050632911392405E-2</v>
      </c>
      <c r="H69" s="8">
        <v>19.600000000000001</v>
      </c>
      <c r="I69" s="2">
        <v>81</v>
      </c>
      <c r="J69" t="s">
        <v>27</v>
      </c>
    </row>
    <row r="70" spans="1:10" ht="18.75" customHeight="1" x14ac:dyDescent="0.3">
      <c r="A70" t="s">
        <v>97</v>
      </c>
      <c r="B70" s="2">
        <v>36</v>
      </c>
      <c r="C70" s="2">
        <v>4</v>
      </c>
      <c r="D70" s="2">
        <v>105</v>
      </c>
      <c r="E70" s="2">
        <v>74</v>
      </c>
      <c r="F70" s="2">
        <v>1980</v>
      </c>
      <c r="G70" s="8">
        <f t="shared" si="1"/>
        <v>3.7373737373737372E-2</v>
      </c>
      <c r="H70" s="8">
        <v>15.3</v>
      </c>
      <c r="I70" s="2">
        <v>82</v>
      </c>
      <c r="J70" t="s">
        <v>27</v>
      </c>
    </row>
    <row r="71" spans="1:10" ht="18.75" customHeight="1" x14ac:dyDescent="0.3">
      <c r="A71" t="s">
        <v>98</v>
      </c>
      <c r="B71" s="2">
        <v>44</v>
      </c>
      <c r="C71" s="2">
        <v>4</v>
      </c>
      <c r="D71" s="2">
        <v>97</v>
      </c>
      <c r="E71" s="2">
        <v>52</v>
      </c>
      <c r="F71" s="2">
        <v>2130</v>
      </c>
      <c r="G71" s="8">
        <f t="shared" si="1"/>
        <v>2.4413145539906103E-2</v>
      </c>
      <c r="H71" s="8">
        <v>24.6</v>
      </c>
      <c r="I71" s="2">
        <v>82</v>
      </c>
      <c r="J71" t="s">
        <v>27</v>
      </c>
    </row>
    <row r="72" spans="1:10" ht="18.75" customHeight="1" x14ac:dyDescent="0.3">
      <c r="A72" t="s">
        <v>99</v>
      </c>
      <c r="B72" s="2">
        <v>27</v>
      </c>
      <c r="C72" s="2">
        <v>4</v>
      </c>
      <c r="D72" s="2">
        <v>97</v>
      </c>
      <c r="E72" s="2">
        <v>88</v>
      </c>
      <c r="F72" s="2">
        <v>2130</v>
      </c>
      <c r="G72" s="8">
        <f t="shared" si="1"/>
        <v>4.1314553990610327E-2</v>
      </c>
      <c r="H72" s="8">
        <v>14.5</v>
      </c>
      <c r="I72" s="2">
        <v>70</v>
      </c>
      <c r="J72" t="s">
        <v>28</v>
      </c>
    </row>
    <row r="73" spans="1:10" ht="18.75" customHeight="1" x14ac:dyDescent="0.3">
      <c r="A73" t="s">
        <v>100</v>
      </c>
      <c r="B73" s="2">
        <v>24</v>
      </c>
      <c r="C73" s="2">
        <v>4</v>
      </c>
      <c r="D73" s="2">
        <v>113</v>
      </c>
      <c r="E73" s="2">
        <v>95</v>
      </c>
      <c r="F73" s="2">
        <v>2372</v>
      </c>
      <c r="G73" s="8">
        <f t="shared" si="1"/>
        <v>4.0050590219224282E-2</v>
      </c>
      <c r="H73" s="2">
        <v>15</v>
      </c>
      <c r="I73" s="2">
        <v>70</v>
      </c>
      <c r="J73" t="s">
        <v>28</v>
      </c>
    </row>
    <row r="74" spans="1:10" ht="18.75" customHeight="1" x14ac:dyDescent="0.3">
      <c r="A74" t="s">
        <v>101</v>
      </c>
      <c r="B74" s="2">
        <v>35</v>
      </c>
      <c r="C74" s="2">
        <v>4</v>
      </c>
      <c r="D74" s="2">
        <v>72</v>
      </c>
      <c r="E74" s="2">
        <v>69</v>
      </c>
      <c r="F74" s="2">
        <v>1613</v>
      </c>
      <c r="G74" s="8">
        <f t="shared" si="1"/>
        <v>4.2777433353998758E-2</v>
      </c>
      <c r="H74" s="2">
        <v>18</v>
      </c>
      <c r="I74" s="2">
        <v>71</v>
      </c>
      <c r="J74" t="s">
        <v>28</v>
      </c>
    </row>
    <row r="75" spans="1:10" ht="18.75" customHeight="1" x14ac:dyDescent="0.3">
      <c r="A75" t="s">
        <v>102</v>
      </c>
      <c r="B75" s="2">
        <v>25</v>
      </c>
      <c r="C75" s="2">
        <v>4</v>
      </c>
      <c r="D75" s="2">
        <v>113</v>
      </c>
      <c r="E75" s="2">
        <v>95</v>
      </c>
      <c r="F75" s="2">
        <v>2228</v>
      </c>
      <c r="G75" s="8">
        <f t="shared" si="1"/>
        <v>4.2639138240574505E-2</v>
      </c>
      <c r="H75" s="2">
        <v>14</v>
      </c>
      <c r="I75" s="2">
        <v>71</v>
      </c>
      <c r="J75" t="s">
        <v>28</v>
      </c>
    </row>
    <row r="76" spans="1:10" ht="18.75" customHeight="1" x14ac:dyDescent="0.3">
      <c r="A76" t="s">
        <v>99</v>
      </c>
      <c r="B76" s="2">
        <v>27</v>
      </c>
      <c r="C76" s="2">
        <v>4</v>
      </c>
      <c r="D76" s="2">
        <v>97</v>
      </c>
      <c r="E76" s="2">
        <v>88</v>
      </c>
      <c r="F76" s="2">
        <v>2130</v>
      </c>
      <c r="G76" s="8">
        <f t="shared" si="1"/>
        <v>4.1314553990610327E-2</v>
      </c>
      <c r="H76" s="8">
        <v>14.5</v>
      </c>
      <c r="I76" s="2">
        <v>71</v>
      </c>
      <c r="J76" t="s">
        <v>28</v>
      </c>
    </row>
    <row r="77" spans="1:10" ht="18.75" customHeight="1" x14ac:dyDescent="0.3">
      <c r="A77" t="s">
        <v>103</v>
      </c>
      <c r="B77" s="2">
        <v>31</v>
      </c>
      <c r="C77" s="2">
        <v>4</v>
      </c>
      <c r="D77" s="2">
        <v>71</v>
      </c>
      <c r="E77" s="2">
        <v>65</v>
      </c>
      <c r="F77" s="2">
        <v>1773</v>
      </c>
      <c r="G77" s="8">
        <f t="shared" si="1"/>
        <v>3.6661026508742242E-2</v>
      </c>
      <c r="H77" s="2">
        <v>19</v>
      </c>
      <c r="I77" s="2">
        <v>71</v>
      </c>
      <c r="J77" t="s">
        <v>28</v>
      </c>
    </row>
    <row r="78" spans="1:10" ht="18.75" customHeight="1" x14ac:dyDescent="0.3">
      <c r="A78" t="s">
        <v>104</v>
      </c>
      <c r="B78" s="2">
        <v>19</v>
      </c>
      <c r="C78" s="2">
        <v>3</v>
      </c>
      <c r="D78" s="2">
        <v>70</v>
      </c>
      <c r="E78" s="2">
        <v>97</v>
      </c>
      <c r="F78" s="2">
        <v>2330</v>
      </c>
      <c r="G78" s="8">
        <f t="shared" si="1"/>
        <v>4.1630901287553645E-2</v>
      </c>
      <c r="H78" s="8">
        <v>13.5</v>
      </c>
      <c r="I78" s="2">
        <v>72</v>
      </c>
      <c r="J78" t="s">
        <v>28</v>
      </c>
    </row>
    <row r="79" spans="1:10" ht="18.75" customHeight="1" x14ac:dyDescent="0.3">
      <c r="A79" t="s">
        <v>105</v>
      </c>
      <c r="B79" s="2">
        <v>27</v>
      </c>
      <c r="C79" s="2">
        <v>4</v>
      </c>
      <c r="D79" s="2">
        <v>97</v>
      </c>
      <c r="E79" s="2">
        <v>88</v>
      </c>
      <c r="F79" s="2">
        <v>2100</v>
      </c>
      <c r="G79" s="8">
        <f t="shared" si="1"/>
        <v>4.1904761904761903E-2</v>
      </c>
      <c r="H79" s="8">
        <v>16.5</v>
      </c>
      <c r="I79" s="2">
        <v>72</v>
      </c>
      <c r="J79" t="s">
        <v>28</v>
      </c>
    </row>
    <row r="80" spans="1:10" ht="18.75" customHeight="1" x14ac:dyDescent="0.3">
      <c r="A80" t="s">
        <v>106</v>
      </c>
      <c r="B80" s="2">
        <v>24</v>
      </c>
      <c r="C80" s="2">
        <v>4</v>
      </c>
      <c r="D80" s="2">
        <v>113</v>
      </c>
      <c r="E80" s="2">
        <v>95</v>
      </c>
      <c r="F80" s="2">
        <v>2278</v>
      </c>
      <c r="G80" s="8">
        <f t="shared" si="1"/>
        <v>4.1703248463564532E-2</v>
      </c>
      <c r="H80" s="8">
        <v>15.5</v>
      </c>
      <c r="I80" s="2">
        <v>72</v>
      </c>
      <c r="J80" t="s">
        <v>28</v>
      </c>
    </row>
    <row r="81" spans="1:10" ht="18.75" customHeight="1" x14ac:dyDescent="0.3">
      <c r="A81" t="s">
        <v>107</v>
      </c>
      <c r="B81" s="2">
        <v>28</v>
      </c>
      <c r="C81" s="2">
        <v>4</v>
      </c>
      <c r="D81" s="2">
        <v>97</v>
      </c>
      <c r="E81" s="2">
        <v>92</v>
      </c>
      <c r="F81" s="2">
        <v>2288</v>
      </c>
      <c r="G81" s="8">
        <f t="shared" si="1"/>
        <v>4.0209790209790208E-2</v>
      </c>
      <c r="H81" s="2">
        <v>17</v>
      </c>
      <c r="I81" s="2">
        <v>72</v>
      </c>
      <c r="J81" t="s">
        <v>28</v>
      </c>
    </row>
    <row r="82" spans="1:10" ht="18.75" customHeight="1" x14ac:dyDescent="0.3">
      <c r="A82" t="s">
        <v>108</v>
      </c>
      <c r="B82" s="2">
        <v>23</v>
      </c>
      <c r="C82" s="2">
        <v>4</v>
      </c>
      <c r="D82" s="2">
        <v>120</v>
      </c>
      <c r="E82" s="2">
        <v>97</v>
      </c>
      <c r="F82" s="2">
        <v>2506</v>
      </c>
      <c r="G82" s="8">
        <f t="shared" si="1"/>
        <v>3.8707102952913006E-2</v>
      </c>
      <c r="H82" s="8">
        <v>14.5</v>
      </c>
      <c r="I82" s="2">
        <v>72</v>
      </c>
      <c r="J82" t="s">
        <v>28</v>
      </c>
    </row>
    <row r="83" spans="1:10" ht="18.75" customHeight="1" x14ac:dyDescent="0.3">
      <c r="A83" t="s">
        <v>109</v>
      </c>
      <c r="B83" s="2">
        <v>18</v>
      </c>
      <c r="C83" s="2">
        <v>3</v>
      </c>
      <c r="D83" s="2">
        <v>70</v>
      </c>
      <c r="E83" s="2">
        <v>90</v>
      </c>
      <c r="F83" s="2">
        <v>2124</v>
      </c>
      <c r="G83" s="8">
        <f t="shared" si="1"/>
        <v>4.2372881355932202E-2</v>
      </c>
      <c r="H83" s="8">
        <v>13.5</v>
      </c>
      <c r="I83" s="2">
        <v>73</v>
      </c>
      <c r="J83" t="s">
        <v>28</v>
      </c>
    </row>
    <row r="84" spans="1:10" ht="18.75" customHeight="1" x14ac:dyDescent="0.3">
      <c r="A84" t="s">
        <v>110</v>
      </c>
      <c r="B84" s="2">
        <v>22</v>
      </c>
      <c r="C84" s="2">
        <v>4</v>
      </c>
      <c r="D84" s="2">
        <v>108</v>
      </c>
      <c r="E84" s="2">
        <v>94</v>
      </c>
      <c r="F84" s="2">
        <v>2379</v>
      </c>
      <c r="G84" s="8">
        <f t="shared" si="1"/>
        <v>3.9512400168137875E-2</v>
      </c>
      <c r="H84" s="8">
        <v>16.5</v>
      </c>
      <c r="I84" s="2">
        <v>73</v>
      </c>
      <c r="J84" t="s">
        <v>28</v>
      </c>
    </row>
    <row r="85" spans="1:10" ht="18.75" customHeight="1" x14ac:dyDescent="0.3">
      <c r="A85" t="s">
        <v>111</v>
      </c>
      <c r="B85" s="2">
        <v>20</v>
      </c>
      <c r="C85" s="2">
        <v>4</v>
      </c>
      <c r="D85" s="2">
        <v>97</v>
      </c>
      <c r="E85" s="2">
        <v>88</v>
      </c>
      <c r="F85" s="2">
        <v>2279</v>
      </c>
      <c r="G85" s="8">
        <f t="shared" si="1"/>
        <v>3.861342694164107E-2</v>
      </c>
      <c r="H85" s="2">
        <v>19</v>
      </c>
      <c r="I85" s="2">
        <v>73</v>
      </c>
      <c r="J85" t="s">
        <v>28</v>
      </c>
    </row>
    <row r="86" spans="1:10" ht="18.75" customHeight="1" x14ac:dyDescent="0.3">
      <c r="A86" t="s">
        <v>112</v>
      </c>
      <c r="B86" s="2">
        <v>20</v>
      </c>
      <c r="C86" s="2">
        <v>6</v>
      </c>
      <c r="D86" s="2">
        <v>156</v>
      </c>
      <c r="E86" s="2">
        <v>122</v>
      </c>
      <c r="F86" s="2">
        <v>2807</v>
      </c>
      <c r="G86" s="8">
        <f t="shared" si="1"/>
        <v>4.3462771642322762E-2</v>
      </c>
      <c r="H86" s="8">
        <v>13.5</v>
      </c>
      <c r="I86" s="2">
        <v>73</v>
      </c>
      <c r="J86" t="s">
        <v>28</v>
      </c>
    </row>
    <row r="87" spans="1:10" ht="18.75" customHeight="1" x14ac:dyDescent="0.3">
      <c r="A87" t="s">
        <v>113</v>
      </c>
      <c r="B87" s="2">
        <v>24</v>
      </c>
      <c r="C87" s="2">
        <v>4</v>
      </c>
      <c r="D87" s="2">
        <v>120</v>
      </c>
      <c r="E87" s="2">
        <v>97</v>
      </c>
      <c r="F87" s="2">
        <v>2489</v>
      </c>
      <c r="G87" s="8">
        <f t="shared" si="1"/>
        <v>3.8971474487746086E-2</v>
      </c>
      <c r="H87" s="2">
        <v>15</v>
      </c>
      <c r="I87" s="2">
        <v>74</v>
      </c>
      <c r="J87" t="s">
        <v>28</v>
      </c>
    </row>
    <row r="88" spans="1:10" ht="18.75" customHeight="1" x14ac:dyDescent="0.3">
      <c r="A88" t="s">
        <v>114</v>
      </c>
      <c r="B88" s="2">
        <v>26</v>
      </c>
      <c r="C88" s="2">
        <v>4</v>
      </c>
      <c r="D88" s="2">
        <v>108</v>
      </c>
      <c r="E88" s="2">
        <v>93</v>
      </c>
      <c r="F88" s="2">
        <v>2391</v>
      </c>
      <c r="G88" s="8">
        <f t="shared" si="1"/>
        <v>3.889585947302384E-2</v>
      </c>
      <c r="H88" s="8">
        <v>15.5</v>
      </c>
      <c r="I88" s="2">
        <v>74</v>
      </c>
      <c r="J88" t="s">
        <v>28</v>
      </c>
    </row>
    <row r="89" spans="1:10" ht="18.75" customHeight="1" x14ac:dyDescent="0.3">
      <c r="A89" t="s">
        <v>103</v>
      </c>
      <c r="B89" s="2">
        <v>32</v>
      </c>
      <c r="C89" s="2">
        <v>4</v>
      </c>
      <c r="D89" s="2">
        <v>71</v>
      </c>
      <c r="E89" s="2">
        <v>65</v>
      </c>
      <c r="F89" s="2">
        <v>1836</v>
      </c>
      <c r="G89" s="8">
        <f t="shared" si="1"/>
        <v>3.5403050108932459E-2</v>
      </c>
      <c r="H89" s="2">
        <v>21</v>
      </c>
      <c r="I89" s="2">
        <v>74</v>
      </c>
      <c r="J89" t="s">
        <v>28</v>
      </c>
    </row>
    <row r="90" spans="1:10" ht="18.75" customHeight="1" x14ac:dyDescent="0.3">
      <c r="A90" t="s">
        <v>115</v>
      </c>
      <c r="B90" s="2">
        <v>31</v>
      </c>
      <c r="C90" s="2">
        <v>4</v>
      </c>
      <c r="D90" s="2">
        <v>79</v>
      </c>
      <c r="E90" s="2">
        <v>67</v>
      </c>
      <c r="F90" s="2">
        <v>1950</v>
      </c>
      <c r="G90" s="8">
        <f t="shared" si="1"/>
        <v>3.4358974358974358E-2</v>
      </c>
      <c r="H90" s="2">
        <v>19</v>
      </c>
      <c r="I90" s="2">
        <v>74</v>
      </c>
      <c r="J90" t="s">
        <v>28</v>
      </c>
    </row>
    <row r="91" spans="1:10" ht="18.75" customHeight="1" x14ac:dyDescent="0.3">
      <c r="A91" t="s">
        <v>102</v>
      </c>
      <c r="B91" s="2">
        <v>31</v>
      </c>
      <c r="C91" s="2">
        <v>4</v>
      </c>
      <c r="D91" s="2">
        <v>76</v>
      </c>
      <c r="E91" s="2">
        <v>52</v>
      </c>
      <c r="F91" s="2">
        <v>1649</v>
      </c>
      <c r="G91" s="8">
        <f t="shared" si="1"/>
        <v>3.1534263189812006E-2</v>
      </c>
      <c r="H91" s="8">
        <v>16.5</v>
      </c>
      <c r="I91" s="2">
        <v>74</v>
      </c>
      <c r="J91" t="s">
        <v>28</v>
      </c>
    </row>
    <row r="92" spans="1:10" ht="18.75" customHeight="1" x14ac:dyDescent="0.3">
      <c r="A92" t="s">
        <v>116</v>
      </c>
      <c r="B92" s="2">
        <v>32</v>
      </c>
      <c r="C92" s="2">
        <v>4</v>
      </c>
      <c r="D92" s="2">
        <v>83</v>
      </c>
      <c r="E92" s="2">
        <v>61</v>
      </c>
      <c r="F92" s="2">
        <v>2003</v>
      </c>
      <c r="G92" s="8">
        <f t="shared" si="1"/>
        <v>3.0454318522216674E-2</v>
      </c>
      <c r="H92" s="2">
        <v>19</v>
      </c>
      <c r="I92" s="2">
        <v>74</v>
      </c>
      <c r="J92" t="s">
        <v>28</v>
      </c>
    </row>
    <row r="93" spans="1:10" ht="18.75" customHeight="1" x14ac:dyDescent="0.3">
      <c r="A93" t="s">
        <v>116</v>
      </c>
      <c r="B93" s="2">
        <v>24</v>
      </c>
      <c r="C93" s="2">
        <v>4</v>
      </c>
      <c r="D93" s="2">
        <v>119</v>
      </c>
      <c r="E93" s="2">
        <v>97</v>
      </c>
      <c r="F93" s="2">
        <v>2545</v>
      </c>
      <c r="G93" s="8">
        <f t="shared" si="1"/>
        <v>3.81139489194499E-2</v>
      </c>
      <c r="H93" s="2">
        <v>17</v>
      </c>
      <c r="I93" s="2">
        <v>75</v>
      </c>
      <c r="J93" t="s">
        <v>28</v>
      </c>
    </row>
    <row r="94" spans="1:10" ht="18.75" customHeight="1" x14ac:dyDescent="0.3">
      <c r="A94" t="s">
        <v>102</v>
      </c>
      <c r="B94" s="2">
        <v>24</v>
      </c>
      <c r="C94" s="2">
        <v>4</v>
      </c>
      <c r="D94" s="2">
        <v>134</v>
      </c>
      <c r="E94" s="2">
        <v>96</v>
      </c>
      <c r="F94" s="2">
        <v>2702</v>
      </c>
      <c r="G94" s="8">
        <f t="shared" si="1"/>
        <v>3.552923760177646E-2</v>
      </c>
      <c r="H94" s="8">
        <v>13.5</v>
      </c>
      <c r="I94" s="2">
        <v>75</v>
      </c>
      <c r="J94" t="s">
        <v>28</v>
      </c>
    </row>
    <row r="95" spans="1:10" ht="18.75" customHeight="1" x14ac:dyDescent="0.3">
      <c r="A95" t="s">
        <v>117</v>
      </c>
      <c r="B95" s="2">
        <v>29</v>
      </c>
      <c r="C95" s="2">
        <v>4</v>
      </c>
      <c r="D95" s="2">
        <v>97</v>
      </c>
      <c r="E95" s="2">
        <v>75</v>
      </c>
      <c r="F95" s="2">
        <v>2171</v>
      </c>
      <c r="G95" s="8">
        <f t="shared" si="1"/>
        <v>3.4546292031321972E-2</v>
      </c>
      <c r="H95" s="2">
        <v>16</v>
      </c>
      <c r="I95" s="2">
        <v>75</v>
      </c>
      <c r="J95" t="s">
        <v>28</v>
      </c>
    </row>
    <row r="96" spans="1:10" ht="18.75" customHeight="1" x14ac:dyDescent="0.3">
      <c r="A96" t="s">
        <v>118</v>
      </c>
      <c r="B96" s="2">
        <v>33</v>
      </c>
      <c r="C96" s="2">
        <v>4</v>
      </c>
      <c r="D96" s="2">
        <v>91</v>
      </c>
      <c r="E96" s="2">
        <v>53</v>
      </c>
      <c r="F96" s="2">
        <v>1795</v>
      </c>
      <c r="G96" s="8">
        <f t="shared" si="1"/>
        <v>2.9526462395543174E-2</v>
      </c>
      <c r="H96" s="8">
        <v>17.5</v>
      </c>
      <c r="I96" s="2">
        <v>75</v>
      </c>
      <c r="J96" t="s">
        <v>28</v>
      </c>
    </row>
    <row r="97" spans="1:10" ht="18.75" customHeight="1" x14ac:dyDescent="0.3">
      <c r="A97" t="s">
        <v>119</v>
      </c>
      <c r="B97" s="2">
        <v>32</v>
      </c>
      <c r="C97" s="2">
        <v>4</v>
      </c>
      <c r="D97" s="2">
        <v>85</v>
      </c>
      <c r="E97" s="2">
        <v>70</v>
      </c>
      <c r="F97" s="2">
        <v>1990</v>
      </c>
      <c r="G97" s="8">
        <f t="shared" si="1"/>
        <v>3.5175879396984924E-2</v>
      </c>
      <c r="H97" s="2">
        <v>17</v>
      </c>
      <c r="I97" s="2">
        <v>76</v>
      </c>
      <c r="J97" t="s">
        <v>28</v>
      </c>
    </row>
    <row r="98" spans="1:10" ht="18.75" customHeight="1" x14ac:dyDescent="0.3">
      <c r="A98" t="s">
        <v>117</v>
      </c>
      <c r="B98" s="2">
        <v>28</v>
      </c>
      <c r="C98" s="2">
        <v>4</v>
      </c>
      <c r="D98" s="2">
        <v>97</v>
      </c>
      <c r="E98" s="2">
        <v>75</v>
      </c>
      <c r="F98" s="2">
        <v>2155</v>
      </c>
      <c r="G98" s="8">
        <f t="shared" si="1"/>
        <v>3.4802784222737818E-2</v>
      </c>
      <c r="H98" s="8">
        <v>16.399999999999999</v>
      </c>
      <c r="I98" s="2">
        <v>76</v>
      </c>
      <c r="J98" t="s">
        <v>28</v>
      </c>
    </row>
    <row r="99" spans="1:10" ht="18.75" customHeight="1" x14ac:dyDescent="0.3">
      <c r="A99" t="s">
        <v>113</v>
      </c>
      <c r="B99" s="2">
        <v>33</v>
      </c>
      <c r="C99" s="2">
        <v>4</v>
      </c>
      <c r="D99" s="2">
        <v>91</v>
      </c>
      <c r="E99" s="2">
        <v>53</v>
      </c>
      <c r="F99" s="2">
        <v>1795</v>
      </c>
      <c r="G99" s="8">
        <f t="shared" si="1"/>
        <v>2.9526462395543174E-2</v>
      </c>
      <c r="H99" s="8">
        <v>17.399999999999999</v>
      </c>
      <c r="I99" s="2">
        <v>76</v>
      </c>
      <c r="J99" t="s">
        <v>28</v>
      </c>
    </row>
    <row r="100" spans="1:10" ht="18.75" customHeight="1" x14ac:dyDescent="0.3">
      <c r="A100" t="s">
        <v>112</v>
      </c>
      <c r="B100" s="2">
        <v>19</v>
      </c>
      <c r="C100" s="2">
        <v>6</v>
      </c>
      <c r="D100" s="2">
        <v>156</v>
      </c>
      <c r="E100" s="2">
        <v>108</v>
      </c>
      <c r="F100" s="2">
        <v>2930</v>
      </c>
      <c r="G100" s="8">
        <f t="shared" si="1"/>
        <v>3.6860068259385668E-2</v>
      </c>
      <c r="H100" s="8">
        <v>15.5</v>
      </c>
      <c r="I100" s="2">
        <v>76</v>
      </c>
      <c r="J100" t="s">
        <v>28</v>
      </c>
    </row>
    <row r="101" spans="1:10" ht="18.75" customHeight="1" x14ac:dyDescent="0.3">
      <c r="A101" t="s">
        <v>120</v>
      </c>
      <c r="B101" s="8">
        <v>21.5</v>
      </c>
      <c r="C101" s="2">
        <v>3</v>
      </c>
      <c r="D101" s="2">
        <v>80</v>
      </c>
      <c r="E101" s="2">
        <v>110</v>
      </c>
      <c r="F101" s="2">
        <v>2720</v>
      </c>
      <c r="G101" s="8">
        <f t="shared" si="1"/>
        <v>4.0441176470588237E-2</v>
      </c>
      <c r="H101" s="8">
        <v>13.5</v>
      </c>
      <c r="I101" s="2">
        <v>77</v>
      </c>
      <c r="J101" t="s">
        <v>28</v>
      </c>
    </row>
    <row r="102" spans="1:10" ht="18.75" customHeight="1" x14ac:dyDescent="0.3">
      <c r="A102" t="s">
        <v>121</v>
      </c>
      <c r="B102" s="8">
        <v>33.5</v>
      </c>
      <c r="C102" s="2">
        <v>4</v>
      </c>
      <c r="D102" s="2">
        <v>85</v>
      </c>
      <c r="E102" s="2">
        <v>70</v>
      </c>
      <c r="F102" s="2">
        <v>1945</v>
      </c>
      <c r="G102" s="8">
        <f t="shared" si="1"/>
        <v>3.5989717223650387E-2</v>
      </c>
      <c r="H102" s="8">
        <v>16.8</v>
      </c>
      <c r="I102" s="2">
        <v>77</v>
      </c>
      <c r="J102" t="s">
        <v>28</v>
      </c>
    </row>
    <row r="103" spans="1:10" ht="18.75" customHeight="1" x14ac:dyDescent="0.3">
      <c r="A103" t="s">
        <v>122</v>
      </c>
      <c r="B103" s="2">
        <v>30</v>
      </c>
      <c r="C103" s="2">
        <v>4</v>
      </c>
      <c r="D103" s="2">
        <v>97</v>
      </c>
      <c r="E103" s="2">
        <v>67</v>
      </c>
      <c r="F103" s="2">
        <v>1985</v>
      </c>
      <c r="G103" s="8">
        <f t="shared" si="1"/>
        <v>3.3753148614609575E-2</v>
      </c>
      <c r="H103" s="8">
        <v>16.399999999999999</v>
      </c>
      <c r="I103" s="2">
        <v>77</v>
      </c>
      <c r="J103" t="s">
        <v>28</v>
      </c>
    </row>
    <row r="104" spans="1:10" ht="18.75" customHeight="1" x14ac:dyDescent="0.3">
      <c r="A104" t="s">
        <v>123</v>
      </c>
      <c r="B104" s="8">
        <v>31.5</v>
      </c>
      <c r="C104" s="2">
        <v>4</v>
      </c>
      <c r="D104" s="2">
        <v>98</v>
      </c>
      <c r="E104" s="2">
        <v>68</v>
      </c>
      <c r="F104" s="2">
        <v>2045</v>
      </c>
      <c r="G104" s="8">
        <f t="shared" si="1"/>
        <v>3.3251833740831294E-2</v>
      </c>
      <c r="H104" s="8">
        <v>18.5</v>
      </c>
      <c r="I104" s="2">
        <v>77</v>
      </c>
      <c r="J104" t="s">
        <v>28</v>
      </c>
    </row>
    <row r="105" spans="1:10" ht="18.75" customHeight="1" x14ac:dyDescent="0.3">
      <c r="A105" t="s">
        <v>124</v>
      </c>
      <c r="B105" s="2">
        <v>26</v>
      </c>
      <c r="C105" s="2">
        <v>4</v>
      </c>
      <c r="D105" s="2">
        <v>97</v>
      </c>
      <c r="E105" s="2">
        <v>75</v>
      </c>
      <c r="F105" s="2">
        <v>2265</v>
      </c>
      <c r="G105" s="8">
        <f t="shared" si="1"/>
        <v>3.3112582781456956E-2</v>
      </c>
      <c r="H105" s="8">
        <v>18.2</v>
      </c>
      <c r="I105" s="2">
        <v>77</v>
      </c>
      <c r="J105" t="s">
        <v>28</v>
      </c>
    </row>
    <row r="106" spans="1:10" ht="18.75" customHeight="1" x14ac:dyDescent="0.3">
      <c r="A106" t="s">
        <v>125</v>
      </c>
      <c r="B106" s="2">
        <v>22</v>
      </c>
      <c r="C106" s="2">
        <v>6</v>
      </c>
      <c r="D106" s="2">
        <v>146</v>
      </c>
      <c r="E106" s="2">
        <v>97</v>
      </c>
      <c r="F106" s="2">
        <v>2815</v>
      </c>
      <c r="G106" s="8">
        <f t="shared" si="1"/>
        <v>3.4458259325044406E-2</v>
      </c>
      <c r="H106" s="8">
        <v>14.5</v>
      </c>
      <c r="I106" s="2">
        <v>77</v>
      </c>
      <c r="J106" t="s">
        <v>28</v>
      </c>
    </row>
    <row r="107" spans="1:10" ht="18.75" customHeight="1" x14ac:dyDescent="0.3">
      <c r="A107" t="s">
        <v>126</v>
      </c>
      <c r="B107" s="8">
        <v>27.2</v>
      </c>
      <c r="C107" s="2">
        <v>4</v>
      </c>
      <c r="D107" s="2">
        <v>119</v>
      </c>
      <c r="E107" s="2">
        <v>97</v>
      </c>
      <c r="F107" s="2">
        <v>2300</v>
      </c>
      <c r="G107" s="8">
        <f t="shared" si="1"/>
        <v>4.2173913043478263E-2</v>
      </c>
      <c r="H107" s="8">
        <v>14.7</v>
      </c>
      <c r="I107" s="2">
        <v>78</v>
      </c>
      <c r="J107" t="s">
        <v>28</v>
      </c>
    </row>
    <row r="108" spans="1:10" ht="18.75" customHeight="1" x14ac:dyDescent="0.3">
      <c r="A108" t="s">
        <v>127</v>
      </c>
      <c r="B108" s="8">
        <v>23.9</v>
      </c>
      <c r="C108" s="2">
        <v>4</v>
      </c>
      <c r="D108" s="2">
        <v>119</v>
      </c>
      <c r="E108" s="2">
        <v>97</v>
      </c>
      <c r="F108" s="2">
        <v>2405</v>
      </c>
      <c r="G108" s="8">
        <f t="shared" si="1"/>
        <v>4.0332640332640335E-2</v>
      </c>
      <c r="H108" s="8">
        <v>14.9</v>
      </c>
      <c r="I108" s="2">
        <v>78</v>
      </c>
      <c r="J108" t="s">
        <v>28</v>
      </c>
    </row>
    <row r="109" spans="1:10" ht="18.75" customHeight="1" x14ac:dyDescent="0.3">
      <c r="A109" t="s">
        <v>128</v>
      </c>
      <c r="B109" s="8">
        <v>21.1</v>
      </c>
      <c r="C109" s="2">
        <v>4</v>
      </c>
      <c r="D109" s="2">
        <v>134</v>
      </c>
      <c r="E109" s="2">
        <v>95</v>
      </c>
      <c r="F109" s="2">
        <v>2515</v>
      </c>
      <c r="G109" s="8">
        <f t="shared" si="1"/>
        <v>3.7773359840954271E-2</v>
      </c>
      <c r="H109" s="8">
        <v>14.8</v>
      </c>
      <c r="I109" s="2">
        <v>78</v>
      </c>
      <c r="J109" t="s">
        <v>28</v>
      </c>
    </row>
    <row r="110" spans="1:10" ht="18.75" customHeight="1" x14ac:dyDescent="0.3">
      <c r="A110" t="s">
        <v>102</v>
      </c>
      <c r="B110" s="8">
        <v>27.5</v>
      </c>
      <c r="C110" s="2">
        <v>4</v>
      </c>
      <c r="D110" s="2">
        <v>134</v>
      </c>
      <c r="E110" s="2">
        <v>95</v>
      </c>
      <c r="F110" s="2">
        <v>2560</v>
      </c>
      <c r="G110" s="8">
        <f t="shared" si="1"/>
        <v>3.7109375E-2</v>
      </c>
      <c r="H110" s="8">
        <v>14.2</v>
      </c>
      <c r="I110" s="2">
        <v>78</v>
      </c>
      <c r="J110" t="s">
        <v>28</v>
      </c>
    </row>
    <row r="111" spans="1:10" ht="18.75" customHeight="1" x14ac:dyDescent="0.3">
      <c r="A111" t="s">
        <v>129</v>
      </c>
      <c r="B111" s="8">
        <v>39.4</v>
      </c>
      <c r="C111" s="2">
        <v>4</v>
      </c>
      <c r="D111" s="2">
        <v>85</v>
      </c>
      <c r="E111" s="2">
        <v>70</v>
      </c>
      <c r="F111" s="2">
        <v>2070</v>
      </c>
      <c r="G111" s="8">
        <f t="shared" si="1"/>
        <v>3.3816425120772944E-2</v>
      </c>
      <c r="H111" s="8">
        <v>18.600000000000001</v>
      </c>
      <c r="I111" s="2">
        <v>78</v>
      </c>
      <c r="J111" t="s">
        <v>28</v>
      </c>
    </row>
    <row r="112" spans="1:10" ht="18.75" customHeight="1" x14ac:dyDescent="0.3">
      <c r="A112" t="s">
        <v>118</v>
      </c>
      <c r="B112" s="8">
        <v>36.1</v>
      </c>
      <c r="C112" s="2">
        <v>4</v>
      </c>
      <c r="D112" s="2">
        <v>91</v>
      </c>
      <c r="E112" s="2">
        <v>60</v>
      </c>
      <c r="F112" s="2">
        <v>1800</v>
      </c>
      <c r="G112" s="8">
        <f t="shared" si="1"/>
        <v>3.3333333333333333E-2</v>
      </c>
      <c r="H112" s="8">
        <v>16.399999999999999</v>
      </c>
      <c r="I112" s="2">
        <v>78</v>
      </c>
      <c r="J112" t="s">
        <v>28</v>
      </c>
    </row>
    <row r="113" spans="1:10" ht="18.75" customHeight="1" x14ac:dyDescent="0.3">
      <c r="A113" t="s">
        <v>130</v>
      </c>
      <c r="B113" s="8">
        <v>29.5</v>
      </c>
      <c r="C113" s="2">
        <v>4</v>
      </c>
      <c r="D113" s="2">
        <v>98</v>
      </c>
      <c r="E113" s="2">
        <v>68</v>
      </c>
      <c r="F113" s="2">
        <v>2135</v>
      </c>
      <c r="G113" s="8">
        <f t="shared" si="1"/>
        <v>3.1850117096018739E-2</v>
      </c>
      <c r="H113" s="8">
        <v>16.600000000000001</v>
      </c>
      <c r="I113" s="2">
        <v>78</v>
      </c>
      <c r="J113" t="s">
        <v>28</v>
      </c>
    </row>
    <row r="114" spans="1:10" ht="18.75" customHeight="1" x14ac:dyDescent="0.3">
      <c r="A114" t="s">
        <v>131</v>
      </c>
      <c r="B114" s="8">
        <v>32.799999999999997</v>
      </c>
      <c r="C114" s="2">
        <v>4</v>
      </c>
      <c r="D114" s="2">
        <v>78</v>
      </c>
      <c r="E114" s="2">
        <v>52</v>
      </c>
      <c r="F114" s="2">
        <v>1985</v>
      </c>
      <c r="G114" s="8">
        <f t="shared" si="1"/>
        <v>2.6196473551637279E-2</v>
      </c>
      <c r="H114" s="8">
        <v>19.399999999999999</v>
      </c>
      <c r="I114" s="2">
        <v>78</v>
      </c>
      <c r="J114" t="s">
        <v>28</v>
      </c>
    </row>
    <row r="115" spans="1:10" ht="18.75" customHeight="1" x14ac:dyDescent="0.3">
      <c r="A115" t="s">
        <v>132</v>
      </c>
      <c r="B115" s="8">
        <v>34.1</v>
      </c>
      <c r="C115" s="2">
        <v>4</v>
      </c>
      <c r="D115" s="2">
        <v>86</v>
      </c>
      <c r="E115" s="2">
        <v>65</v>
      </c>
      <c r="F115" s="2">
        <v>1975</v>
      </c>
      <c r="G115" s="8">
        <f t="shared" si="1"/>
        <v>3.2911392405063293E-2</v>
      </c>
      <c r="H115" s="8">
        <v>15.2</v>
      </c>
      <c r="I115" s="2">
        <v>79</v>
      </c>
      <c r="J115" t="s">
        <v>28</v>
      </c>
    </row>
    <row r="116" spans="1:10" ht="18.75" customHeight="1" x14ac:dyDescent="0.3">
      <c r="A116" t="s">
        <v>133</v>
      </c>
      <c r="B116" s="8">
        <v>31.8</v>
      </c>
      <c r="C116" s="2">
        <v>4</v>
      </c>
      <c r="D116" s="2">
        <v>85</v>
      </c>
      <c r="E116" s="2">
        <v>65</v>
      </c>
      <c r="F116" s="2">
        <v>2020</v>
      </c>
      <c r="G116" s="8">
        <f t="shared" si="1"/>
        <v>3.2178217821782179E-2</v>
      </c>
      <c r="H116" s="8">
        <v>19.2</v>
      </c>
      <c r="I116" s="2">
        <v>79</v>
      </c>
      <c r="J116" t="s">
        <v>28</v>
      </c>
    </row>
    <row r="117" spans="1:10" ht="18.75" customHeight="1" x14ac:dyDescent="0.3">
      <c r="A117" t="s">
        <v>134</v>
      </c>
      <c r="B117" s="8">
        <v>23.7</v>
      </c>
      <c r="C117" s="2">
        <v>3</v>
      </c>
      <c r="D117" s="2">
        <v>70</v>
      </c>
      <c r="E117" s="2">
        <v>100</v>
      </c>
      <c r="F117" s="2">
        <v>2420</v>
      </c>
      <c r="G117" s="8">
        <f t="shared" si="1"/>
        <v>4.1322314049586778E-2</v>
      </c>
      <c r="H117" s="8">
        <v>12.5</v>
      </c>
      <c r="I117" s="2">
        <v>80</v>
      </c>
      <c r="J117" t="s">
        <v>28</v>
      </c>
    </row>
    <row r="118" spans="1:10" ht="18.75" customHeight="1" x14ac:dyDescent="0.3">
      <c r="A118" t="s">
        <v>135</v>
      </c>
      <c r="B118" s="2">
        <v>37</v>
      </c>
      <c r="C118" s="2">
        <v>4</v>
      </c>
      <c r="D118" s="2">
        <v>119</v>
      </c>
      <c r="E118" s="2">
        <v>92</v>
      </c>
      <c r="F118" s="2">
        <v>2434</v>
      </c>
      <c r="G118" s="8">
        <f t="shared" si="1"/>
        <v>3.7797863599013971E-2</v>
      </c>
      <c r="H118" s="2">
        <v>15</v>
      </c>
      <c r="I118" s="2">
        <v>80</v>
      </c>
      <c r="J118" t="s">
        <v>28</v>
      </c>
    </row>
    <row r="119" spans="1:10" ht="18.75" customHeight="1" x14ac:dyDescent="0.3">
      <c r="A119" t="s">
        <v>136</v>
      </c>
      <c r="B119" s="8">
        <v>44.6</v>
      </c>
      <c r="C119" s="2">
        <v>4</v>
      </c>
      <c r="D119" s="2">
        <v>91</v>
      </c>
      <c r="E119" s="2">
        <v>67</v>
      </c>
      <c r="F119" s="2">
        <v>1850</v>
      </c>
      <c r="G119" s="8">
        <f t="shared" si="1"/>
        <v>3.6216216216216214E-2</v>
      </c>
      <c r="H119" s="8">
        <v>13.8</v>
      </c>
      <c r="I119" s="2">
        <v>80</v>
      </c>
      <c r="J119" t="s">
        <v>28</v>
      </c>
    </row>
    <row r="120" spans="1:10" ht="18.75" customHeight="1" x14ac:dyDescent="0.3">
      <c r="A120" t="s">
        <v>137</v>
      </c>
      <c r="B120" s="8">
        <v>29.8</v>
      </c>
      <c r="C120" s="2">
        <v>4</v>
      </c>
      <c r="D120" s="2">
        <v>134</v>
      </c>
      <c r="E120" s="2">
        <v>90</v>
      </c>
      <c r="F120" s="2">
        <v>2711</v>
      </c>
      <c r="G120" s="8">
        <f t="shared" si="1"/>
        <v>3.3198081888601995E-2</v>
      </c>
      <c r="H120" s="8">
        <v>15.5</v>
      </c>
      <c r="I120" s="2">
        <v>80</v>
      </c>
      <c r="J120" t="s">
        <v>28</v>
      </c>
    </row>
    <row r="121" spans="1:10" ht="18.75" customHeight="1" x14ac:dyDescent="0.3">
      <c r="A121" t="s">
        <v>117</v>
      </c>
      <c r="B121" s="8">
        <v>32.200000000000003</v>
      </c>
      <c r="C121" s="2">
        <v>4</v>
      </c>
      <c r="D121" s="2">
        <v>108</v>
      </c>
      <c r="E121" s="2">
        <v>75</v>
      </c>
      <c r="F121" s="2">
        <v>2265</v>
      </c>
      <c r="G121" s="8">
        <f t="shared" si="1"/>
        <v>3.3112582781456956E-2</v>
      </c>
      <c r="H121" s="8">
        <v>15.2</v>
      </c>
      <c r="I121" s="2">
        <v>80</v>
      </c>
      <c r="J121" t="s">
        <v>28</v>
      </c>
    </row>
    <row r="122" spans="1:10" ht="18.75" customHeight="1" x14ac:dyDescent="0.3">
      <c r="A122" t="s">
        <v>138</v>
      </c>
      <c r="B122" s="8">
        <v>37.200000000000003</v>
      </c>
      <c r="C122" s="2">
        <v>4</v>
      </c>
      <c r="D122" s="2">
        <v>86</v>
      </c>
      <c r="E122" s="2">
        <v>65</v>
      </c>
      <c r="F122" s="2">
        <v>2019</v>
      </c>
      <c r="G122" s="8">
        <f t="shared" si="1"/>
        <v>3.2194155522535906E-2</v>
      </c>
      <c r="H122" s="8">
        <v>16.399999999999999</v>
      </c>
      <c r="I122" s="2">
        <v>80</v>
      </c>
      <c r="J122" t="s">
        <v>28</v>
      </c>
    </row>
    <row r="123" spans="1:10" ht="18.75" customHeight="1" x14ac:dyDescent="0.3">
      <c r="A123" t="s">
        <v>139</v>
      </c>
      <c r="B123" s="8">
        <v>32.4</v>
      </c>
      <c r="C123" s="2">
        <v>4</v>
      </c>
      <c r="D123" s="2">
        <v>107</v>
      </c>
      <c r="E123" s="2">
        <v>72</v>
      </c>
      <c r="F123" s="2">
        <v>2290</v>
      </c>
      <c r="G123" s="8">
        <f t="shared" si="1"/>
        <v>3.1441048034934499E-2</v>
      </c>
      <c r="H123" s="2">
        <v>17</v>
      </c>
      <c r="I123" s="2">
        <v>80</v>
      </c>
      <c r="J123" t="s">
        <v>28</v>
      </c>
    </row>
    <row r="124" spans="1:10" ht="18.75" customHeight="1" x14ac:dyDescent="0.3">
      <c r="A124" t="s">
        <v>122</v>
      </c>
      <c r="B124" s="8">
        <v>33.799999999999997</v>
      </c>
      <c r="C124" s="2">
        <v>4</v>
      </c>
      <c r="D124" s="2">
        <v>97</v>
      </c>
      <c r="E124" s="2">
        <v>67</v>
      </c>
      <c r="F124" s="2">
        <v>2145</v>
      </c>
      <c r="G124" s="8">
        <f t="shared" si="1"/>
        <v>3.1235431235431235E-2</v>
      </c>
      <c r="H124" s="2">
        <v>18</v>
      </c>
      <c r="I124" s="2">
        <v>80</v>
      </c>
      <c r="J124" t="s">
        <v>28</v>
      </c>
    </row>
    <row r="125" spans="1:10" ht="18.75" customHeight="1" x14ac:dyDescent="0.3">
      <c r="A125" t="s">
        <v>133</v>
      </c>
      <c r="B125" s="8">
        <v>40.799999999999997</v>
      </c>
      <c r="C125" s="2">
        <v>4</v>
      </c>
      <c r="D125" s="2">
        <v>85</v>
      </c>
      <c r="E125" s="2">
        <v>65</v>
      </c>
      <c r="F125" s="2">
        <v>2110</v>
      </c>
      <c r="G125" s="8">
        <f t="shared" si="1"/>
        <v>3.0805687203791468E-2</v>
      </c>
      <c r="H125" s="8">
        <v>19.2</v>
      </c>
      <c r="I125" s="2">
        <v>80</v>
      </c>
      <c r="J125" t="s">
        <v>28</v>
      </c>
    </row>
    <row r="126" spans="1:10" ht="18.75" customHeight="1" x14ac:dyDescent="0.3">
      <c r="A126" t="s">
        <v>140</v>
      </c>
      <c r="B126" s="8">
        <v>46.6</v>
      </c>
      <c r="C126" s="2">
        <v>4</v>
      </c>
      <c r="D126" s="2">
        <v>86</v>
      </c>
      <c r="E126" s="2">
        <v>65</v>
      </c>
      <c r="F126" s="2">
        <v>2110</v>
      </c>
      <c r="G126" s="8">
        <f t="shared" si="1"/>
        <v>3.0805687203791468E-2</v>
      </c>
      <c r="H126" s="8">
        <v>17.899999999999999</v>
      </c>
      <c r="I126" s="2">
        <v>80</v>
      </c>
      <c r="J126" t="s">
        <v>28</v>
      </c>
    </row>
    <row r="127" spans="1:10" ht="18.75" customHeight="1" x14ac:dyDescent="0.3">
      <c r="A127" t="s">
        <v>141</v>
      </c>
      <c r="B127" s="8">
        <v>38.1</v>
      </c>
      <c r="C127" s="2">
        <v>4</v>
      </c>
      <c r="D127" s="2">
        <v>89</v>
      </c>
      <c r="E127" s="2">
        <v>60</v>
      </c>
      <c r="F127" s="2">
        <v>1968</v>
      </c>
      <c r="G127" s="8">
        <f t="shared" si="1"/>
        <v>3.048780487804878E-2</v>
      </c>
      <c r="H127" s="8">
        <v>18.8</v>
      </c>
      <c r="I127" s="2">
        <v>80</v>
      </c>
      <c r="J127" t="s">
        <v>28</v>
      </c>
    </row>
    <row r="128" spans="1:10" ht="18.75" customHeight="1" x14ac:dyDescent="0.3">
      <c r="A128" t="s">
        <v>142</v>
      </c>
      <c r="B128" s="8">
        <v>31.3</v>
      </c>
      <c r="C128" s="2">
        <v>4</v>
      </c>
      <c r="D128" s="2">
        <v>120</v>
      </c>
      <c r="E128" s="2">
        <v>75</v>
      </c>
      <c r="F128" s="2">
        <v>2542</v>
      </c>
      <c r="G128" s="8">
        <f t="shared" si="1"/>
        <v>2.9504327301337528E-2</v>
      </c>
      <c r="H128" s="8">
        <v>17.5</v>
      </c>
      <c r="I128" s="2">
        <v>80</v>
      </c>
      <c r="J128" t="s">
        <v>28</v>
      </c>
    </row>
    <row r="129" spans="1:10" ht="18.75" customHeight="1" x14ac:dyDescent="0.3">
      <c r="A129" t="s">
        <v>143</v>
      </c>
      <c r="B129" s="8">
        <v>32.700000000000003</v>
      </c>
      <c r="C129" s="2">
        <v>6</v>
      </c>
      <c r="D129" s="2">
        <v>168</v>
      </c>
      <c r="E129" s="2">
        <v>132</v>
      </c>
      <c r="F129" s="2">
        <v>2910</v>
      </c>
      <c r="G129" s="8">
        <f t="shared" si="1"/>
        <v>4.536082474226804E-2</v>
      </c>
      <c r="H129" s="8">
        <v>11.4</v>
      </c>
      <c r="I129" s="2">
        <v>80</v>
      </c>
      <c r="J129" t="s">
        <v>28</v>
      </c>
    </row>
    <row r="130" spans="1:10" ht="18.75" customHeight="1" x14ac:dyDescent="0.3">
      <c r="A130" t="s">
        <v>144</v>
      </c>
      <c r="B130" s="8">
        <v>32.9</v>
      </c>
      <c r="C130" s="2">
        <v>4</v>
      </c>
      <c r="D130" s="2">
        <v>119</v>
      </c>
      <c r="E130" s="2">
        <v>100</v>
      </c>
      <c r="F130" s="2">
        <v>2615</v>
      </c>
      <c r="G130" s="8">
        <f t="shared" ref="G130:G193" si="2">IFERROR(E130/F130, "")</f>
        <v>3.8240917782026769E-2</v>
      </c>
      <c r="H130" s="8">
        <v>14.8</v>
      </c>
      <c r="I130" s="2">
        <v>81</v>
      </c>
      <c r="J130" t="s">
        <v>28</v>
      </c>
    </row>
    <row r="131" spans="1:10" ht="18.75" customHeight="1" x14ac:dyDescent="0.3">
      <c r="A131" t="s">
        <v>145</v>
      </c>
      <c r="B131" s="8">
        <v>34.1</v>
      </c>
      <c r="C131" s="2">
        <v>4</v>
      </c>
      <c r="D131" s="2">
        <v>91</v>
      </c>
      <c r="E131" s="2">
        <v>68</v>
      </c>
      <c r="F131" s="2">
        <v>1985</v>
      </c>
      <c r="G131" s="8">
        <f t="shared" si="2"/>
        <v>3.425692695214106E-2</v>
      </c>
      <c r="H131" s="2">
        <v>16</v>
      </c>
      <c r="I131" s="2">
        <v>81</v>
      </c>
      <c r="J131" t="s">
        <v>28</v>
      </c>
    </row>
    <row r="132" spans="1:10" ht="18.75" customHeight="1" x14ac:dyDescent="0.3">
      <c r="A132" t="s">
        <v>146</v>
      </c>
      <c r="B132" s="8">
        <v>35.1</v>
      </c>
      <c r="C132" s="2">
        <v>4</v>
      </c>
      <c r="D132" s="2">
        <v>81</v>
      </c>
      <c r="E132" s="2">
        <v>60</v>
      </c>
      <c r="F132" s="2">
        <v>1760</v>
      </c>
      <c r="G132" s="8">
        <f t="shared" si="2"/>
        <v>3.4090909090909088E-2</v>
      </c>
      <c r="H132" s="8">
        <v>16.100000000000001</v>
      </c>
      <c r="I132" s="2">
        <v>81</v>
      </c>
      <c r="J132" t="s">
        <v>28</v>
      </c>
    </row>
    <row r="133" spans="1:10" ht="18.75" customHeight="1" x14ac:dyDescent="0.3">
      <c r="A133" t="s">
        <v>147</v>
      </c>
      <c r="B133" s="8">
        <v>33.700000000000003</v>
      </c>
      <c r="C133" s="2">
        <v>4</v>
      </c>
      <c r="D133" s="2">
        <v>107</v>
      </c>
      <c r="E133" s="2">
        <v>75</v>
      </c>
      <c r="F133" s="2">
        <v>2210</v>
      </c>
      <c r="G133" s="8">
        <f t="shared" si="2"/>
        <v>3.3936651583710405E-2</v>
      </c>
      <c r="H133" s="8">
        <v>14.4</v>
      </c>
      <c r="I133" s="2">
        <v>81</v>
      </c>
      <c r="J133" t="s">
        <v>28</v>
      </c>
    </row>
    <row r="134" spans="1:10" ht="18.75" customHeight="1" x14ac:dyDescent="0.3">
      <c r="A134" t="s">
        <v>148</v>
      </c>
      <c r="B134" s="8">
        <v>39.1</v>
      </c>
      <c r="C134" s="2">
        <v>4</v>
      </c>
      <c r="D134" s="2">
        <v>79</v>
      </c>
      <c r="E134" s="2">
        <v>58</v>
      </c>
      <c r="F134" s="2">
        <v>1755</v>
      </c>
      <c r="G134" s="8">
        <f t="shared" si="2"/>
        <v>3.3048433048433051E-2</v>
      </c>
      <c r="H134" s="8">
        <v>16.899999999999999</v>
      </c>
      <c r="I134" s="2">
        <v>81</v>
      </c>
      <c r="J134" t="s">
        <v>28</v>
      </c>
    </row>
    <row r="135" spans="1:10" ht="18.75" customHeight="1" x14ac:dyDescent="0.3">
      <c r="A135" t="s">
        <v>149</v>
      </c>
      <c r="B135" s="2">
        <v>37</v>
      </c>
      <c r="C135" s="2">
        <v>4</v>
      </c>
      <c r="D135" s="2">
        <v>85</v>
      </c>
      <c r="E135" s="2">
        <v>65</v>
      </c>
      <c r="F135" s="2">
        <v>1975</v>
      </c>
      <c r="G135" s="8">
        <f t="shared" si="2"/>
        <v>3.2911392405063293E-2</v>
      </c>
      <c r="H135" s="8">
        <v>19.399999999999999</v>
      </c>
      <c r="I135" s="2">
        <v>81</v>
      </c>
      <c r="J135" t="s">
        <v>28</v>
      </c>
    </row>
    <row r="136" spans="1:10" ht="18.75" customHeight="1" x14ac:dyDescent="0.3">
      <c r="A136" t="s">
        <v>114</v>
      </c>
      <c r="B136" s="8">
        <v>32.299999999999997</v>
      </c>
      <c r="C136" s="2">
        <v>4</v>
      </c>
      <c r="D136" s="2">
        <v>97</v>
      </c>
      <c r="E136" s="2">
        <v>67</v>
      </c>
      <c r="F136" s="2">
        <v>2065</v>
      </c>
      <c r="G136" s="8">
        <f t="shared" si="2"/>
        <v>3.2445520581113801E-2</v>
      </c>
      <c r="H136" s="8">
        <v>17.8</v>
      </c>
      <c r="I136" s="2">
        <v>81</v>
      </c>
      <c r="J136" t="s">
        <v>28</v>
      </c>
    </row>
    <row r="137" spans="1:10" ht="18.75" customHeight="1" x14ac:dyDescent="0.3">
      <c r="A137" t="s">
        <v>117</v>
      </c>
      <c r="B137" s="8">
        <v>32.4</v>
      </c>
      <c r="C137" s="2">
        <v>4</v>
      </c>
      <c r="D137" s="2">
        <v>108</v>
      </c>
      <c r="E137" s="2">
        <v>75</v>
      </c>
      <c r="F137" s="2">
        <v>2350</v>
      </c>
      <c r="G137" s="8">
        <f t="shared" si="2"/>
        <v>3.1914893617021274E-2</v>
      </c>
      <c r="H137" s="8">
        <v>16.8</v>
      </c>
      <c r="I137" s="2">
        <v>81</v>
      </c>
      <c r="J137" t="s">
        <v>28</v>
      </c>
    </row>
    <row r="138" spans="1:10" ht="18.75" customHeight="1" x14ac:dyDescent="0.3">
      <c r="A138" t="s">
        <v>150</v>
      </c>
      <c r="B138" s="8">
        <v>37.700000000000003</v>
      </c>
      <c r="C138" s="2">
        <v>4</v>
      </c>
      <c r="D138" s="2">
        <v>89</v>
      </c>
      <c r="E138" s="2">
        <v>62</v>
      </c>
      <c r="F138" s="2">
        <v>2050</v>
      </c>
      <c r="G138" s="8">
        <f t="shared" si="2"/>
        <v>3.0243902439024389E-2</v>
      </c>
      <c r="H138" s="8">
        <v>17.3</v>
      </c>
      <c r="I138" s="2">
        <v>81</v>
      </c>
      <c r="J138" t="s">
        <v>28</v>
      </c>
    </row>
    <row r="139" spans="1:10" ht="18.75" customHeight="1" x14ac:dyDescent="0.3">
      <c r="A139" t="s">
        <v>142</v>
      </c>
      <c r="B139" s="8">
        <v>31.6</v>
      </c>
      <c r="C139" s="2">
        <v>4</v>
      </c>
      <c r="D139" s="2">
        <v>120</v>
      </c>
      <c r="E139" s="2">
        <v>74</v>
      </c>
      <c r="F139" s="2">
        <v>2635</v>
      </c>
      <c r="G139" s="8">
        <f t="shared" si="2"/>
        <v>2.808349146110057E-2</v>
      </c>
      <c r="H139" s="8">
        <v>18.3</v>
      </c>
      <c r="I139" s="2">
        <v>81</v>
      </c>
      <c r="J139" t="s">
        <v>28</v>
      </c>
    </row>
    <row r="140" spans="1:10" ht="18.75" customHeight="1" x14ac:dyDescent="0.3">
      <c r="A140" t="s">
        <v>151</v>
      </c>
      <c r="B140" s="8">
        <v>24.2</v>
      </c>
      <c r="C140" s="2">
        <v>6</v>
      </c>
      <c r="D140" s="2">
        <v>146</v>
      </c>
      <c r="E140" s="2">
        <v>120</v>
      </c>
      <c r="F140" s="2">
        <v>2930</v>
      </c>
      <c r="G140" s="8">
        <f t="shared" si="2"/>
        <v>4.0955631399317405E-2</v>
      </c>
      <c r="H140" s="8">
        <v>13.8</v>
      </c>
      <c r="I140" s="2">
        <v>81</v>
      </c>
      <c r="J140" t="s">
        <v>28</v>
      </c>
    </row>
    <row r="141" spans="1:10" ht="18.75" customHeight="1" x14ac:dyDescent="0.3">
      <c r="A141" t="s">
        <v>152</v>
      </c>
      <c r="B141" s="8">
        <v>25.4</v>
      </c>
      <c r="C141" s="2">
        <v>6</v>
      </c>
      <c r="D141" s="2">
        <v>168</v>
      </c>
      <c r="E141" s="2">
        <v>116</v>
      </c>
      <c r="F141" s="2">
        <v>2900</v>
      </c>
      <c r="G141" s="8">
        <f t="shared" si="2"/>
        <v>0.04</v>
      </c>
      <c r="H141" s="8">
        <v>12.6</v>
      </c>
      <c r="I141" s="2">
        <v>81</v>
      </c>
      <c r="J141" t="s">
        <v>28</v>
      </c>
    </row>
    <row r="142" spans="1:10" ht="18.75" customHeight="1" x14ac:dyDescent="0.3">
      <c r="A142" t="s">
        <v>153</v>
      </c>
      <c r="B142" s="2">
        <v>36</v>
      </c>
      <c r="C142" s="2">
        <v>4</v>
      </c>
      <c r="D142" s="2">
        <v>120</v>
      </c>
      <c r="E142" s="2">
        <v>88</v>
      </c>
      <c r="F142" s="2">
        <v>2160</v>
      </c>
      <c r="G142" s="8">
        <f t="shared" si="2"/>
        <v>4.0740740740740744E-2</v>
      </c>
      <c r="H142" s="8">
        <v>14.5</v>
      </c>
      <c r="I142" s="2">
        <v>82</v>
      </c>
      <c r="J142" t="s">
        <v>28</v>
      </c>
    </row>
    <row r="143" spans="1:10" ht="18.75" customHeight="1" x14ac:dyDescent="0.3">
      <c r="A143" t="s">
        <v>154</v>
      </c>
      <c r="B143" s="2">
        <v>32</v>
      </c>
      <c r="C143" s="2">
        <v>4</v>
      </c>
      <c r="D143" s="2">
        <v>144</v>
      </c>
      <c r="E143" s="2">
        <v>96</v>
      </c>
      <c r="F143" s="2">
        <v>2665</v>
      </c>
      <c r="G143" s="8">
        <f t="shared" si="2"/>
        <v>3.6022514071294559E-2</v>
      </c>
      <c r="H143" s="8">
        <v>13.9</v>
      </c>
      <c r="I143" s="2">
        <v>82</v>
      </c>
      <c r="J143" t="s">
        <v>28</v>
      </c>
    </row>
    <row r="144" spans="1:10" ht="18.75" customHeight="1" x14ac:dyDescent="0.3">
      <c r="A144" t="s">
        <v>155</v>
      </c>
      <c r="B144" s="2">
        <v>31</v>
      </c>
      <c r="C144" s="2">
        <v>4</v>
      </c>
      <c r="D144" s="2">
        <v>91</v>
      </c>
      <c r="E144" s="2">
        <v>68</v>
      </c>
      <c r="F144" s="2">
        <v>1970</v>
      </c>
      <c r="G144" s="8">
        <f t="shared" si="2"/>
        <v>3.4517766497461931E-2</v>
      </c>
      <c r="H144" s="8">
        <v>17.600000000000001</v>
      </c>
      <c r="I144" s="2">
        <v>82</v>
      </c>
      <c r="J144" t="s">
        <v>28</v>
      </c>
    </row>
    <row r="145" spans="1:10" ht="18.75" customHeight="1" x14ac:dyDescent="0.3">
      <c r="A145" t="s">
        <v>113</v>
      </c>
      <c r="B145" s="2">
        <v>38</v>
      </c>
      <c r="C145" s="2">
        <v>4</v>
      </c>
      <c r="D145" s="2">
        <v>91</v>
      </c>
      <c r="E145" s="2">
        <v>67</v>
      </c>
      <c r="F145" s="2">
        <v>1965</v>
      </c>
      <c r="G145" s="8">
        <f t="shared" si="2"/>
        <v>3.4096692111959287E-2</v>
      </c>
      <c r="H145" s="2">
        <v>15</v>
      </c>
      <c r="I145" s="2">
        <v>82</v>
      </c>
      <c r="J145" t="s">
        <v>28</v>
      </c>
    </row>
    <row r="146" spans="1:10" ht="18.75" customHeight="1" x14ac:dyDescent="0.3">
      <c r="A146" t="s">
        <v>156</v>
      </c>
      <c r="B146" s="2">
        <v>32</v>
      </c>
      <c r="C146" s="2">
        <v>4</v>
      </c>
      <c r="D146" s="2">
        <v>91</v>
      </c>
      <c r="E146" s="2">
        <v>67</v>
      </c>
      <c r="F146" s="2">
        <v>1965</v>
      </c>
      <c r="G146" s="8">
        <f t="shared" si="2"/>
        <v>3.4096692111959287E-2</v>
      </c>
      <c r="H146" s="8">
        <v>15.7</v>
      </c>
      <c r="I146" s="2">
        <v>82</v>
      </c>
      <c r="J146" t="s">
        <v>28</v>
      </c>
    </row>
    <row r="147" spans="1:10" ht="18.75" customHeight="1" x14ac:dyDescent="0.3">
      <c r="A147" t="s">
        <v>139</v>
      </c>
      <c r="B147" s="2">
        <v>36</v>
      </c>
      <c r="C147" s="2">
        <v>4</v>
      </c>
      <c r="D147" s="2">
        <v>107</v>
      </c>
      <c r="E147" s="2">
        <v>75</v>
      </c>
      <c r="F147" s="2">
        <v>2205</v>
      </c>
      <c r="G147" s="8">
        <f t="shared" si="2"/>
        <v>3.4013605442176874E-2</v>
      </c>
      <c r="H147" s="8">
        <v>14.5</v>
      </c>
      <c r="I147" s="2">
        <v>82</v>
      </c>
      <c r="J147" t="s">
        <v>28</v>
      </c>
    </row>
    <row r="148" spans="1:10" ht="18.75" customHeight="1" x14ac:dyDescent="0.3">
      <c r="A148" t="s">
        <v>157</v>
      </c>
      <c r="B148" s="2">
        <v>38</v>
      </c>
      <c r="C148" s="2">
        <v>4</v>
      </c>
      <c r="D148" s="2">
        <v>91</v>
      </c>
      <c r="E148" s="2">
        <v>67</v>
      </c>
      <c r="F148" s="2">
        <v>1995</v>
      </c>
      <c r="G148" s="8">
        <f t="shared" si="2"/>
        <v>3.3583959899749376E-2</v>
      </c>
      <c r="H148" s="8">
        <v>16.2</v>
      </c>
      <c r="I148" s="2">
        <v>82</v>
      </c>
      <c r="J148" t="s">
        <v>28</v>
      </c>
    </row>
    <row r="149" spans="1:10" ht="18.75" customHeight="1" x14ac:dyDescent="0.3">
      <c r="A149" t="s">
        <v>158</v>
      </c>
      <c r="B149" s="2">
        <v>37</v>
      </c>
      <c r="C149" s="2">
        <v>4</v>
      </c>
      <c r="D149" s="2">
        <v>91</v>
      </c>
      <c r="E149" s="2">
        <v>68</v>
      </c>
      <c r="F149" s="2">
        <v>2025</v>
      </c>
      <c r="G149" s="8">
        <f t="shared" si="2"/>
        <v>3.3580246913580247E-2</v>
      </c>
      <c r="H149" s="8">
        <v>18.2</v>
      </c>
      <c r="I149" s="2">
        <v>82</v>
      </c>
      <c r="J149" t="s">
        <v>28</v>
      </c>
    </row>
    <row r="150" spans="1:10" ht="18.75" customHeight="1" x14ac:dyDescent="0.3">
      <c r="A150" t="s">
        <v>117</v>
      </c>
      <c r="B150" s="2">
        <v>34</v>
      </c>
      <c r="C150" s="2">
        <v>4</v>
      </c>
      <c r="D150" s="2">
        <v>108</v>
      </c>
      <c r="E150" s="2">
        <v>70</v>
      </c>
      <c r="F150" s="2">
        <v>2245</v>
      </c>
      <c r="G150" s="8">
        <f t="shared" si="2"/>
        <v>3.1180400890868598E-2</v>
      </c>
      <c r="H150" s="8">
        <v>16.899999999999999</v>
      </c>
      <c r="I150" s="2">
        <v>82</v>
      </c>
      <c r="J150" t="s">
        <v>28</v>
      </c>
    </row>
    <row r="151" spans="1:10" ht="18.75" customHeight="1" x14ac:dyDescent="0.3">
      <c r="A151" t="s">
        <v>159</v>
      </c>
      <c r="B151" s="2">
        <v>18</v>
      </c>
      <c r="C151" s="2">
        <v>6</v>
      </c>
      <c r="D151" s="2">
        <v>199</v>
      </c>
      <c r="E151" s="2">
        <v>97</v>
      </c>
      <c r="F151" s="2">
        <v>2774</v>
      </c>
      <c r="G151" s="8">
        <f t="shared" si="2"/>
        <v>3.4967555875991346E-2</v>
      </c>
      <c r="H151" s="8">
        <v>15.5</v>
      </c>
      <c r="I151" s="2">
        <v>70</v>
      </c>
      <c r="J151" t="s">
        <v>29</v>
      </c>
    </row>
    <row r="152" spans="1:10" ht="18.75" customHeight="1" x14ac:dyDescent="0.3">
      <c r="A152" t="s">
        <v>160</v>
      </c>
      <c r="B152" s="2">
        <v>21</v>
      </c>
      <c r="C152" s="2">
        <v>6</v>
      </c>
      <c r="D152" s="2">
        <v>199</v>
      </c>
      <c r="E152" s="2">
        <v>90</v>
      </c>
      <c r="F152" s="2">
        <v>2648</v>
      </c>
      <c r="G152" s="8">
        <f t="shared" si="2"/>
        <v>3.3987915407854986E-2</v>
      </c>
      <c r="H152" s="2">
        <v>15</v>
      </c>
      <c r="I152" s="2">
        <v>70</v>
      </c>
      <c r="J152" t="s">
        <v>29</v>
      </c>
    </row>
    <row r="153" spans="1:10" ht="18.75" customHeight="1" x14ac:dyDescent="0.3">
      <c r="A153" t="s">
        <v>161</v>
      </c>
      <c r="B153" s="2">
        <v>22</v>
      </c>
      <c r="C153" s="2">
        <v>6</v>
      </c>
      <c r="D153" s="2">
        <v>198</v>
      </c>
      <c r="E153" s="2">
        <v>95</v>
      </c>
      <c r="F153" s="2">
        <v>2833</v>
      </c>
      <c r="G153" s="8">
        <f t="shared" si="2"/>
        <v>3.3533356865513592E-2</v>
      </c>
      <c r="H153" s="8">
        <v>15.5</v>
      </c>
      <c r="I153" s="2">
        <v>70</v>
      </c>
      <c r="J153" t="s">
        <v>29</v>
      </c>
    </row>
    <row r="154" spans="1:10" ht="18.75" customHeight="1" x14ac:dyDescent="0.3">
      <c r="A154" t="s">
        <v>162</v>
      </c>
      <c r="B154" s="2">
        <v>21</v>
      </c>
      <c r="C154" s="2">
        <v>6</v>
      </c>
      <c r="D154" s="2">
        <v>200</v>
      </c>
      <c r="E154" s="2">
        <v>85</v>
      </c>
      <c r="F154" s="2">
        <v>2587</v>
      </c>
      <c r="G154" s="8">
        <f t="shared" si="2"/>
        <v>3.2856590645535366E-2</v>
      </c>
      <c r="H154" s="2">
        <v>16</v>
      </c>
      <c r="I154" s="2">
        <v>70</v>
      </c>
      <c r="J154" t="s">
        <v>29</v>
      </c>
    </row>
    <row r="155" spans="1:10" ht="18.75" customHeight="1" x14ac:dyDescent="0.3">
      <c r="A155" t="s">
        <v>163</v>
      </c>
      <c r="B155" s="2">
        <v>14</v>
      </c>
      <c r="C155" s="2">
        <v>8</v>
      </c>
      <c r="D155" s="2">
        <v>455</v>
      </c>
      <c r="E155" s="2">
        <v>225</v>
      </c>
      <c r="F155" s="2">
        <v>3086</v>
      </c>
      <c r="G155" s="8">
        <f t="shared" si="2"/>
        <v>7.2909915748541804E-2</v>
      </c>
      <c r="H155" s="2">
        <v>10</v>
      </c>
      <c r="I155" s="2">
        <v>70</v>
      </c>
      <c r="J155" t="s">
        <v>29</v>
      </c>
    </row>
    <row r="156" spans="1:10" ht="18.75" customHeight="1" x14ac:dyDescent="0.3">
      <c r="A156" t="s">
        <v>164</v>
      </c>
      <c r="B156" s="2">
        <v>14</v>
      </c>
      <c r="C156" s="2">
        <v>8</v>
      </c>
      <c r="D156" s="2">
        <v>455</v>
      </c>
      <c r="E156" s="2">
        <v>225</v>
      </c>
      <c r="F156" s="2">
        <v>4425</v>
      </c>
      <c r="G156" s="8">
        <f t="shared" si="2"/>
        <v>5.0847457627118647E-2</v>
      </c>
      <c r="H156" s="2">
        <v>10</v>
      </c>
      <c r="I156" s="2">
        <v>70</v>
      </c>
      <c r="J156" t="s">
        <v>29</v>
      </c>
    </row>
    <row r="157" spans="1:10" ht="18.75" customHeight="1" x14ac:dyDescent="0.3">
      <c r="A157" t="s">
        <v>165</v>
      </c>
      <c r="B157" s="2">
        <v>14</v>
      </c>
      <c r="C157" s="2">
        <v>8</v>
      </c>
      <c r="D157" s="2">
        <v>454</v>
      </c>
      <c r="E157" s="2">
        <v>220</v>
      </c>
      <c r="F157" s="2">
        <v>4354</v>
      </c>
      <c r="G157" s="8">
        <f t="shared" si="2"/>
        <v>5.0528249885163065E-2</v>
      </c>
      <c r="H157" s="2">
        <v>9</v>
      </c>
      <c r="I157" s="2">
        <v>70</v>
      </c>
      <c r="J157" t="s">
        <v>29</v>
      </c>
    </row>
    <row r="158" spans="1:10" ht="18.75" customHeight="1" x14ac:dyDescent="0.3">
      <c r="A158" t="s">
        <v>166</v>
      </c>
      <c r="B158" s="2">
        <v>14</v>
      </c>
      <c r="C158" s="2">
        <v>8</v>
      </c>
      <c r="D158" s="2">
        <v>440</v>
      </c>
      <c r="E158" s="2">
        <v>215</v>
      </c>
      <c r="F158" s="2">
        <v>4312</v>
      </c>
      <c r="G158" s="8">
        <f t="shared" si="2"/>
        <v>4.9860853432282005E-2</v>
      </c>
      <c r="H158" s="8">
        <v>8.5</v>
      </c>
      <c r="I158" s="2">
        <v>70</v>
      </c>
      <c r="J158" t="s">
        <v>29</v>
      </c>
    </row>
    <row r="159" spans="1:10" ht="18.75" customHeight="1" x14ac:dyDescent="0.3">
      <c r="A159" t="s">
        <v>167</v>
      </c>
      <c r="B159" s="2">
        <v>15</v>
      </c>
      <c r="C159" s="2">
        <v>8</v>
      </c>
      <c r="D159" s="2">
        <v>390</v>
      </c>
      <c r="E159" s="2">
        <v>190</v>
      </c>
      <c r="F159" s="2">
        <v>3850</v>
      </c>
      <c r="G159" s="8">
        <f t="shared" si="2"/>
        <v>4.9350649350649353E-2</v>
      </c>
      <c r="H159" s="8">
        <v>8.5</v>
      </c>
      <c r="I159" s="2">
        <v>70</v>
      </c>
      <c r="J159" t="s">
        <v>29</v>
      </c>
    </row>
    <row r="160" spans="1:10" ht="18.75" customHeight="1" x14ac:dyDescent="0.3">
      <c r="A160" t="s">
        <v>168</v>
      </c>
      <c r="B160" s="2">
        <v>11</v>
      </c>
      <c r="C160" s="2">
        <v>8</v>
      </c>
      <c r="D160" s="2">
        <v>318</v>
      </c>
      <c r="E160" s="2">
        <v>210</v>
      </c>
      <c r="F160" s="2">
        <v>4382</v>
      </c>
      <c r="G160" s="8">
        <f t="shared" si="2"/>
        <v>4.7923322683706068E-2</v>
      </c>
      <c r="H160" s="8">
        <v>13.5</v>
      </c>
      <c r="I160" s="2">
        <v>70</v>
      </c>
      <c r="J160" t="s">
        <v>29</v>
      </c>
    </row>
    <row r="161" spans="1:10" ht="18.75" customHeight="1" x14ac:dyDescent="0.3">
      <c r="A161" t="s">
        <v>169</v>
      </c>
      <c r="B161" s="2">
        <v>15</v>
      </c>
      <c r="C161" s="2">
        <v>8</v>
      </c>
      <c r="D161" s="2">
        <v>383</v>
      </c>
      <c r="E161" s="2">
        <v>170</v>
      </c>
      <c r="F161" s="2">
        <v>3563</v>
      </c>
      <c r="G161" s="8">
        <f t="shared" si="2"/>
        <v>4.771260174010665E-2</v>
      </c>
      <c r="H161" s="2">
        <v>10</v>
      </c>
      <c r="I161" s="2">
        <v>70</v>
      </c>
      <c r="J161" t="s">
        <v>29</v>
      </c>
    </row>
    <row r="162" spans="1:10" ht="18.75" customHeight="1" x14ac:dyDescent="0.3">
      <c r="A162" t="s">
        <v>170</v>
      </c>
      <c r="B162" s="2">
        <v>10</v>
      </c>
      <c r="C162" s="2">
        <v>8</v>
      </c>
      <c r="D162" s="2">
        <v>360</v>
      </c>
      <c r="E162" s="2">
        <v>215</v>
      </c>
      <c r="F162" s="2">
        <v>4615</v>
      </c>
      <c r="G162" s="8">
        <f t="shared" si="2"/>
        <v>4.6587215601300108E-2</v>
      </c>
      <c r="H162" s="2">
        <v>14</v>
      </c>
      <c r="I162" s="2">
        <v>70</v>
      </c>
      <c r="J162" t="s">
        <v>29</v>
      </c>
    </row>
    <row r="163" spans="1:10" ht="18.75" customHeight="1" x14ac:dyDescent="0.3">
      <c r="A163" t="s">
        <v>171</v>
      </c>
      <c r="B163" s="2">
        <v>10</v>
      </c>
      <c r="C163" s="2">
        <v>8</v>
      </c>
      <c r="D163" s="2">
        <v>307</v>
      </c>
      <c r="E163" s="2">
        <v>200</v>
      </c>
      <c r="F163" s="2">
        <v>4376</v>
      </c>
      <c r="G163" s="8">
        <f t="shared" si="2"/>
        <v>4.5703839122486288E-2</v>
      </c>
      <c r="H163" s="2">
        <v>15</v>
      </c>
      <c r="I163" s="2">
        <v>70</v>
      </c>
      <c r="J163" t="s">
        <v>29</v>
      </c>
    </row>
    <row r="164" spans="1:10" ht="18.75" customHeight="1" x14ac:dyDescent="0.3">
      <c r="A164" t="s">
        <v>172</v>
      </c>
      <c r="B164" s="2">
        <v>15</v>
      </c>
      <c r="C164" s="2">
        <v>8</v>
      </c>
      <c r="D164" s="2">
        <v>429</v>
      </c>
      <c r="E164" s="2">
        <v>198</v>
      </c>
      <c r="F164" s="2">
        <v>4341</v>
      </c>
      <c r="G164" s="8">
        <f t="shared" si="2"/>
        <v>4.5611610228058048E-2</v>
      </c>
      <c r="H164" s="2">
        <v>10</v>
      </c>
      <c r="I164" s="2">
        <v>70</v>
      </c>
      <c r="J164" t="s">
        <v>29</v>
      </c>
    </row>
    <row r="165" spans="1:10" ht="18.75" customHeight="1" x14ac:dyDescent="0.3">
      <c r="A165" t="s">
        <v>173</v>
      </c>
      <c r="B165" s="2">
        <v>15</v>
      </c>
      <c r="C165" s="2">
        <v>8</v>
      </c>
      <c r="D165" s="2">
        <v>350</v>
      </c>
      <c r="E165" s="2">
        <v>165</v>
      </c>
      <c r="F165" s="2">
        <v>3693</v>
      </c>
      <c r="G165" s="8">
        <f t="shared" si="2"/>
        <v>4.4679122664500408E-2</v>
      </c>
      <c r="H165" s="8">
        <v>11.5</v>
      </c>
      <c r="I165" s="2">
        <v>70</v>
      </c>
      <c r="J165" t="s">
        <v>29</v>
      </c>
    </row>
    <row r="166" spans="1:10" ht="18.75" customHeight="1" x14ac:dyDescent="0.3">
      <c r="A166" t="s">
        <v>174</v>
      </c>
      <c r="B166" s="2">
        <v>14</v>
      </c>
      <c r="C166" s="2">
        <v>8</v>
      </c>
      <c r="D166" s="2">
        <v>340</v>
      </c>
      <c r="E166" s="2">
        <v>160</v>
      </c>
      <c r="F166" s="2">
        <v>3609</v>
      </c>
      <c r="G166" s="8">
        <f t="shared" si="2"/>
        <v>4.433361041839845E-2</v>
      </c>
      <c r="H166" s="2">
        <v>8</v>
      </c>
      <c r="I166" s="2">
        <v>70</v>
      </c>
      <c r="J166" t="s">
        <v>29</v>
      </c>
    </row>
    <row r="167" spans="1:10" ht="18.75" customHeight="1" x14ac:dyDescent="0.3">
      <c r="A167" t="s">
        <v>175</v>
      </c>
      <c r="B167" s="2">
        <v>16</v>
      </c>
      <c r="C167" s="2">
        <v>8</v>
      </c>
      <c r="D167" s="2">
        <v>304</v>
      </c>
      <c r="E167" s="2">
        <v>150</v>
      </c>
      <c r="F167" s="2">
        <v>3433</v>
      </c>
      <c r="G167" s="8">
        <f t="shared" si="2"/>
        <v>4.3693562481794346E-2</v>
      </c>
      <c r="H167" s="2">
        <v>12</v>
      </c>
      <c r="I167" s="2">
        <v>70</v>
      </c>
      <c r="J167" t="s">
        <v>29</v>
      </c>
    </row>
    <row r="168" spans="1:10" ht="18.75" customHeight="1" x14ac:dyDescent="0.3">
      <c r="A168" t="s">
        <v>176</v>
      </c>
      <c r="B168" s="2">
        <v>18</v>
      </c>
      <c r="C168" s="2">
        <v>8</v>
      </c>
      <c r="D168" s="2">
        <v>318</v>
      </c>
      <c r="E168" s="2">
        <v>150</v>
      </c>
      <c r="F168" s="2">
        <v>3436</v>
      </c>
      <c r="G168" s="8">
        <f t="shared" si="2"/>
        <v>4.3655413271245634E-2</v>
      </c>
      <c r="H168" s="2">
        <v>11</v>
      </c>
      <c r="I168" s="2">
        <v>70</v>
      </c>
      <c r="J168" t="s">
        <v>29</v>
      </c>
    </row>
    <row r="169" spans="1:10" ht="18.75" customHeight="1" x14ac:dyDescent="0.3">
      <c r="A169" t="s">
        <v>177</v>
      </c>
      <c r="B169" s="2">
        <v>9</v>
      </c>
      <c r="C169" s="2">
        <v>8</v>
      </c>
      <c r="D169" s="2">
        <v>304</v>
      </c>
      <c r="E169" s="2">
        <v>193</v>
      </c>
      <c r="F169" s="2">
        <v>4732</v>
      </c>
      <c r="G169" s="8">
        <f t="shared" si="2"/>
        <v>4.0786136939983092E-2</v>
      </c>
      <c r="H169" s="8">
        <v>18.5</v>
      </c>
      <c r="I169" s="2">
        <v>70</v>
      </c>
      <c r="J169" t="s">
        <v>29</v>
      </c>
    </row>
    <row r="170" spans="1:10" ht="18.75" customHeight="1" x14ac:dyDescent="0.3">
      <c r="A170" t="s">
        <v>178</v>
      </c>
      <c r="B170" s="2">
        <v>17</v>
      </c>
      <c r="C170" s="2">
        <v>8</v>
      </c>
      <c r="D170" s="2">
        <v>302</v>
      </c>
      <c r="E170" s="2">
        <v>140</v>
      </c>
      <c r="F170" s="2">
        <v>3449</v>
      </c>
      <c r="G170" s="8">
        <f t="shared" si="2"/>
        <v>4.0591475790084083E-2</v>
      </c>
      <c r="H170" s="8">
        <v>10.5</v>
      </c>
      <c r="I170" s="2">
        <v>70</v>
      </c>
      <c r="J170" t="s">
        <v>29</v>
      </c>
    </row>
    <row r="171" spans="1:10" ht="18.75" customHeight="1" x14ac:dyDescent="0.3">
      <c r="A171" t="s">
        <v>179</v>
      </c>
      <c r="B171" s="2">
        <v>15</v>
      </c>
      <c r="C171" s="2">
        <v>8</v>
      </c>
      <c r="D171" s="2">
        <v>400</v>
      </c>
      <c r="E171" s="2">
        <v>150</v>
      </c>
      <c r="F171" s="2">
        <v>3761</v>
      </c>
      <c r="G171" s="8">
        <f t="shared" si="2"/>
        <v>3.988300983780909E-2</v>
      </c>
      <c r="H171" s="8">
        <v>9.5</v>
      </c>
      <c r="I171" s="2">
        <v>70</v>
      </c>
      <c r="J171" t="s">
        <v>29</v>
      </c>
    </row>
    <row r="172" spans="1:10" ht="18.75" customHeight="1" x14ac:dyDescent="0.3">
      <c r="A172" t="s">
        <v>180</v>
      </c>
      <c r="B172" s="2">
        <v>18</v>
      </c>
      <c r="C172" s="2">
        <v>8</v>
      </c>
      <c r="D172" s="2">
        <v>307</v>
      </c>
      <c r="E172" s="2">
        <v>130</v>
      </c>
      <c r="F172" s="2">
        <v>3504</v>
      </c>
      <c r="G172" s="8">
        <f t="shared" si="2"/>
        <v>3.7100456621004564E-2</v>
      </c>
      <c r="H172" s="2">
        <v>12</v>
      </c>
      <c r="I172" s="2">
        <v>70</v>
      </c>
      <c r="J172" t="s">
        <v>29</v>
      </c>
    </row>
    <row r="173" spans="1:10" ht="18.75" customHeight="1" x14ac:dyDescent="0.3">
      <c r="A173" t="s">
        <v>181</v>
      </c>
      <c r="B173" s="2">
        <v>28</v>
      </c>
      <c r="C173" s="2">
        <v>4</v>
      </c>
      <c r="D173" s="2">
        <v>140</v>
      </c>
      <c r="E173" s="2">
        <v>90</v>
      </c>
      <c r="F173" s="2">
        <v>2264</v>
      </c>
      <c r="G173" s="8">
        <f t="shared" si="2"/>
        <v>3.9752650176678443E-2</v>
      </c>
      <c r="H173" s="8">
        <v>15.5</v>
      </c>
      <c r="I173" s="2">
        <v>71</v>
      </c>
      <c r="J173" t="s">
        <v>29</v>
      </c>
    </row>
    <row r="174" spans="1:10" ht="18.75" customHeight="1" x14ac:dyDescent="0.3">
      <c r="A174" t="s">
        <v>182</v>
      </c>
      <c r="B174" s="2">
        <v>23</v>
      </c>
      <c r="C174" s="2">
        <v>4</v>
      </c>
      <c r="D174" s="2">
        <v>122</v>
      </c>
      <c r="E174" s="2">
        <v>86</v>
      </c>
      <c r="F174" s="2">
        <v>2220</v>
      </c>
      <c r="G174" s="8">
        <f t="shared" si="2"/>
        <v>3.8738738738738739E-2</v>
      </c>
      <c r="H174" s="2">
        <v>14</v>
      </c>
      <c r="I174" s="2">
        <v>71</v>
      </c>
      <c r="J174" t="s">
        <v>29</v>
      </c>
    </row>
    <row r="175" spans="1:10" ht="18.75" customHeight="1" x14ac:dyDescent="0.3">
      <c r="A175" t="s">
        <v>183</v>
      </c>
      <c r="B175" s="2">
        <v>26</v>
      </c>
      <c r="C175" s="2">
        <v>4</v>
      </c>
      <c r="D175" s="2">
        <v>91</v>
      </c>
      <c r="E175" s="2">
        <v>70</v>
      </c>
      <c r="F175" s="2">
        <v>1955</v>
      </c>
      <c r="G175" s="8">
        <f t="shared" si="2"/>
        <v>3.5805626598465472E-2</v>
      </c>
      <c r="H175" s="8">
        <v>20.5</v>
      </c>
      <c r="I175" s="2">
        <v>71</v>
      </c>
      <c r="J175" t="s">
        <v>29</v>
      </c>
    </row>
    <row r="176" spans="1:10" ht="18.75" customHeight="1" x14ac:dyDescent="0.3">
      <c r="A176" t="s">
        <v>184</v>
      </c>
      <c r="B176" s="2">
        <v>22</v>
      </c>
      <c r="C176" s="2">
        <v>4</v>
      </c>
      <c r="D176" s="2">
        <v>140</v>
      </c>
      <c r="E176" s="2">
        <v>72</v>
      </c>
      <c r="F176" s="2">
        <v>2408</v>
      </c>
      <c r="G176" s="8">
        <f t="shared" si="2"/>
        <v>2.9900332225913623E-2</v>
      </c>
      <c r="H176" s="2">
        <v>19</v>
      </c>
      <c r="I176" s="2">
        <v>71</v>
      </c>
      <c r="J176" t="s">
        <v>29</v>
      </c>
    </row>
    <row r="177" spans="1:10" ht="18.75" customHeight="1" x14ac:dyDescent="0.3">
      <c r="A177" t="s">
        <v>185</v>
      </c>
      <c r="B177" s="2">
        <v>25</v>
      </c>
      <c r="C177" s="2">
        <v>4</v>
      </c>
      <c r="D177" s="2">
        <v>98</v>
      </c>
      <c r="F177" s="2">
        <v>2046</v>
      </c>
      <c r="G177" s="2">
        <f t="shared" si="2"/>
        <v>0</v>
      </c>
      <c r="H177" s="2">
        <v>19</v>
      </c>
      <c r="I177" s="2">
        <v>71</v>
      </c>
      <c r="J177" t="s">
        <v>29</v>
      </c>
    </row>
    <row r="178" spans="1:10" ht="18.75" customHeight="1" x14ac:dyDescent="0.3">
      <c r="A178" t="s">
        <v>160</v>
      </c>
      <c r="B178" s="2">
        <v>19</v>
      </c>
      <c r="C178" s="2">
        <v>6</v>
      </c>
      <c r="D178" s="2">
        <v>232</v>
      </c>
      <c r="E178" s="2">
        <v>100</v>
      </c>
      <c r="F178" s="2">
        <v>2634</v>
      </c>
      <c r="G178" s="8">
        <f t="shared" si="2"/>
        <v>3.7965072133637055E-2</v>
      </c>
      <c r="H178" s="2">
        <v>13</v>
      </c>
      <c r="I178" s="2">
        <v>71</v>
      </c>
      <c r="J178" t="s">
        <v>29</v>
      </c>
    </row>
    <row r="179" spans="1:10" ht="18.75" customHeight="1" x14ac:dyDescent="0.3">
      <c r="A179" t="s">
        <v>186</v>
      </c>
      <c r="B179" s="2">
        <v>18</v>
      </c>
      <c r="C179" s="2">
        <v>6</v>
      </c>
      <c r="D179" s="2">
        <v>258</v>
      </c>
      <c r="E179" s="2">
        <v>110</v>
      </c>
      <c r="F179" s="2">
        <v>2962</v>
      </c>
      <c r="G179" s="8">
        <f t="shared" si="2"/>
        <v>3.7137069547602972E-2</v>
      </c>
      <c r="H179" s="8">
        <v>13.5</v>
      </c>
      <c r="I179" s="2">
        <v>71</v>
      </c>
      <c r="J179" t="s">
        <v>29</v>
      </c>
    </row>
    <row r="180" spans="1:10" ht="18.75" customHeight="1" x14ac:dyDescent="0.3">
      <c r="A180" t="s">
        <v>187</v>
      </c>
      <c r="B180" s="2">
        <v>16</v>
      </c>
      <c r="C180" s="2">
        <v>6</v>
      </c>
      <c r="D180" s="2">
        <v>225</v>
      </c>
      <c r="E180" s="2">
        <v>105</v>
      </c>
      <c r="F180" s="2">
        <v>3439</v>
      </c>
      <c r="G180" s="8">
        <f t="shared" si="2"/>
        <v>3.0532131433556268E-2</v>
      </c>
      <c r="H180" s="8">
        <v>15.5</v>
      </c>
      <c r="I180" s="2">
        <v>71</v>
      </c>
      <c r="J180" t="s">
        <v>29</v>
      </c>
    </row>
    <row r="181" spans="1:10" ht="18.75" customHeight="1" x14ac:dyDescent="0.3">
      <c r="A181" t="s">
        <v>188</v>
      </c>
      <c r="B181" s="2">
        <v>19</v>
      </c>
      <c r="C181" s="2">
        <v>6</v>
      </c>
      <c r="D181" s="2">
        <v>250</v>
      </c>
      <c r="E181" s="2">
        <v>100</v>
      </c>
      <c r="F181" s="2">
        <v>3282</v>
      </c>
      <c r="G181" s="8">
        <f t="shared" si="2"/>
        <v>3.0469226081657527E-2</v>
      </c>
      <c r="H181" s="2">
        <v>15</v>
      </c>
      <c r="I181" s="2">
        <v>71</v>
      </c>
      <c r="J181" t="s">
        <v>29</v>
      </c>
    </row>
    <row r="182" spans="1:10" ht="18.75" customHeight="1" x14ac:dyDescent="0.3">
      <c r="A182" t="s">
        <v>189</v>
      </c>
      <c r="B182" s="2">
        <v>18</v>
      </c>
      <c r="C182" s="2">
        <v>6</v>
      </c>
      <c r="D182" s="2">
        <v>232</v>
      </c>
      <c r="E182" s="2">
        <v>100</v>
      </c>
      <c r="F182" s="2">
        <v>3288</v>
      </c>
      <c r="G182" s="8">
        <f t="shared" si="2"/>
        <v>3.0413625304136254E-2</v>
      </c>
      <c r="H182" s="8">
        <v>15.5</v>
      </c>
      <c r="I182" s="2">
        <v>71</v>
      </c>
      <c r="J182" t="s">
        <v>29</v>
      </c>
    </row>
    <row r="183" spans="1:10" ht="18.75" customHeight="1" x14ac:dyDescent="0.3">
      <c r="A183" t="s">
        <v>180</v>
      </c>
      <c r="B183" s="2">
        <v>17</v>
      </c>
      <c r="C183" s="2">
        <v>6</v>
      </c>
      <c r="D183" s="2">
        <v>250</v>
      </c>
      <c r="E183" s="2">
        <v>100</v>
      </c>
      <c r="F183" s="2">
        <v>3329</v>
      </c>
      <c r="G183" s="8">
        <f t="shared" si="2"/>
        <v>3.0039050765995796E-2</v>
      </c>
      <c r="H183" s="8">
        <v>15.5</v>
      </c>
      <c r="I183" s="2">
        <v>71</v>
      </c>
      <c r="J183" t="s">
        <v>29</v>
      </c>
    </row>
    <row r="184" spans="1:10" ht="18.75" customHeight="1" x14ac:dyDescent="0.3">
      <c r="A184" t="s">
        <v>190</v>
      </c>
      <c r="B184" s="2">
        <v>18</v>
      </c>
      <c r="C184" s="2">
        <v>6</v>
      </c>
      <c r="D184" s="2">
        <v>250</v>
      </c>
      <c r="E184" s="2">
        <v>88</v>
      </c>
      <c r="F184" s="2">
        <v>3139</v>
      </c>
      <c r="G184" s="8">
        <f t="shared" si="2"/>
        <v>2.8034405861739407E-2</v>
      </c>
      <c r="H184" s="8">
        <v>14.5</v>
      </c>
      <c r="I184" s="2">
        <v>71</v>
      </c>
      <c r="J184" t="s">
        <v>29</v>
      </c>
    </row>
    <row r="185" spans="1:10" ht="18.75" customHeight="1" x14ac:dyDescent="0.3">
      <c r="A185" t="s">
        <v>191</v>
      </c>
      <c r="B185" s="2">
        <v>19</v>
      </c>
      <c r="C185" s="2">
        <v>6</v>
      </c>
      <c r="D185" s="2">
        <v>250</v>
      </c>
      <c r="E185" s="2">
        <v>88</v>
      </c>
      <c r="F185" s="2">
        <v>3302</v>
      </c>
      <c r="G185" s="8">
        <f t="shared" si="2"/>
        <v>2.6650514839491216E-2</v>
      </c>
      <c r="H185" s="8">
        <v>15.5</v>
      </c>
      <c r="I185" s="2">
        <v>71</v>
      </c>
      <c r="J185" t="s">
        <v>29</v>
      </c>
    </row>
    <row r="186" spans="1:10" ht="18.75" customHeight="1" x14ac:dyDescent="0.3">
      <c r="A186" t="s">
        <v>165</v>
      </c>
      <c r="B186" s="2">
        <v>14</v>
      </c>
      <c r="C186" s="2">
        <v>8</v>
      </c>
      <c r="D186" s="2">
        <v>350</v>
      </c>
      <c r="E186" s="2">
        <v>165</v>
      </c>
      <c r="F186" s="2">
        <v>4209</v>
      </c>
      <c r="G186" s="8">
        <f t="shared" si="2"/>
        <v>3.9201710620099785E-2</v>
      </c>
      <c r="H186" s="2">
        <v>12</v>
      </c>
      <c r="I186" s="2">
        <v>71</v>
      </c>
      <c r="J186" t="s">
        <v>29</v>
      </c>
    </row>
    <row r="187" spans="1:10" ht="18.75" customHeight="1" x14ac:dyDescent="0.3">
      <c r="A187" t="s">
        <v>192</v>
      </c>
      <c r="B187" s="2">
        <v>14</v>
      </c>
      <c r="C187" s="2">
        <v>8</v>
      </c>
      <c r="D187" s="2">
        <v>400</v>
      </c>
      <c r="E187" s="2">
        <v>175</v>
      </c>
      <c r="F187" s="2">
        <v>4464</v>
      </c>
      <c r="G187" s="8">
        <f t="shared" si="2"/>
        <v>3.9202508960573479E-2</v>
      </c>
      <c r="H187" s="8">
        <v>11.5</v>
      </c>
      <c r="I187" s="2">
        <v>71</v>
      </c>
      <c r="J187" t="s">
        <v>29</v>
      </c>
    </row>
    <row r="188" spans="1:10" ht="18.75" customHeight="1" x14ac:dyDescent="0.3">
      <c r="A188" t="s">
        <v>172</v>
      </c>
      <c r="B188" s="2">
        <v>14</v>
      </c>
      <c r="C188" s="2">
        <v>8</v>
      </c>
      <c r="D188" s="2">
        <v>351</v>
      </c>
      <c r="E188" s="2">
        <v>153</v>
      </c>
      <c r="F188" s="2">
        <v>4154</v>
      </c>
      <c r="G188" s="8">
        <f t="shared" si="2"/>
        <v>3.6831969186326433E-2</v>
      </c>
      <c r="H188" s="8">
        <v>13.5</v>
      </c>
      <c r="I188" s="2">
        <v>71</v>
      </c>
      <c r="J188" t="s">
        <v>29</v>
      </c>
    </row>
    <row r="189" spans="1:10" ht="18.75" customHeight="1" x14ac:dyDescent="0.3">
      <c r="A189" t="s">
        <v>166</v>
      </c>
      <c r="B189" s="2">
        <v>14</v>
      </c>
      <c r="C189" s="2">
        <v>8</v>
      </c>
      <c r="D189" s="2">
        <v>318</v>
      </c>
      <c r="E189" s="2">
        <v>150</v>
      </c>
      <c r="F189" s="2">
        <v>4096</v>
      </c>
      <c r="G189" s="8">
        <f t="shared" si="2"/>
        <v>3.662109375E-2</v>
      </c>
      <c r="H189" s="2">
        <v>13</v>
      </c>
      <c r="I189" s="2">
        <v>71</v>
      </c>
      <c r="J189" t="s">
        <v>29</v>
      </c>
    </row>
    <row r="190" spans="1:10" ht="18.75" customHeight="1" x14ac:dyDescent="0.3">
      <c r="A190" t="s">
        <v>193</v>
      </c>
      <c r="B190" s="2">
        <v>12</v>
      </c>
      <c r="C190" s="2">
        <v>8</v>
      </c>
      <c r="D190" s="2">
        <v>383</v>
      </c>
      <c r="E190" s="2">
        <v>180</v>
      </c>
      <c r="F190" s="2">
        <v>4955</v>
      </c>
      <c r="G190" s="8">
        <f t="shared" si="2"/>
        <v>3.6326942482341071E-2</v>
      </c>
      <c r="H190" s="8">
        <v>11.5</v>
      </c>
      <c r="I190" s="2">
        <v>71</v>
      </c>
      <c r="J190" t="s">
        <v>29</v>
      </c>
    </row>
    <row r="191" spans="1:10" ht="18.75" customHeight="1" x14ac:dyDescent="0.3">
      <c r="A191" t="s">
        <v>194</v>
      </c>
      <c r="B191" s="2">
        <v>13</v>
      </c>
      <c r="C191" s="2">
        <v>8</v>
      </c>
      <c r="D191" s="2">
        <v>400</v>
      </c>
      <c r="E191" s="2">
        <v>170</v>
      </c>
      <c r="F191" s="2">
        <v>4746</v>
      </c>
      <c r="G191" s="8">
        <f t="shared" si="2"/>
        <v>3.5819637589549091E-2</v>
      </c>
      <c r="H191" s="2">
        <v>12</v>
      </c>
      <c r="I191" s="2">
        <v>71</v>
      </c>
      <c r="J191" t="s">
        <v>29</v>
      </c>
    </row>
    <row r="192" spans="1:10" ht="18.75" customHeight="1" x14ac:dyDescent="0.3">
      <c r="A192" t="s">
        <v>195</v>
      </c>
      <c r="B192" s="2">
        <v>13</v>
      </c>
      <c r="C192" s="2">
        <v>8</v>
      </c>
      <c r="D192" s="2">
        <v>400</v>
      </c>
      <c r="E192" s="2">
        <v>175</v>
      </c>
      <c r="F192" s="2">
        <v>5140</v>
      </c>
      <c r="G192" s="8">
        <f t="shared" si="2"/>
        <v>3.4046692607003888E-2</v>
      </c>
      <c r="H192" s="2">
        <v>12</v>
      </c>
      <c r="I192" s="2">
        <v>71</v>
      </c>
      <c r="J192" t="s">
        <v>29</v>
      </c>
    </row>
    <row r="193" spans="1:10" ht="18.75" customHeight="1" x14ac:dyDescent="0.3">
      <c r="A193" t="s">
        <v>196</v>
      </c>
      <c r="B193" s="2">
        <v>21</v>
      </c>
      <c r="C193" s="2">
        <v>4</v>
      </c>
      <c r="D193" s="2">
        <v>122</v>
      </c>
      <c r="E193" s="2">
        <v>86</v>
      </c>
      <c r="F193" s="2">
        <v>2226</v>
      </c>
      <c r="G193" s="8">
        <f t="shared" si="2"/>
        <v>3.8634321653189578E-2</v>
      </c>
      <c r="H193" s="8">
        <v>16.5</v>
      </c>
      <c r="I193" s="2">
        <v>72</v>
      </c>
      <c r="J193" t="s">
        <v>29</v>
      </c>
    </row>
    <row r="194" spans="1:10" ht="18.75" customHeight="1" x14ac:dyDescent="0.3">
      <c r="A194" t="s">
        <v>197</v>
      </c>
      <c r="B194" s="2">
        <v>25</v>
      </c>
      <c r="C194" s="2">
        <v>4</v>
      </c>
      <c r="D194" s="8">
        <v>97.5</v>
      </c>
      <c r="E194" s="2">
        <v>80</v>
      </c>
      <c r="F194" s="2">
        <v>2126</v>
      </c>
      <c r="G194" s="8">
        <f t="shared" ref="G194:G257" si="3">IFERROR(E194/F194, "")</f>
        <v>3.7629350893697081E-2</v>
      </c>
      <c r="H194" s="2">
        <v>17</v>
      </c>
      <c r="I194" s="2">
        <v>72</v>
      </c>
      <c r="J194" t="s">
        <v>29</v>
      </c>
    </row>
    <row r="195" spans="1:10" ht="18.75" customHeight="1" x14ac:dyDescent="0.3">
      <c r="A195" t="s">
        <v>198</v>
      </c>
      <c r="B195" s="2">
        <v>20</v>
      </c>
      <c r="C195" s="2">
        <v>4</v>
      </c>
      <c r="D195" s="2">
        <v>140</v>
      </c>
      <c r="E195" s="2">
        <v>90</v>
      </c>
      <c r="F195" s="2">
        <v>2408</v>
      </c>
      <c r="G195" s="8">
        <f t="shared" si="3"/>
        <v>3.7375415282392029E-2</v>
      </c>
      <c r="H195" s="8">
        <v>19.5</v>
      </c>
      <c r="I195" s="2">
        <v>72</v>
      </c>
      <c r="J195" t="s">
        <v>29</v>
      </c>
    </row>
    <row r="196" spans="1:10" ht="18.75" customHeight="1" x14ac:dyDescent="0.3">
      <c r="A196" t="s">
        <v>199</v>
      </c>
      <c r="B196" s="2">
        <v>28</v>
      </c>
      <c r="C196" s="2">
        <v>4</v>
      </c>
      <c r="D196" s="2">
        <v>98</v>
      </c>
      <c r="E196" s="2">
        <v>80</v>
      </c>
      <c r="F196" s="2">
        <v>2164</v>
      </c>
      <c r="G196" s="8">
        <f t="shared" si="3"/>
        <v>3.6968576709796676E-2</v>
      </c>
      <c r="H196" s="2">
        <v>15</v>
      </c>
      <c r="I196" s="2">
        <v>72</v>
      </c>
      <c r="J196" t="s">
        <v>29</v>
      </c>
    </row>
    <row r="197" spans="1:10" ht="18.75" customHeight="1" x14ac:dyDescent="0.3">
      <c r="A197" t="s">
        <v>200</v>
      </c>
      <c r="B197" s="2">
        <v>22</v>
      </c>
      <c r="C197" s="2">
        <v>4</v>
      </c>
      <c r="D197" s="2">
        <v>122</v>
      </c>
      <c r="E197" s="2">
        <v>86</v>
      </c>
      <c r="F197" s="2">
        <v>2395</v>
      </c>
      <c r="G197" s="8">
        <f t="shared" si="3"/>
        <v>3.5908141962421709E-2</v>
      </c>
      <c r="H197" s="2">
        <v>16</v>
      </c>
      <c r="I197" s="2">
        <v>72</v>
      </c>
      <c r="J197" t="s">
        <v>29</v>
      </c>
    </row>
    <row r="198" spans="1:10" ht="18.75" customHeight="1" x14ac:dyDescent="0.3">
      <c r="A198" t="s">
        <v>201</v>
      </c>
      <c r="B198" s="2">
        <v>11</v>
      </c>
      <c r="C198" s="2">
        <v>8</v>
      </c>
      <c r="D198" s="2">
        <v>429</v>
      </c>
      <c r="E198" s="2">
        <v>208</v>
      </c>
      <c r="F198" s="2">
        <v>4633</v>
      </c>
      <c r="G198" s="8">
        <f t="shared" si="3"/>
        <v>4.4895316209799266E-2</v>
      </c>
      <c r="H198" s="2">
        <v>11</v>
      </c>
      <c r="I198" s="2">
        <v>72</v>
      </c>
      <c r="J198" t="s">
        <v>29</v>
      </c>
    </row>
    <row r="199" spans="1:10" ht="18.75" customHeight="1" x14ac:dyDescent="0.3">
      <c r="A199" t="s">
        <v>202</v>
      </c>
      <c r="B199" s="2">
        <v>13</v>
      </c>
      <c r="C199" s="2">
        <v>8</v>
      </c>
      <c r="D199" s="2">
        <v>400</v>
      </c>
      <c r="E199" s="2">
        <v>190</v>
      </c>
      <c r="F199" s="2">
        <v>4422</v>
      </c>
      <c r="G199" s="8">
        <f t="shared" si="3"/>
        <v>4.2966983265490727E-2</v>
      </c>
      <c r="H199" s="8">
        <v>12.5</v>
      </c>
      <c r="I199" s="2">
        <v>72</v>
      </c>
      <c r="J199" t="s">
        <v>29</v>
      </c>
    </row>
    <row r="200" spans="1:10" ht="18.75" customHeight="1" x14ac:dyDescent="0.3">
      <c r="A200" t="s">
        <v>203</v>
      </c>
      <c r="B200" s="2">
        <v>17</v>
      </c>
      <c r="C200" s="2">
        <v>8</v>
      </c>
      <c r="D200" s="2">
        <v>304</v>
      </c>
      <c r="E200" s="2">
        <v>150</v>
      </c>
      <c r="F200" s="2">
        <v>3672</v>
      </c>
      <c r="G200" s="8">
        <f t="shared" si="3"/>
        <v>4.084967320261438E-2</v>
      </c>
      <c r="H200" s="8">
        <v>11.5</v>
      </c>
      <c r="I200" s="2">
        <v>72</v>
      </c>
      <c r="J200" t="s">
        <v>29</v>
      </c>
    </row>
    <row r="201" spans="1:10" ht="18.75" customHeight="1" x14ac:dyDescent="0.3">
      <c r="A201" t="s">
        <v>164</v>
      </c>
      <c r="B201" s="2">
        <v>14</v>
      </c>
      <c r="C201" s="2">
        <v>8</v>
      </c>
      <c r="D201" s="2">
        <v>400</v>
      </c>
      <c r="E201" s="2">
        <v>175</v>
      </c>
      <c r="F201" s="2">
        <v>4385</v>
      </c>
      <c r="G201" s="8">
        <f t="shared" si="3"/>
        <v>3.9908779931584946E-2</v>
      </c>
      <c r="H201" s="2">
        <v>12</v>
      </c>
      <c r="I201" s="2">
        <v>72</v>
      </c>
      <c r="J201" t="s">
        <v>29</v>
      </c>
    </row>
    <row r="202" spans="1:10" ht="18.75" customHeight="1" x14ac:dyDescent="0.3">
      <c r="A202" t="s">
        <v>165</v>
      </c>
      <c r="B202" s="2">
        <v>13</v>
      </c>
      <c r="C202" s="2">
        <v>8</v>
      </c>
      <c r="D202" s="2">
        <v>350</v>
      </c>
      <c r="E202" s="2">
        <v>165</v>
      </c>
      <c r="F202" s="2">
        <v>4274</v>
      </c>
      <c r="G202" s="8">
        <f t="shared" si="3"/>
        <v>3.8605521759475903E-2</v>
      </c>
      <c r="H202" s="2">
        <v>12</v>
      </c>
      <c r="I202" s="2">
        <v>72</v>
      </c>
      <c r="J202" t="s">
        <v>29</v>
      </c>
    </row>
    <row r="203" spans="1:10" ht="18.75" customHeight="1" x14ac:dyDescent="0.3">
      <c r="A203" t="s">
        <v>204</v>
      </c>
      <c r="B203" s="2">
        <v>15</v>
      </c>
      <c r="C203" s="2">
        <v>8</v>
      </c>
      <c r="D203" s="2">
        <v>304</v>
      </c>
      <c r="E203" s="2">
        <v>150</v>
      </c>
      <c r="F203" s="2">
        <v>3892</v>
      </c>
      <c r="G203" s="8">
        <f t="shared" si="3"/>
        <v>3.8540596094552931E-2</v>
      </c>
      <c r="H203" s="8">
        <v>12.5</v>
      </c>
      <c r="I203" s="2">
        <v>72</v>
      </c>
      <c r="J203" t="s">
        <v>29</v>
      </c>
    </row>
    <row r="204" spans="1:10" ht="18.75" customHeight="1" x14ac:dyDescent="0.3">
      <c r="A204" t="s">
        <v>172</v>
      </c>
      <c r="B204" s="2">
        <v>14</v>
      </c>
      <c r="C204" s="2">
        <v>8</v>
      </c>
      <c r="D204" s="2">
        <v>351</v>
      </c>
      <c r="E204" s="2">
        <v>153</v>
      </c>
      <c r="F204" s="2">
        <v>4129</v>
      </c>
      <c r="G204" s="8">
        <f t="shared" si="3"/>
        <v>3.705497699200775E-2</v>
      </c>
      <c r="H204" s="2">
        <v>13</v>
      </c>
      <c r="I204" s="2">
        <v>72</v>
      </c>
      <c r="J204" t="s">
        <v>29</v>
      </c>
    </row>
    <row r="205" spans="1:10" ht="18.75" customHeight="1" x14ac:dyDescent="0.3">
      <c r="A205" t="s">
        <v>205</v>
      </c>
      <c r="B205" s="2">
        <v>14</v>
      </c>
      <c r="C205" s="2">
        <v>8</v>
      </c>
      <c r="D205" s="2">
        <v>318</v>
      </c>
      <c r="E205" s="2">
        <v>150</v>
      </c>
      <c r="F205" s="2">
        <v>4077</v>
      </c>
      <c r="G205" s="8">
        <f t="shared" si="3"/>
        <v>3.679175864606328E-2</v>
      </c>
      <c r="H205" s="2">
        <v>14</v>
      </c>
      <c r="I205" s="2">
        <v>72</v>
      </c>
      <c r="J205" t="s">
        <v>29</v>
      </c>
    </row>
    <row r="206" spans="1:10" ht="18.75" customHeight="1" x14ac:dyDescent="0.3">
      <c r="A206" t="s">
        <v>166</v>
      </c>
      <c r="B206" s="2">
        <v>15</v>
      </c>
      <c r="C206" s="2">
        <v>8</v>
      </c>
      <c r="D206" s="2">
        <v>318</v>
      </c>
      <c r="E206" s="2">
        <v>150</v>
      </c>
      <c r="F206" s="2">
        <v>4135</v>
      </c>
      <c r="G206" s="8">
        <f t="shared" si="3"/>
        <v>3.6275695284159616E-2</v>
      </c>
      <c r="H206" s="8">
        <v>13.5</v>
      </c>
      <c r="I206" s="2">
        <v>72</v>
      </c>
      <c r="J206" t="s">
        <v>29</v>
      </c>
    </row>
    <row r="207" spans="1:10" ht="18.75" customHeight="1" x14ac:dyDescent="0.3">
      <c r="A207" t="s">
        <v>206</v>
      </c>
      <c r="B207" s="2">
        <v>12</v>
      </c>
      <c r="C207" s="2">
        <v>8</v>
      </c>
      <c r="D207" s="2">
        <v>350</v>
      </c>
      <c r="E207" s="2">
        <v>160</v>
      </c>
      <c r="F207" s="2">
        <v>4456</v>
      </c>
      <c r="G207" s="8">
        <f t="shared" si="3"/>
        <v>3.5906642728904849E-2</v>
      </c>
      <c r="H207" s="8">
        <v>13.5</v>
      </c>
      <c r="I207" s="2">
        <v>72</v>
      </c>
      <c r="J207" t="s">
        <v>29</v>
      </c>
    </row>
    <row r="208" spans="1:10" ht="18.75" customHeight="1" x14ac:dyDescent="0.3">
      <c r="A208" t="s">
        <v>207</v>
      </c>
      <c r="B208" s="2">
        <v>13</v>
      </c>
      <c r="C208" s="2">
        <v>8</v>
      </c>
      <c r="D208" s="2">
        <v>350</v>
      </c>
      <c r="E208" s="2">
        <v>155</v>
      </c>
      <c r="F208" s="2">
        <v>4502</v>
      </c>
      <c r="G208" s="8">
        <f t="shared" si="3"/>
        <v>3.442914260328743E-2</v>
      </c>
      <c r="H208" s="8">
        <v>13.5</v>
      </c>
      <c r="I208" s="2">
        <v>72</v>
      </c>
      <c r="J208" t="s">
        <v>29</v>
      </c>
    </row>
    <row r="209" spans="1:10" ht="18.75" customHeight="1" x14ac:dyDescent="0.3">
      <c r="A209" t="s">
        <v>208</v>
      </c>
      <c r="B209" s="2">
        <v>13</v>
      </c>
      <c r="C209" s="2">
        <v>8</v>
      </c>
      <c r="D209" s="2">
        <v>302</v>
      </c>
      <c r="E209" s="2">
        <v>140</v>
      </c>
      <c r="F209" s="2">
        <v>4294</v>
      </c>
      <c r="G209" s="8">
        <f t="shared" si="3"/>
        <v>3.2603632976245925E-2</v>
      </c>
      <c r="H209" s="2">
        <v>16</v>
      </c>
      <c r="I209" s="2">
        <v>72</v>
      </c>
      <c r="J209" t="s">
        <v>29</v>
      </c>
    </row>
    <row r="210" spans="1:10" ht="18.75" customHeight="1" x14ac:dyDescent="0.3">
      <c r="A210" t="s">
        <v>209</v>
      </c>
      <c r="B210" s="2">
        <v>13</v>
      </c>
      <c r="C210" s="2">
        <v>8</v>
      </c>
      <c r="D210" s="2">
        <v>307</v>
      </c>
      <c r="E210" s="2">
        <v>130</v>
      </c>
      <c r="F210" s="2">
        <v>4098</v>
      </c>
      <c r="G210" s="8">
        <f t="shared" si="3"/>
        <v>3.1722791605661299E-2</v>
      </c>
      <c r="H210" s="2">
        <v>14</v>
      </c>
      <c r="I210" s="2">
        <v>72</v>
      </c>
      <c r="J210" t="s">
        <v>29</v>
      </c>
    </row>
    <row r="211" spans="1:10" ht="18.75" customHeight="1" x14ac:dyDescent="0.3">
      <c r="A211" t="s">
        <v>185</v>
      </c>
      <c r="B211" s="2">
        <v>19</v>
      </c>
      <c r="C211" s="2">
        <v>4</v>
      </c>
      <c r="D211" s="2">
        <v>122</v>
      </c>
      <c r="E211" s="2">
        <v>85</v>
      </c>
      <c r="F211" s="2">
        <v>2310</v>
      </c>
      <c r="G211" s="8">
        <f t="shared" si="3"/>
        <v>3.67965367965368E-2</v>
      </c>
      <c r="H211" s="8">
        <v>18.5</v>
      </c>
      <c r="I211" s="2">
        <v>73</v>
      </c>
      <c r="J211" t="s">
        <v>29</v>
      </c>
    </row>
    <row r="212" spans="1:10" ht="18.75" customHeight="1" x14ac:dyDescent="0.3">
      <c r="A212" t="s">
        <v>198</v>
      </c>
      <c r="B212" s="2">
        <v>21</v>
      </c>
      <c r="C212" s="2">
        <v>4</v>
      </c>
      <c r="D212" s="2">
        <v>140</v>
      </c>
      <c r="E212" s="2">
        <v>72</v>
      </c>
      <c r="F212" s="2">
        <v>2401</v>
      </c>
      <c r="G212" s="8">
        <f t="shared" si="3"/>
        <v>2.9987505206164097E-2</v>
      </c>
      <c r="H212" s="8">
        <v>19.5</v>
      </c>
      <c r="I212" s="2">
        <v>73</v>
      </c>
      <c r="J212" t="s">
        <v>29</v>
      </c>
    </row>
    <row r="213" spans="1:10" ht="18.75" customHeight="1" x14ac:dyDescent="0.3">
      <c r="A213" t="s">
        <v>210</v>
      </c>
      <c r="B213" s="2">
        <v>21</v>
      </c>
      <c r="C213" s="2">
        <v>6</v>
      </c>
      <c r="D213" s="2">
        <v>155</v>
      </c>
      <c r="E213" s="2">
        <v>107</v>
      </c>
      <c r="F213" s="2">
        <v>2472</v>
      </c>
      <c r="G213" s="8">
        <f t="shared" si="3"/>
        <v>4.3284789644012944E-2</v>
      </c>
      <c r="H213" s="2">
        <v>14</v>
      </c>
      <c r="I213" s="2">
        <v>73</v>
      </c>
      <c r="J213" t="s">
        <v>29</v>
      </c>
    </row>
    <row r="214" spans="1:10" ht="18.75" customHeight="1" x14ac:dyDescent="0.3">
      <c r="A214" t="s">
        <v>160</v>
      </c>
      <c r="B214" s="2">
        <v>18</v>
      </c>
      <c r="C214" s="2">
        <v>6</v>
      </c>
      <c r="D214" s="2">
        <v>232</v>
      </c>
      <c r="E214" s="2">
        <v>100</v>
      </c>
      <c r="F214" s="2">
        <v>2789</v>
      </c>
      <c r="G214" s="8">
        <f t="shared" si="3"/>
        <v>3.5855145213338116E-2</v>
      </c>
      <c r="H214" s="2">
        <v>15</v>
      </c>
      <c r="I214" s="2">
        <v>73</v>
      </c>
      <c r="J214" t="s">
        <v>29</v>
      </c>
    </row>
    <row r="215" spans="1:10" ht="18.75" customHeight="1" x14ac:dyDescent="0.3">
      <c r="A215" t="s">
        <v>159</v>
      </c>
      <c r="B215" s="2">
        <v>18</v>
      </c>
      <c r="C215" s="2">
        <v>6</v>
      </c>
      <c r="D215" s="2">
        <v>232</v>
      </c>
      <c r="E215" s="2">
        <v>100</v>
      </c>
      <c r="F215" s="2">
        <v>2945</v>
      </c>
      <c r="G215" s="8">
        <f t="shared" si="3"/>
        <v>3.3955857385398983E-2</v>
      </c>
      <c r="H215" s="2">
        <v>16</v>
      </c>
      <c r="I215" s="2">
        <v>73</v>
      </c>
      <c r="J215" t="s">
        <v>29</v>
      </c>
    </row>
    <row r="216" spans="1:10" ht="18.75" customHeight="1" x14ac:dyDescent="0.3">
      <c r="A216" t="s">
        <v>211</v>
      </c>
      <c r="B216" s="2">
        <v>18</v>
      </c>
      <c r="C216" s="2">
        <v>6</v>
      </c>
      <c r="D216" s="2">
        <v>225</v>
      </c>
      <c r="E216" s="2">
        <v>105</v>
      </c>
      <c r="F216" s="2">
        <v>3121</v>
      </c>
      <c r="G216" s="8">
        <f t="shared" si="3"/>
        <v>3.3643063120794618E-2</v>
      </c>
      <c r="H216" s="8">
        <v>16.5</v>
      </c>
      <c r="I216" s="2">
        <v>73</v>
      </c>
      <c r="J216" t="s">
        <v>29</v>
      </c>
    </row>
    <row r="217" spans="1:10" ht="18.75" customHeight="1" x14ac:dyDescent="0.3">
      <c r="A217" t="s">
        <v>161</v>
      </c>
      <c r="B217" s="2">
        <v>23</v>
      </c>
      <c r="C217" s="2">
        <v>6</v>
      </c>
      <c r="D217" s="2">
        <v>198</v>
      </c>
      <c r="E217" s="2">
        <v>95</v>
      </c>
      <c r="F217" s="2">
        <v>2904</v>
      </c>
      <c r="G217" s="8">
        <f t="shared" si="3"/>
        <v>3.2713498622589529E-2</v>
      </c>
      <c r="H217" s="2">
        <v>16</v>
      </c>
      <c r="I217" s="2">
        <v>73</v>
      </c>
      <c r="J217" t="s">
        <v>29</v>
      </c>
    </row>
    <row r="218" spans="1:10" ht="18.75" customHeight="1" x14ac:dyDescent="0.3">
      <c r="A218" t="s">
        <v>212</v>
      </c>
      <c r="B218" s="2">
        <v>16</v>
      </c>
      <c r="C218" s="2">
        <v>6</v>
      </c>
      <c r="D218" s="2">
        <v>250</v>
      </c>
      <c r="E218" s="2">
        <v>100</v>
      </c>
      <c r="F218" s="2">
        <v>3278</v>
      </c>
      <c r="G218" s="8">
        <f t="shared" si="3"/>
        <v>3.0506406345332519E-2</v>
      </c>
      <c r="H218" s="2">
        <v>18</v>
      </c>
      <c r="I218" s="2">
        <v>73</v>
      </c>
      <c r="J218" t="s">
        <v>29</v>
      </c>
    </row>
    <row r="219" spans="1:10" ht="18.75" customHeight="1" x14ac:dyDescent="0.3">
      <c r="A219" t="s">
        <v>162</v>
      </c>
      <c r="B219" s="2">
        <v>18</v>
      </c>
      <c r="C219" s="2">
        <v>6</v>
      </c>
      <c r="D219" s="2">
        <v>250</v>
      </c>
      <c r="E219" s="2">
        <v>88</v>
      </c>
      <c r="F219" s="2">
        <v>3021</v>
      </c>
      <c r="G219" s="8">
        <f t="shared" si="3"/>
        <v>2.9129427341939754E-2</v>
      </c>
      <c r="H219" s="8">
        <v>16.5</v>
      </c>
      <c r="I219" s="2">
        <v>73</v>
      </c>
      <c r="J219" t="s">
        <v>29</v>
      </c>
    </row>
    <row r="220" spans="1:10" ht="18.75" customHeight="1" x14ac:dyDescent="0.3">
      <c r="A220" t="s">
        <v>213</v>
      </c>
      <c r="B220" s="2">
        <v>16</v>
      </c>
      <c r="C220" s="2">
        <v>8</v>
      </c>
      <c r="D220" s="2">
        <v>400</v>
      </c>
      <c r="E220" s="2">
        <v>230</v>
      </c>
      <c r="F220" s="2">
        <v>4278</v>
      </c>
      <c r="G220" s="8">
        <f t="shared" si="3"/>
        <v>5.3763440860215055E-2</v>
      </c>
      <c r="H220" s="8">
        <v>9.5</v>
      </c>
      <c r="I220" s="2">
        <v>73</v>
      </c>
      <c r="J220" t="s">
        <v>29</v>
      </c>
    </row>
    <row r="221" spans="1:10" ht="18.75" customHeight="1" x14ac:dyDescent="0.3">
      <c r="A221" t="s">
        <v>214</v>
      </c>
      <c r="B221" s="2">
        <v>11</v>
      </c>
      <c r="C221" s="2">
        <v>8</v>
      </c>
      <c r="D221" s="2">
        <v>350</v>
      </c>
      <c r="E221" s="2">
        <v>180</v>
      </c>
      <c r="F221" s="2">
        <v>3664</v>
      </c>
      <c r="G221" s="8">
        <f t="shared" si="3"/>
        <v>4.9126637554585149E-2</v>
      </c>
      <c r="H221" s="2">
        <v>11</v>
      </c>
      <c r="I221" s="2">
        <v>73</v>
      </c>
      <c r="J221" t="s">
        <v>29</v>
      </c>
    </row>
    <row r="222" spans="1:10" ht="18.75" customHeight="1" x14ac:dyDescent="0.3">
      <c r="A222" t="s">
        <v>215</v>
      </c>
      <c r="B222" s="2">
        <v>13</v>
      </c>
      <c r="C222" s="2">
        <v>8</v>
      </c>
      <c r="D222" s="2">
        <v>360</v>
      </c>
      <c r="E222" s="2">
        <v>175</v>
      </c>
      <c r="F222" s="2">
        <v>3821</v>
      </c>
      <c r="G222" s="8">
        <f t="shared" si="3"/>
        <v>4.5799528919131118E-2</v>
      </c>
      <c r="H222" s="2">
        <v>11</v>
      </c>
      <c r="I222" s="2">
        <v>73</v>
      </c>
      <c r="J222" t="s">
        <v>29</v>
      </c>
    </row>
    <row r="223" spans="1:10" ht="18.75" customHeight="1" x14ac:dyDescent="0.3">
      <c r="A223" t="s">
        <v>216</v>
      </c>
      <c r="B223" s="2">
        <v>12</v>
      </c>
      <c r="C223" s="2">
        <v>8</v>
      </c>
      <c r="D223" s="2">
        <v>455</v>
      </c>
      <c r="E223" s="2">
        <v>225</v>
      </c>
      <c r="F223" s="2">
        <v>4951</v>
      </c>
      <c r="G223" s="8">
        <f t="shared" si="3"/>
        <v>4.5445364572813576E-2</v>
      </c>
      <c r="H223" s="2">
        <v>11</v>
      </c>
      <c r="I223" s="2">
        <v>73</v>
      </c>
      <c r="J223" t="s">
        <v>29</v>
      </c>
    </row>
    <row r="224" spans="1:10" ht="18.75" customHeight="1" x14ac:dyDescent="0.3">
      <c r="A224" t="s">
        <v>217</v>
      </c>
      <c r="B224" s="2">
        <v>13</v>
      </c>
      <c r="C224" s="2">
        <v>8</v>
      </c>
      <c r="D224" s="2">
        <v>440</v>
      </c>
      <c r="E224" s="2">
        <v>215</v>
      </c>
      <c r="F224" s="2">
        <v>4735</v>
      </c>
      <c r="G224" s="8">
        <f t="shared" si="3"/>
        <v>4.5406546990496302E-2</v>
      </c>
      <c r="H224" s="2">
        <v>11</v>
      </c>
      <c r="I224" s="2">
        <v>73</v>
      </c>
      <c r="J224" t="s">
        <v>29</v>
      </c>
    </row>
    <row r="225" spans="1:10" ht="18.75" customHeight="1" x14ac:dyDescent="0.3">
      <c r="A225" t="s">
        <v>218</v>
      </c>
      <c r="B225" s="2">
        <v>15</v>
      </c>
      <c r="C225" s="2">
        <v>8</v>
      </c>
      <c r="D225" s="2">
        <v>318</v>
      </c>
      <c r="E225" s="2">
        <v>150</v>
      </c>
      <c r="F225" s="2">
        <v>3399</v>
      </c>
      <c r="G225" s="8">
        <f t="shared" si="3"/>
        <v>4.4130626654898503E-2</v>
      </c>
      <c r="H225" s="2">
        <v>11</v>
      </c>
      <c r="I225" s="2">
        <v>73</v>
      </c>
      <c r="J225" t="s">
        <v>29</v>
      </c>
    </row>
    <row r="226" spans="1:10" ht="18.75" customHeight="1" x14ac:dyDescent="0.3">
      <c r="A226" t="s">
        <v>219</v>
      </c>
      <c r="B226" s="2">
        <v>13</v>
      </c>
      <c r="C226" s="2">
        <v>8</v>
      </c>
      <c r="D226" s="2">
        <v>350</v>
      </c>
      <c r="E226" s="2">
        <v>175</v>
      </c>
      <c r="F226" s="2">
        <v>4100</v>
      </c>
      <c r="G226" s="8">
        <f t="shared" si="3"/>
        <v>4.2682926829268296E-2</v>
      </c>
      <c r="H226" s="2">
        <v>13</v>
      </c>
      <c r="I226" s="2">
        <v>73</v>
      </c>
      <c r="J226" t="s">
        <v>29</v>
      </c>
    </row>
    <row r="227" spans="1:10" ht="18.75" customHeight="1" x14ac:dyDescent="0.3">
      <c r="A227" t="s">
        <v>189</v>
      </c>
      <c r="B227" s="2">
        <v>14</v>
      </c>
      <c r="C227" s="2">
        <v>8</v>
      </c>
      <c r="D227" s="2">
        <v>304</v>
      </c>
      <c r="E227" s="2">
        <v>150</v>
      </c>
      <c r="F227" s="2">
        <v>3672</v>
      </c>
      <c r="G227" s="8">
        <f t="shared" si="3"/>
        <v>4.084967320261438E-2</v>
      </c>
      <c r="H227" s="8">
        <v>11.5</v>
      </c>
      <c r="I227" s="2">
        <v>73</v>
      </c>
      <c r="J227" t="s">
        <v>29</v>
      </c>
    </row>
    <row r="228" spans="1:10" ht="18.75" customHeight="1" x14ac:dyDescent="0.3">
      <c r="A228" t="s">
        <v>220</v>
      </c>
      <c r="B228" s="2">
        <v>12</v>
      </c>
      <c r="C228" s="2">
        <v>8</v>
      </c>
      <c r="D228" s="2">
        <v>429</v>
      </c>
      <c r="E228" s="2">
        <v>198</v>
      </c>
      <c r="F228" s="2">
        <v>4952</v>
      </c>
      <c r="G228" s="8">
        <f t="shared" si="3"/>
        <v>3.998384491114701E-2</v>
      </c>
      <c r="H228" s="8">
        <v>11.5</v>
      </c>
      <c r="I228" s="2">
        <v>73</v>
      </c>
      <c r="J228" t="s">
        <v>29</v>
      </c>
    </row>
    <row r="229" spans="1:10" ht="18.75" customHeight="1" x14ac:dyDescent="0.3">
      <c r="A229" t="s">
        <v>221</v>
      </c>
      <c r="B229" s="2">
        <v>12</v>
      </c>
      <c r="C229" s="2">
        <v>8</v>
      </c>
      <c r="D229" s="2">
        <v>350</v>
      </c>
      <c r="E229" s="2">
        <v>180</v>
      </c>
      <c r="F229" s="2">
        <v>4499</v>
      </c>
      <c r="G229" s="8">
        <f t="shared" si="3"/>
        <v>4.0008890864636583E-2</v>
      </c>
      <c r="H229" s="8">
        <v>12.5</v>
      </c>
      <c r="I229" s="2">
        <v>73</v>
      </c>
      <c r="J229" t="s">
        <v>29</v>
      </c>
    </row>
    <row r="230" spans="1:10" ht="18.75" customHeight="1" x14ac:dyDescent="0.3">
      <c r="A230" t="s">
        <v>222</v>
      </c>
      <c r="B230" s="2">
        <v>15</v>
      </c>
      <c r="C230" s="2">
        <v>8</v>
      </c>
      <c r="D230" s="2">
        <v>318</v>
      </c>
      <c r="E230" s="2">
        <v>150</v>
      </c>
      <c r="F230" s="2">
        <v>3777</v>
      </c>
      <c r="G230" s="8">
        <f t="shared" si="3"/>
        <v>3.971405877680699E-2</v>
      </c>
      <c r="H230" s="8">
        <v>12.5</v>
      </c>
      <c r="I230" s="2">
        <v>73</v>
      </c>
      <c r="J230" t="s">
        <v>29</v>
      </c>
    </row>
    <row r="231" spans="1:10" ht="18.75" customHeight="1" x14ac:dyDescent="0.3">
      <c r="A231" t="s">
        <v>223</v>
      </c>
      <c r="B231" s="2">
        <v>13</v>
      </c>
      <c r="C231" s="2">
        <v>8</v>
      </c>
      <c r="D231" s="2">
        <v>360</v>
      </c>
      <c r="E231" s="2">
        <v>170</v>
      </c>
      <c r="F231" s="2">
        <v>4654</v>
      </c>
      <c r="G231" s="8">
        <f t="shared" si="3"/>
        <v>3.6527718091963902E-2</v>
      </c>
      <c r="H231" s="2">
        <v>13</v>
      </c>
      <c r="I231" s="2">
        <v>73</v>
      </c>
      <c r="J231" t="s">
        <v>29</v>
      </c>
    </row>
    <row r="232" spans="1:10" ht="18.75" customHeight="1" x14ac:dyDescent="0.3">
      <c r="A232" t="s">
        <v>224</v>
      </c>
      <c r="B232" s="2">
        <v>13</v>
      </c>
      <c r="C232" s="2">
        <v>8</v>
      </c>
      <c r="D232" s="2">
        <v>350</v>
      </c>
      <c r="E232" s="2">
        <v>145</v>
      </c>
      <c r="F232" s="2">
        <v>3988</v>
      </c>
      <c r="G232" s="8">
        <f t="shared" si="3"/>
        <v>3.6359077231695083E-2</v>
      </c>
      <c r="H232" s="2">
        <v>13</v>
      </c>
      <c r="I232" s="2">
        <v>73</v>
      </c>
      <c r="J232" t="s">
        <v>29</v>
      </c>
    </row>
    <row r="233" spans="1:10" ht="18.75" customHeight="1" x14ac:dyDescent="0.3">
      <c r="A233" t="s">
        <v>225</v>
      </c>
      <c r="B233" s="2">
        <v>13</v>
      </c>
      <c r="C233" s="2">
        <v>8</v>
      </c>
      <c r="D233" s="2">
        <v>351</v>
      </c>
      <c r="E233" s="2">
        <v>158</v>
      </c>
      <c r="F233" s="2">
        <v>4363</v>
      </c>
      <c r="G233" s="8">
        <f t="shared" si="3"/>
        <v>3.6213614485445793E-2</v>
      </c>
      <c r="H233" s="2">
        <v>13</v>
      </c>
      <c r="I233" s="2">
        <v>73</v>
      </c>
      <c r="J233" t="s">
        <v>29</v>
      </c>
    </row>
    <row r="234" spans="1:10" ht="18.75" customHeight="1" x14ac:dyDescent="0.3">
      <c r="A234" t="s">
        <v>226</v>
      </c>
      <c r="B234" s="2">
        <v>15</v>
      </c>
      <c r="C234" s="2">
        <v>8</v>
      </c>
      <c r="D234" s="2">
        <v>350</v>
      </c>
      <c r="E234" s="2">
        <v>145</v>
      </c>
      <c r="F234" s="2">
        <v>4082</v>
      </c>
      <c r="G234" s="8">
        <f t="shared" si="3"/>
        <v>3.5521803037726604E-2</v>
      </c>
      <c r="H234" s="2">
        <v>13</v>
      </c>
      <c r="I234" s="2">
        <v>73</v>
      </c>
      <c r="J234" t="s">
        <v>29</v>
      </c>
    </row>
    <row r="235" spans="1:10" ht="18.75" customHeight="1" x14ac:dyDescent="0.3">
      <c r="A235" t="s">
        <v>227</v>
      </c>
      <c r="B235" s="2">
        <v>14</v>
      </c>
      <c r="C235" s="2">
        <v>8</v>
      </c>
      <c r="D235" s="2">
        <v>318</v>
      </c>
      <c r="E235" s="2">
        <v>150</v>
      </c>
      <c r="F235" s="2">
        <v>4237</v>
      </c>
      <c r="G235" s="8">
        <f t="shared" si="3"/>
        <v>3.5402407363700733E-2</v>
      </c>
      <c r="H235" s="8">
        <v>14.5</v>
      </c>
      <c r="I235" s="2">
        <v>73</v>
      </c>
      <c r="J235" t="s">
        <v>29</v>
      </c>
    </row>
    <row r="236" spans="1:10" ht="18.75" customHeight="1" x14ac:dyDescent="0.3">
      <c r="A236" t="s">
        <v>228</v>
      </c>
      <c r="B236" s="2">
        <v>12</v>
      </c>
      <c r="C236" s="2">
        <v>8</v>
      </c>
      <c r="D236" s="2">
        <v>400</v>
      </c>
      <c r="E236" s="2">
        <v>167</v>
      </c>
      <c r="F236" s="2">
        <v>4906</v>
      </c>
      <c r="G236" s="8">
        <f t="shared" si="3"/>
        <v>3.4039951080309827E-2</v>
      </c>
      <c r="H236" s="8">
        <v>12.5</v>
      </c>
      <c r="I236" s="2">
        <v>73</v>
      </c>
      <c r="J236" t="s">
        <v>29</v>
      </c>
    </row>
    <row r="237" spans="1:10" ht="18.75" customHeight="1" x14ac:dyDescent="0.3">
      <c r="A237" t="s">
        <v>229</v>
      </c>
      <c r="B237" s="2">
        <v>14</v>
      </c>
      <c r="C237" s="2">
        <v>8</v>
      </c>
      <c r="D237" s="2">
        <v>302</v>
      </c>
      <c r="E237" s="2">
        <v>137</v>
      </c>
      <c r="F237" s="2">
        <v>4042</v>
      </c>
      <c r="G237" s="8">
        <f t="shared" si="3"/>
        <v>3.3894111825828799E-2</v>
      </c>
      <c r="H237" s="8">
        <v>14.5</v>
      </c>
      <c r="I237" s="2">
        <v>73</v>
      </c>
      <c r="J237" t="s">
        <v>29</v>
      </c>
    </row>
    <row r="238" spans="1:10" ht="18.75" customHeight="1" x14ac:dyDescent="0.3">
      <c r="A238" t="s">
        <v>230</v>
      </c>
      <c r="B238" s="2">
        <v>13</v>
      </c>
      <c r="C238" s="2">
        <v>8</v>
      </c>
      <c r="D238" s="2">
        <v>400</v>
      </c>
      <c r="E238" s="2">
        <v>150</v>
      </c>
      <c r="F238" s="2">
        <v>4464</v>
      </c>
      <c r="G238" s="8">
        <f t="shared" si="3"/>
        <v>3.3602150537634407E-2</v>
      </c>
      <c r="H238" s="2">
        <v>12</v>
      </c>
      <c r="I238" s="2">
        <v>73</v>
      </c>
      <c r="J238" t="s">
        <v>29</v>
      </c>
    </row>
    <row r="239" spans="1:10" ht="18.75" customHeight="1" x14ac:dyDescent="0.3">
      <c r="A239" t="s">
        <v>165</v>
      </c>
      <c r="B239" s="2">
        <v>11</v>
      </c>
      <c r="C239" s="2">
        <v>8</v>
      </c>
      <c r="D239" s="2">
        <v>400</v>
      </c>
      <c r="E239" s="2">
        <v>150</v>
      </c>
      <c r="F239" s="2">
        <v>4997</v>
      </c>
      <c r="G239" s="8">
        <f t="shared" si="3"/>
        <v>3.0018010806483891E-2</v>
      </c>
      <c r="H239" s="2">
        <v>14</v>
      </c>
      <c r="I239" s="2">
        <v>73</v>
      </c>
      <c r="J239" t="s">
        <v>29</v>
      </c>
    </row>
    <row r="240" spans="1:10" ht="18.75" customHeight="1" x14ac:dyDescent="0.3">
      <c r="A240" t="s">
        <v>231</v>
      </c>
      <c r="B240" s="2">
        <v>28</v>
      </c>
      <c r="C240" s="2">
        <v>4</v>
      </c>
      <c r="D240" s="2">
        <v>90</v>
      </c>
      <c r="E240" s="2">
        <v>75</v>
      </c>
      <c r="F240" s="2">
        <v>2125</v>
      </c>
      <c r="G240" s="8">
        <f t="shared" si="3"/>
        <v>3.5294117647058823E-2</v>
      </c>
      <c r="H240" s="8">
        <v>14.5</v>
      </c>
      <c r="I240" s="2">
        <v>74</v>
      </c>
      <c r="J240" t="s">
        <v>29</v>
      </c>
    </row>
    <row r="241" spans="1:10" ht="18.75" customHeight="1" x14ac:dyDescent="0.3">
      <c r="A241" t="s">
        <v>185</v>
      </c>
      <c r="B241" s="2">
        <v>26</v>
      </c>
      <c r="C241" s="2">
        <v>4</v>
      </c>
      <c r="D241" s="2">
        <v>122</v>
      </c>
      <c r="E241" s="2">
        <v>80</v>
      </c>
      <c r="F241" s="2">
        <v>2451</v>
      </c>
      <c r="G241" s="8">
        <f t="shared" si="3"/>
        <v>3.2639738882088945E-2</v>
      </c>
      <c r="H241" s="8">
        <v>16.5</v>
      </c>
      <c r="I241" s="2">
        <v>74</v>
      </c>
      <c r="J241" t="s">
        <v>29</v>
      </c>
    </row>
    <row r="242" spans="1:10" ht="18.75" customHeight="1" x14ac:dyDescent="0.3">
      <c r="A242" t="s">
        <v>198</v>
      </c>
      <c r="B242" s="2">
        <v>25</v>
      </c>
      <c r="C242" s="2">
        <v>4</v>
      </c>
      <c r="D242" s="2">
        <v>140</v>
      </c>
      <c r="E242" s="2">
        <v>75</v>
      </c>
      <c r="F242" s="2">
        <v>2542</v>
      </c>
      <c r="G242" s="8">
        <f t="shared" si="3"/>
        <v>2.9504327301337528E-2</v>
      </c>
      <c r="H242" s="2">
        <v>17</v>
      </c>
      <c r="I242" s="2">
        <v>74</v>
      </c>
      <c r="J242" t="s">
        <v>29</v>
      </c>
    </row>
    <row r="243" spans="1:10" ht="18.75" customHeight="1" x14ac:dyDescent="0.3">
      <c r="A243" t="s">
        <v>159</v>
      </c>
      <c r="B243" s="2">
        <v>19</v>
      </c>
      <c r="C243" s="2">
        <v>6</v>
      </c>
      <c r="D243" s="2">
        <v>232</v>
      </c>
      <c r="E243" s="2">
        <v>100</v>
      </c>
      <c r="F243" s="2">
        <v>2901</v>
      </c>
      <c r="G243" s="8">
        <f t="shared" si="3"/>
        <v>3.447087211306446E-2</v>
      </c>
      <c r="H243" s="2">
        <v>16</v>
      </c>
      <c r="I243" s="2">
        <v>74</v>
      </c>
      <c r="J243" t="s">
        <v>29</v>
      </c>
    </row>
    <row r="244" spans="1:10" ht="18.75" customHeight="1" x14ac:dyDescent="0.3">
      <c r="A244" t="s">
        <v>161</v>
      </c>
      <c r="B244" s="2">
        <v>20</v>
      </c>
      <c r="C244" s="2">
        <v>6</v>
      </c>
      <c r="D244" s="2">
        <v>198</v>
      </c>
      <c r="E244" s="2">
        <v>95</v>
      </c>
      <c r="F244" s="2">
        <v>3102</v>
      </c>
      <c r="G244" s="8">
        <f t="shared" si="3"/>
        <v>3.0625402965828497E-2</v>
      </c>
      <c r="H244" s="8">
        <v>16.5</v>
      </c>
      <c r="I244" s="2">
        <v>74</v>
      </c>
      <c r="J244" t="s">
        <v>29</v>
      </c>
    </row>
    <row r="245" spans="1:10" ht="18.75" customHeight="1" x14ac:dyDescent="0.3">
      <c r="A245" t="s">
        <v>189</v>
      </c>
      <c r="B245" s="2">
        <v>16</v>
      </c>
      <c r="C245" s="2">
        <v>6</v>
      </c>
      <c r="D245" s="2">
        <v>258</v>
      </c>
      <c r="E245" s="2">
        <v>110</v>
      </c>
      <c r="F245" s="2">
        <v>3632</v>
      </c>
      <c r="G245" s="8">
        <f t="shared" si="3"/>
        <v>3.0286343612334801E-2</v>
      </c>
      <c r="H245" s="2">
        <v>18</v>
      </c>
      <c r="I245" s="2">
        <v>74</v>
      </c>
      <c r="J245" t="s">
        <v>29</v>
      </c>
    </row>
    <row r="246" spans="1:10" ht="18.75" customHeight="1" x14ac:dyDescent="0.3">
      <c r="A246" t="s">
        <v>232</v>
      </c>
      <c r="B246" s="2">
        <v>15</v>
      </c>
      <c r="C246" s="2">
        <v>6</v>
      </c>
      <c r="D246" s="2">
        <v>250</v>
      </c>
      <c r="E246" s="2">
        <v>100</v>
      </c>
      <c r="F246" s="2">
        <v>3336</v>
      </c>
      <c r="G246" s="8">
        <f t="shared" si="3"/>
        <v>2.9976019184652279E-2</v>
      </c>
      <c r="H246" s="2">
        <v>17</v>
      </c>
      <c r="I246" s="2">
        <v>74</v>
      </c>
      <c r="J246" t="s">
        <v>29</v>
      </c>
    </row>
    <row r="247" spans="1:10" ht="18.75" customHeight="1" x14ac:dyDescent="0.3">
      <c r="A247" t="s">
        <v>233</v>
      </c>
      <c r="B247" s="2">
        <v>18</v>
      </c>
      <c r="C247" s="2">
        <v>6</v>
      </c>
      <c r="D247" s="2">
        <v>225</v>
      </c>
      <c r="E247" s="2">
        <v>105</v>
      </c>
      <c r="F247" s="2">
        <v>3613</v>
      </c>
      <c r="G247" s="8">
        <f t="shared" si="3"/>
        <v>2.9061721561029614E-2</v>
      </c>
      <c r="H247" s="8">
        <v>16.5</v>
      </c>
      <c r="I247" s="2">
        <v>74</v>
      </c>
      <c r="J247" t="s">
        <v>29</v>
      </c>
    </row>
    <row r="248" spans="1:10" ht="18.75" customHeight="1" x14ac:dyDescent="0.3">
      <c r="A248" t="s">
        <v>234</v>
      </c>
      <c r="B248" s="2">
        <v>16</v>
      </c>
      <c r="C248" s="2">
        <v>6</v>
      </c>
      <c r="D248" s="2">
        <v>250</v>
      </c>
      <c r="E248" s="2">
        <v>100</v>
      </c>
      <c r="F248" s="2">
        <v>3781</v>
      </c>
      <c r="G248" s="8">
        <f t="shared" si="3"/>
        <v>2.6448029621793177E-2</v>
      </c>
      <c r="H248" s="2">
        <v>17</v>
      </c>
      <c r="I248" s="2">
        <v>74</v>
      </c>
      <c r="J248" t="s">
        <v>29</v>
      </c>
    </row>
    <row r="249" spans="1:10" ht="18.75" customHeight="1" x14ac:dyDescent="0.3">
      <c r="A249" t="s">
        <v>162</v>
      </c>
      <c r="B249" s="2">
        <v>21</v>
      </c>
      <c r="C249" s="2">
        <v>6</v>
      </c>
      <c r="D249" s="2">
        <v>200</v>
      </c>
      <c r="F249" s="2">
        <v>2875</v>
      </c>
      <c r="G249" s="2">
        <f t="shared" si="3"/>
        <v>0</v>
      </c>
      <c r="H249" s="2">
        <v>17</v>
      </c>
      <c r="I249" s="2">
        <v>74</v>
      </c>
      <c r="J249" t="s">
        <v>29</v>
      </c>
    </row>
    <row r="250" spans="1:10" ht="18.75" customHeight="1" x14ac:dyDescent="0.3">
      <c r="A250" t="s">
        <v>204</v>
      </c>
      <c r="B250" s="2">
        <v>14</v>
      </c>
      <c r="C250" s="2">
        <v>8</v>
      </c>
      <c r="D250" s="2">
        <v>304</v>
      </c>
      <c r="E250" s="2">
        <v>150</v>
      </c>
      <c r="F250" s="2">
        <v>4257</v>
      </c>
      <c r="G250" s="8">
        <f t="shared" si="3"/>
        <v>3.5236081747709654E-2</v>
      </c>
      <c r="H250" s="8">
        <v>15.5</v>
      </c>
      <c r="I250" s="2">
        <v>74</v>
      </c>
      <c r="J250" t="s">
        <v>29</v>
      </c>
    </row>
    <row r="251" spans="1:10" ht="18.75" customHeight="1" x14ac:dyDescent="0.3">
      <c r="A251" t="s">
        <v>229</v>
      </c>
      <c r="B251" s="2">
        <v>16</v>
      </c>
      <c r="C251" s="2">
        <v>8</v>
      </c>
      <c r="D251" s="2">
        <v>302</v>
      </c>
      <c r="E251" s="2">
        <v>140</v>
      </c>
      <c r="F251" s="2">
        <v>4141</v>
      </c>
      <c r="G251" s="8">
        <f t="shared" si="3"/>
        <v>3.3808258874667957E-2</v>
      </c>
      <c r="H251" s="2">
        <v>14</v>
      </c>
      <c r="I251" s="2">
        <v>74</v>
      </c>
      <c r="J251" t="s">
        <v>29</v>
      </c>
    </row>
    <row r="252" spans="1:10" ht="18.75" customHeight="1" x14ac:dyDescent="0.3">
      <c r="A252" t="s">
        <v>235</v>
      </c>
      <c r="B252" s="2">
        <v>14</v>
      </c>
      <c r="C252" s="2">
        <v>8</v>
      </c>
      <c r="D252" s="2">
        <v>318</v>
      </c>
      <c r="E252" s="2">
        <v>150</v>
      </c>
      <c r="F252" s="2">
        <v>4457</v>
      </c>
      <c r="G252" s="8">
        <f t="shared" si="3"/>
        <v>3.3654924837334531E-2</v>
      </c>
      <c r="H252" s="8">
        <v>13.5</v>
      </c>
      <c r="I252" s="2">
        <v>74</v>
      </c>
      <c r="J252" t="s">
        <v>29</v>
      </c>
    </row>
    <row r="253" spans="1:10" ht="18.75" customHeight="1" x14ac:dyDescent="0.3">
      <c r="A253" t="s">
        <v>236</v>
      </c>
      <c r="B253" s="2">
        <v>13</v>
      </c>
      <c r="C253" s="2">
        <v>8</v>
      </c>
      <c r="D253" s="2">
        <v>350</v>
      </c>
      <c r="E253" s="2">
        <v>150</v>
      </c>
      <c r="F253" s="2">
        <v>4699</v>
      </c>
      <c r="G253" s="8">
        <f t="shared" si="3"/>
        <v>3.192168546499255E-2</v>
      </c>
      <c r="H253" s="8">
        <v>14.5</v>
      </c>
      <c r="I253" s="2">
        <v>74</v>
      </c>
      <c r="J253" t="s">
        <v>29</v>
      </c>
    </row>
    <row r="254" spans="1:10" ht="18.75" customHeight="1" x14ac:dyDescent="0.3">
      <c r="A254" t="s">
        <v>208</v>
      </c>
      <c r="B254" s="2">
        <v>14</v>
      </c>
      <c r="C254" s="2">
        <v>8</v>
      </c>
      <c r="D254" s="2">
        <v>302</v>
      </c>
      <c r="E254" s="2">
        <v>140</v>
      </c>
      <c r="F254" s="2">
        <v>4638</v>
      </c>
      <c r="G254" s="8">
        <f t="shared" si="3"/>
        <v>3.0185424752048298E-2</v>
      </c>
      <c r="H254" s="2">
        <v>16</v>
      </c>
      <c r="I254" s="2">
        <v>74</v>
      </c>
      <c r="J254" t="s">
        <v>29</v>
      </c>
    </row>
    <row r="255" spans="1:10" ht="18.75" customHeight="1" x14ac:dyDescent="0.3">
      <c r="A255" t="s">
        <v>185</v>
      </c>
      <c r="B255" s="2">
        <v>23</v>
      </c>
      <c r="C255" s="2">
        <v>4</v>
      </c>
      <c r="D255" s="2">
        <v>140</v>
      </c>
      <c r="E255" s="2">
        <v>83</v>
      </c>
      <c r="F255" s="2">
        <v>2639</v>
      </c>
      <c r="G255" s="8">
        <f t="shared" si="3"/>
        <v>3.1451307313376281E-2</v>
      </c>
      <c r="H255" s="2">
        <v>17</v>
      </c>
      <c r="I255" s="2">
        <v>75</v>
      </c>
      <c r="J255" t="s">
        <v>29</v>
      </c>
    </row>
    <row r="256" spans="1:10" ht="18.75" customHeight="1" x14ac:dyDescent="0.3">
      <c r="A256" t="s">
        <v>237</v>
      </c>
      <c r="B256" s="2">
        <v>23</v>
      </c>
      <c r="C256" s="2">
        <v>4</v>
      </c>
      <c r="D256" s="2">
        <v>140</v>
      </c>
      <c r="E256" s="2">
        <v>78</v>
      </c>
      <c r="F256" s="2">
        <v>2592</v>
      </c>
      <c r="G256" s="8">
        <f t="shared" si="3"/>
        <v>3.0092592592592591E-2</v>
      </c>
      <c r="H256" s="8">
        <v>18.5</v>
      </c>
      <c r="I256" s="2">
        <v>75</v>
      </c>
      <c r="J256" t="s">
        <v>29</v>
      </c>
    </row>
    <row r="257" spans="1:10" ht="18.75" customHeight="1" x14ac:dyDescent="0.3">
      <c r="A257" t="s">
        <v>238</v>
      </c>
      <c r="B257" s="2">
        <v>21</v>
      </c>
      <c r="C257" s="2">
        <v>6</v>
      </c>
      <c r="D257" s="2">
        <v>231</v>
      </c>
      <c r="E257" s="2">
        <v>110</v>
      </c>
      <c r="F257" s="2">
        <v>3039</v>
      </c>
      <c r="G257" s="8">
        <f t="shared" si="3"/>
        <v>3.61961171437973E-2</v>
      </c>
      <c r="H257" s="2">
        <v>15</v>
      </c>
      <c r="I257" s="2">
        <v>75</v>
      </c>
      <c r="J257" t="s">
        <v>29</v>
      </c>
    </row>
    <row r="258" spans="1:10" ht="18.75" customHeight="1" x14ac:dyDescent="0.3">
      <c r="A258" t="s">
        <v>160</v>
      </c>
      <c r="B258" s="2">
        <v>20</v>
      </c>
      <c r="C258" s="2">
        <v>6</v>
      </c>
      <c r="D258" s="2">
        <v>232</v>
      </c>
      <c r="E258" s="2">
        <v>100</v>
      </c>
      <c r="F258" s="2">
        <v>2914</v>
      </c>
      <c r="G258" s="8">
        <f t="shared" ref="G258:G321" si="4">IFERROR(E258/F258, "")</f>
        <v>3.4317089910775568E-2</v>
      </c>
      <c r="H258" s="2">
        <v>16</v>
      </c>
      <c r="I258" s="2">
        <v>75</v>
      </c>
      <c r="J258" t="s">
        <v>29</v>
      </c>
    </row>
    <row r="259" spans="1:10" ht="18.75" customHeight="1" x14ac:dyDescent="0.3">
      <c r="A259" t="s">
        <v>185</v>
      </c>
      <c r="B259" s="2">
        <v>18</v>
      </c>
      <c r="C259" s="2">
        <v>6</v>
      </c>
      <c r="D259" s="2">
        <v>171</v>
      </c>
      <c r="E259" s="2">
        <v>97</v>
      </c>
      <c r="F259" s="2">
        <v>2984</v>
      </c>
      <c r="G259" s="8">
        <f t="shared" si="4"/>
        <v>3.2506702412868634E-2</v>
      </c>
      <c r="H259" s="8">
        <v>14.5</v>
      </c>
      <c r="I259" s="2">
        <v>75</v>
      </c>
      <c r="J259" t="s">
        <v>29</v>
      </c>
    </row>
    <row r="260" spans="1:10" ht="18.75" customHeight="1" x14ac:dyDescent="0.3">
      <c r="A260" t="s">
        <v>232</v>
      </c>
      <c r="B260" s="2">
        <v>18</v>
      </c>
      <c r="C260" s="2">
        <v>6</v>
      </c>
      <c r="D260" s="2">
        <v>250</v>
      </c>
      <c r="E260" s="2">
        <v>105</v>
      </c>
      <c r="F260" s="2">
        <v>3459</v>
      </c>
      <c r="G260" s="8">
        <f t="shared" si="4"/>
        <v>3.0355594102341718E-2</v>
      </c>
      <c r="H260" s="2">
        <v>16</v>
      </c>
      <c r="I260" s="2">
        <v>75</v>
      </c>
      <c r="J260" t="s">
        <v>29</v>
      </c>
    </row>
    <row r="261" spans="1:10" ht="18.75" customHeight="1" x14ac:dyDescent="0.3">
      <c r="A261" t="s">
        <v>189</v>
      </c>
      <c r="B261" s="2">
        <v>15</v>
      </c>
      <c r="C261" s="2">
        <v>6</v>
      </c>
      <c r="D261" s="2">
        <v>258</v>
      </c>
      <c r="E261" s="2">
        <v>110</v>
      </c>
      <c r="F261" s="2">
        <v>3730</v>
      </c>
      <c r="G261" s="8">
        <f t="shared" si="4"/>
        <v>2.9490616621983913E-2</v>
      </c>
      <c r="H261" s="2">
        <v>19</v>
      </c>
      <c r="I261" s="2">
        <v>75</v>
      </c>
      <c r="J261" t="s">
        <v>29</v>
      </c>
    </row>
    <row r="262" spans="1:10" ht="18.75" customHeight="1" x14ac:dyDescent="0.3">
      <c r="A262" t="s">
        <v>239</v>
      </c>
      <c r="B262" s="2">
        <v>19</v>
      </c>
      <c r="C262" s="2">
        <v>6</v>
      </c>
      <c r="D262" s="2">
        <v>225</v>
      </c>
      <c r="E262" s="2">
        <v>95</v>
      </c>
      <c r="F262" s="2">
        <v>3264</v>
      </c>
      <c r="G262" s="8">
        <f t="shared" si="4"/>
        <v>2.9105392156862746E-2</v>
      </c>
      <c r="H262" s="2">
        <v>16</v>
      </c>
      <c r="I262" s="2">
        <v>75</v>
      </c>
      <c r="J262" t="s">
        <v>29</v>
      </c>
    </row>
    <row r="263" spans="1:10" ht="18.75" customHeight="1" x14ac:dyDescent="0.3">
      <c r="A263" t="s">
        <v>240</v>
      </c>
      <c r="B263" s="2">
        <v>17</v>
      </c>
      <c r="C263" s="2">
        <v>6</v>
      </c>
      <c r="D263" s="2">
        <v>231</v>
      </c>
      <c r="E263" s="2">
        <v>110</v>
      </c>
      <c r="F263" s="2">
        <v>3907</v>
      </c>
      <c r="G263" s="8">
        <f t="shared" si="4"/>
        <v>2.8154594317890965E-2</v>
      </c>
      <c r="H263" s="2">
        <v>21</v>
      </c>
      <c r="I263" s="2">
        <v>75</v>
      </c>
      <c r="J263" t="s">
        <v>29</v>
      </c>
    </row>
    <row r="264" spans="1:10" ht="18.75" customHeight="1" x14ac:dyDescent="0.3">
      <c r="A264" t="s">
        <v>241</v>
      </c>
      <c r="B264" s="2">
        <v>19</v>
      </c>
      <c r="C264" s="2">
        <v>6</v>
      </c>
      <c r="D264" s="2">
        <v>232</v>
      </c>
      <c r="E264" s="2">
        <v>90</v>
      </c>
      <c r="F264" s="2">
        <v>3211</v>
      </c>
      <c r="G264" s="8">
        <f t="shared" si="4"/>
        <v>2.8028651510432889E-2</v>
      </c>
      <c r="H264" s="2">
        <v>17</v>
      </c>
      <c r="I264" s="2">
        <v>75</v>
      </c>
      <c r="J264" t="s">
        <v>29</v>
      </c>
    </row>
    <row r="265" spans="1:10" ht="18.75" customHeight="1" x14ac:dyDescent="0.3">
      <c r="A265" t="s">
        <v>242</v>
      </c>
      <c r="B265" s="2">
        <v>16</v>
      </c>
      <c r="C265" s="2">
        <v>6</v>
      </c>
      <c r="D265" s="2">
        <v>250</v>
      </c>
      <c r="E265" s="2">
        <v>105</v>
      </c>
      <c r="F265" s="2">
        <v>3897</v>
      </c>
      <c r="G265" s="8">
        <f t="shared" si="4"/>
        <v>2.6943802925327175E-2</v>
      </c>
      <c r="H265" s="8">
        <v>18.5</v>
      </c>
      <c r="I265" s="2">
        <v>75</v>
      </c>
      <c r="J265" t="s">
        <v>29</v>
      </c>
    </row>
    <row r="266" spans="1:10" ht="18.75" customHeight="1" x14ac:dyDescent="0.3">
      <c r="A266" t="s">
        <v>243</v>
      </c>
      <c r="B266" s="2">
        <v>18</v>
      </c>
      <c r="C266" s="2">
        <v>6</v>
      </c>
      <c r="D266" s="2">
        <v>225</v>
      </c>
      <c r="E266" s="2">
        <v>95</v>
      </c>
      <c r="F266" s="2">
        <v>3785</v>
      </c>
      <c r="G266" s="8">
        <f t="shared" si="4"/>
        <v>2.5099075297225892E-2</v>
      </c>
      <c r="H266" s="2">
        <v>19</v>
      </c>
      <c r="I266" s="2">
        <v>75</v>
      </c>
      <c r="J266" t="s">
        <v>29</v>
      </c>
    </row>
    <row r="267" spans="1:10" ht="18.75" customHeight="1" x14ac:dyDescent="0.3">
      <c r="A267" t="s">
        <v>162</v>
      </c>
      <c r="B267" s="2">
        <v>15</v>
      </c>
      <c r="C267" s="2">
        <v>6</v>
      </c>
      <c r="D267" s="2">
        <v>250</v>
      </c>
      <c r="E267" s="2">
        <v>72</v>
      </c>
      <c r="F267" s="2">
        <v>3158</v>
      </c>
      <c r="G267" s="8">
        <f t="shared" si="4"/>
        <v>2.2799240025332488E-2</v>
      </c>
      <c r="H267" s="8">
        <v>19.5</v>
      </c>
      <c r="I267" s="2">
        <v>75</v>
      </c>
      <c r="J267" t="s">
        <v>29</v>
      </c>
    </row>
    <row r="268" spans="1:10" ht="18.75" customHeight="1" x14ac:dyDescent="0.3">
      <c r="A268" t="s">
        <v>244</v>
      </c>
      <c r="B268" s="2">
        <v>15</v>
      </c>
      <c r="C268" s="2">
        <v>6</v>
      </c>
      <c r="D268" s="2">
        <v>250</v>
      </c>
      <c r="E268" s="2">
        <v>72</v>
      </c>
      <c r="F268" s="2">
        <v>3432</v>
      </c>
      <c r="G268" s="8">
        <f t="shared" si="4"/>
        <v>2.097902097902098E-2</v>
      </c>
      <c r="H268" s="2">
        <v>21</v>
      </c>
      <c r="I268" s="2">
        <v>75</v>
      </c>
      <c r="J268" t="s">
        <v>29</v>
      </c>
    </row>
    <row r="269" spans="1:10" ht="18.75" customHeight="1" x14ac:dyDescent="0.3">
      <c r="A269" t="s">
        <v>245</v>
      </c>
      <c r="B269" s="2">
        <v>13</v>
      </c>
      <c r="C269" s="2">
        <v>8</v>
      </c>
      <c r="D269" s="2">
        <v>302</v>
      </c>
      <c r="E269" s="2">
        <v>129</v>
      </c>
      <c r="F269" s="2">
        <v>3169</v>
      </c>
      <c r="G269" s="8">
        <f t="shared" si="4"/>
        <v>4.0706847585989268E-2</v>
      </c>
      <c r="H269" s="2">
        <v>12</v>
      </c>
      <c r="I269" s="2">
        <v>75</v>
      </c>
      <c r="J269" t="s">
        <v>29</v>
      </c>
    </row>
    <row r="270" spans="1:10" ht="18.75" customHeight="1" x14ac:dyDescent="0.3">
      <c r="A270" t="s">
        <v>164</v>
      </c>
      <c r="B270" s="2">
        <v>16</v>
      </c>
      <c r="C270" s="2">
        <v>8</v>
      </c>
      <c r="D270" s="2">
        <v>400</v>
      </c>
      <c r="E270" s="2">
        <v>170</v>
      </c>
      <c r="F270" s="2">
        <v>4668</v>
      </c>
      <c r="G270" s="8">
        <f t="shared" si="4"/>
        <v>3.6418166238217649E-2</v>
      </c>
      <c r="H270" s="8">
        <v>11.5</v>
      </c>
      <c r="I270" s="2">
        <v>75</v>
      </c>
      <c r="J270" t="s">
        <v>29</v>
      </c>
    </row>
    <row r="271" spans="1:10" ht="18.75" customHeight="1" x14ac:dyDescent="0.3">
      <c r="A271" t="s">
        <v>246</v>
      </c>
      <c r="B271" s="2">
        <v>20</v>
      </c>
      <c r="C271" s="2">
        <v>8</v>
      </c>
      <c r="D271" s="2">
        <v>262</v>
      </c>
      <c r="E271" s="2">
        <v>110</v>
      </c>
      <c r="F271" s="2">
        <v>3221</v>
      </c>
      <c r="G271" s="8">
        <f t="shared" si="4"/>
        <v>3.4150884818379384E-2</v>
      </c>
      <c r="H271" s="8">
        <v>13.5</v>
      </c>
      <c r="I271" s="2">
        <v>75</v>
      </c>
      <c r="J271" t="s">
        <v>29</v>
      </c>
    </row>
    <row r="272" spans="1:10" ht="18.75" customHeight="1" x14ac:dyDescent="0.3">
      <c r="A272" t="s">
        <v>247</v>
      </c>
      <c r="B272" s="2">
        <v>16</v>
      </c>
      <c r="C272" s="2">
        <v>8</v>
      </c>
      <c r="D272" s="2">
        <v>318</v>
      </c>
      <c r="E272" s="2">
        <v>150</v>
      </c>
      <c r="F272" s="2">
        <v>4498</v>
      </c>
      <c r="G272" s="8">
        <f t="shared" si="4"/>
        <v>3.3348154735437972E-2</v>
      </c>
      <c r="H272" s="8">
        <v>14.5</v>
      </c>
      <c r="I272" s="2">
        <v>75</v>
      </c>
      <c r="J272" t="s">
        <v>29</v>
      </c>
    </row>
    <row r="273" spans="1:10" ht="18.75" customHeight="1" x14ac:dyDescent="0.3">
      <c r="A273" t="s">
        <v>248</v>
      </c>
      <c r="B273" s="2">
        <v>15</v>
      </c>
      <c r="C273" s="2">
        <v>8</v>
      </c>
      <c r="D273" s="2">
        <v>350</v>
      </c>
      <c r="E273" s="2">
        <v>145</v>
      </c>
      <c r="F273" s="2">
        <v>4440</v>
      </c>
      <c r="G273" s="8">
        <f t="shared" si="4"/>
        <v>3.2657657657657657E-2</v>
      </c>
      <c r="H273" s="2">
        <v>14</v>
      </c>
      <c r="I273" s="2">
        <v>75</v>
      </c>
      <c r="J273" t="s">
        <v>29</v>
      </c>
    </row>
    <row r="274" spans="1:10" ht="18.75" customHeight="1" x14ac:dyDescent="0.3">
      <c r="A274" t="s">
        <v>225</v>
      </c>
      <c r="B274" s="2">
        <v>14</v>
      </c>
      <c r="C274" s="2">
        <v>8</v>
      </c>
      <c r="D274" s="2">
        <v>351</v>
      </c>
      <c r="E274" s="2">
        <v>148</v>
      </c>
      <c r="F274" s="2">
        <v>4657</v>
      </c>
      <c r="G274" s="8">
        <f t="shared" si="4"/>
        <v>3.1780115954477134E-2</v>
      </c>
      <c r="H274" s="8">
        <v>13.5</v>
      </c>
      <c r="I274" s="2">
        <v>75</v>
      </c>
      <c r="J274" t="s">
        <v>29</v>
      </c>
    </row>
    <row r="275" spans="1:10" ht="18.75" customHeight="1" x14ac:dyDescent="0.3">
      <c r="A275" t="s">
        <v>249</v>
      </c>
      <c r="B275" s="2">
        <v>25</v>
      </c>
      <c r="C275" s="2">
        <v>4</v>
      </c>
      <c r="D275" s="2">
        <v>140</v>
      </c>
      <c r="E275" s="2">
        <v>92</v>
      </c>
      <c r="F275" s="2">
        <v>2572</v>
      </c>
      <c r="G275" s="8">
        <f t="shared" si="4"/>
        <v>3.5769828926905133E-2</v>
      </c>
      <c r="H275" s="8">
        <v>14.9</v>
      </c>
      <c r="I275" s="2">
        <v>76</v>
      </c>
      <c r="J275" t="s">
        <v>29</v>
      </c>
    </row>
    <row r="276" spans="1:10" ht="18.75" customHeight="1" x14ac:dyDescent="0.3">
      <c r="A276" t="s">
        <v>231</v>
      </c>
      <c r="B276" s="2">
        <v>26</v>
      </c>
      <c r="C276" s="2">
        <v>4</v>
      </c>
      <c r="D276" s="2">
        <v>98</v>
      </c>
      <c r="E276" s="2">
        <v>79</v>
      </c>
      <c r="F276" s="2">
        <v>2255</v>
      </c>
      <c r="G276" s="8">
        <f t="shared" si="4"/>
        <v>3.5033259423503327E-2</v>
      </c>
      <c r="H276" s="8">
        <v>17.7</v>
      </c>
      <c r="I276" s="2">
        <v>76</v>
      </c>
      <c r="J276" t="s">
        <v>29</v>
      </c>
    </row>
    <row r="277" spans="1:10" ht="18.75" customHeight="1" x14ac:dyDescent="0.3">
      <c r="A277" t="s">
        <v>185</v>
      </c>
      <c r="B277" s="8">
        <v>26.5</v>
      </c>
      <c r="C277" s="2">
        <v>4</v>
      </c>
      <c r="D277" s="2">
        <v>140</v>
      </c>
      <c r="E277" s="2">
        <v>72</v>
      </c>
      <c r="F277" s="2">
        <v>2565</v>
      </c>
      <c r="G277" s="8">
        <f t="shared" si="4"/>
        <v>2.8070175438596492E-2</v>
      </c>
      <c r="H277" s="8">
        <v>13.6</v>
      </c>
      <c r="I277" s="2">
        <v>76</v>
      </c>
      <c r="J277" t="s">
        <v>29</v>
      </c>
    </row>
    <row r="278" spans="1:10" ht="18.75" customHeight="1" x14ac:dyDescent="0.3">
      <c r="A278" t="s">
        <v>250</v>
      </c>
      <c r="B278" s="8">
        <v>24.5</v>
      </c>
      <c r="C278" s="2">
        <v>4</v>
      </c>
      <c r="D278" s="2">
        <v>98</v>
      </c>
      <c r="E278" s="2">
        <v>60</v>
      </c>
      <c r="F278" s="2">
        <v>2164</v>
      </c>
      <c r="G278" s="8">
        <f t="shared" si="4"/>
        <v>2.7726432532347505E-2</v>
      </c>
      <c r="H278" s="8">
        <v>22.1</v>
      </c>
      <c r="I278" s="2">
        <v>76</v>
      </c>
      <c r="J278" t="s">
        <v>29</v>
      </c>
    </row>
    <row r="279" spans="1:10" ht="18.75" customHeight="1" x14ac:dyDescent="0.3">
      <c r="A279" t="s">
        <v>251</v>
      </c>
      <c r="B279" s="2">
        <v>29</v>
      </c>
      <c r="C279" s="2">
        <v>4</v>
      </c>
      <c r="D279" s="2">
        <v>85</v>
      </c>
      <c r="E279" s="2">
        <v>52</v>
      </c>
      <c r="F279" s="2">
        <v>2035</v>
      </c>
      <c r="G279" s="8">
        <f t="shared" si="4"/>
        <v>2.5552825552825554E-2</v>
      </c>
      <c r="H279" s="8">
        <v>22.2</v>
      </c>
      <c r="I279" s="2">
        <v>76</v>
      </c>
      <c r="J279" t="s">
        <v>29</v>
      </c>
    </row>
    <row r="280" spans="1:10" ht="18.75" customHeight="1" x14ac:dyDescent="0.3">
      <c r="A280" t="s">
        <v>232</v>
      </c>
      <c r="B280" s="2">
        <v>22</v>
      </c>
      <c r="C280" s="2">
        <v>6</v>
      </c>
      <c r="D280" s="2">
        <v>250</v>
      </c>
      <c r="E280" s="2">
        <v>105</v>
      </c>
      <c r="F280" s="2">
        <v>3353</v>
      </c>
      <c r="G280" s="8">
        <f t="shared" si="4"/>
        <v>3.1315240083507306E-2</v>
      </c>
      <c r="H280" s="8">
        <v>14.5</v>
      </c>
      <c r="I280" s="2">
        <v>76</v>
      </c>
      <c r="J280" t="s">
        <v>29</v>
      </c>
    </row>
    <row r="281" spans="1:10" ht="18.75" customHeight="1" x14ac:dyDescent="0.3">
      <c r="A281" t="s">
        <v>211</v>
      </c>
      <c r="B281" s="2">
        <v>22</v>
      </c>
      <c r="C281" s="2">
        <v>6</v>
      </c>
      <c r="D281" s="2">
        <v>225</v>
      </c>
      <c r="E281" s="2">
        <v>100</v>
      </c>
      <c r="F281" s="2">
        <v>3233</v>
      </c>
      <c r="G281" s="8">
        <f t="shared" si="4"/>
        <v>3.093102381688834E-2</v>
      </c>
      <c r="H281" s="8">
        <v>15.4</v>
      </c>
      <c r="I281" s="2">
        <v>76</v>
      </c>
      <c r="J281" t="s">
        <v>29</v>
      </c>
    </row>
    <row r="282" spans="1:10" ht="18.75" customHeight="1" x14ac:dyDescent="0.3">
      <c r="A282" t="s">
        <v>252</v>
      </c>
      <c r="B282" s="8">
        <v>18.5</v>
      </c>
      <c r="C282" s="2">
        <v>6</v>
      </c>
      <c r="D282" s="2">
        <v>250</v>
      </c>
      <c r="E282" s="2">
        <v>110</v>
      </c>
      <c r="F282" s="2">
        <v>3645</v>
      </c>
      <c r="G282" s="8">
        <f t="shared" si="4"/>
        <v>3.017832647462277E-2</v>
      </c>
      <c r="H282" s="8">
        <v>16.2</v>
      </c>
      <c r="I282" s="2">
        <v>76</v>
      </c>
      <c r="J282" t="s">
        <v>29</v>
      </c>
    </row>
    <row r="283" spans="1:10" ht="18.75" customHeight="1" x14ac:dyDescent="0.3">
      <c r="A283" t="s">
        <v>253</v>
      </c>
      <c r="B283" s="8">
        <v>17.5</v>
      </c>
      <c r="C283" s="2">
        <v>6</v>
      </c>
      <c r="D283" s="2">
        <v>258</v>
      </c>
      <c r="E283" s="2">
        <v>95</v>
      </c>
      <c r="F283" s="2">
        <v>3193</v>
      </c>
      <c r="G283" s="8">
        <f t="shared" si="4"/>
        <v>2.9752583777012214E-2</v>
      </c>
      <c r="H283" s="8">
        <v>17.8</v>
      </c>
      <c r="I283" s="2">
        <v>76</v>
      </c>
      <c r="J283" t="s">
        <v>29</v>
      </c>
    </row>
    <row r="284" spans="1:10" ht="18.75" customHeight="1" x14ac:dyDescent="0.3">
      <c r="A284" t="s">
        <v>159</v>
      </c>
      <c r="B284" s="8">
        <v>22.5</v>
      </c>
      <c r="C284" s="2">
        <v>6</v>
      </c>
      <c r="D284" s="2">
        <v>232</v>
      </c>
      <c r="E284" s="2">
        <v>90</v>
      </c>
      <c r="F284" s="2">
        <v>3085</v>
      </c>
      <c r="G284" s="8">
        <f t="shared" si="4"/>
        <v>2.9173419773095625E-2</v>
      </c>
      <c r="H284" s="8">
        <v>17.600000000000001</v>
      </c>
      <c r="I284" s="2">
        <v>76</v>
      </c>
      <c r="J284" t="s">
        <v>29</v>
      </c>
    </row>
    <row r="285" spans="1:10" ht="18.75" customHeight="1" x14ac:dyDescent="0.3">
      <c r="A285" t="s">
        <v>254</v>
      </c>
      <c r="B285" s="2">
        <v>20</v>
      </c>
      <c r="C285" s="2">
        <v>6</v>
      </c>
      <c r="D285" s="2">
        <v>225</v>
      </c>
      <c r="E285" s="2">
        <v>100</v>
      </c>
      <c r="F285" s="2">
        <v>3651</v>
      </c>
      <c r="G285" s="8">
        <f t="shared" si="4"/>
        <v>2.7389756231169543E-2</v>
      </c>
      <c r="H285" s="8">
        <v>17.7</v>
      </c>
      <c r="I285" s="2">
        <v>76</v>
      </c>
      <c r="J285" t="s">
        <v>29</v>
      </c>
    </row>
    <row r="286" spans="1:10" ht="18.75" customHeight="1" x14ac:dyDescent="0.3">
      <c r="A286" t="s">
        <v>162</v>
      </c>
      <c r="B286" s="2">
        <v>24</v>
      </c>
      <c r="C286" s="2">
        <v>6</v>
      </c>
      <c r="D286" s="2">
        <v>200</v>
      </c>
      <c r="E286" s="2">
        <v>81</v>
      </c>
      <c r="F286" s="2">
        <v>3012</v>
      </c>
      <c r="G286" s="8">
        <f t="shared" si="4"/>
        <v>2.6892430278884463E-2</v>
      </c>
      <c r="H286" s="8">
        <v>17.600000000000001</v>
      </c>
      <c r="I286" s="2">
        <v>76</v>
      </c>
      <c r="J286" t="s">
        <v>29</v>
      </c>
    </row>
    <row r="287" spans="1:10" ht="18.75" customHeight="1" x14ac:dyDescent="0.3">
      <c r="A287" t="s">
        <v>255</v>
      </c>
      <c r="B287" s="2">
        <v>18</v>
      </c>
      <c r="C287" s="2">
        <v>6</v>
      </c>
      <c r="D287" s="2">
        <v>250</v>
      </c>
      <c r="E287" s="2">
        <v>78</v>
      </c>
      <c r="F287" s="2">
        <v>3574</v>
      </c>
      <c r="G287" s="8">
        <f t="shared" si="4"/>
        <v>2.1824286513710128E-2</v>
      </c>
      <c r="H287" s="2">
        <v>21</v>
      </c>
      <c r="I287" s="2">
        <v>76</v>
      </c>
      <c r="J287" t="s">
        <v>29</v>
      </c>
    </row>
    <row r="288" spans="1:10" ht="18.75" customHeight="1" x14ac:dyDescent="0.3">
      <c r="A288" t="s">
        <v>256</v>
      </c>
      <c r="B288" s="8">
        <v>16.5</v>
      </c>
      <c r="C288" s="2">
        <v>8</v>
      </c>
      <c r="D288" s="2">
        <v>350</v>
      </c>
      <c r="E288" s="2">
        <v>180</v>
      </c>
      <c r="F288" s="2">
        <v>4380</v>
      </c>
      <c r="G288" s="8">
        <f t="shared" si="4"/>
        <v>4.1095890410958902E-2</v>
      </c>
      <c r="H288" s="8">
        <v>12.1</v>
      </c>
      <c r="I288" s="2">
        <v>76</v>
      </c>
      <c r="J288" t="s">
        <v>29</v>
      </c>
    </row>
    <row r="289" spans="1:10" ht="18.75" customHeight="1" x14ac:dyDescent="0.3">
      <c r="A289" t="s">
        <v>257</v>
      </c>
      <c r="B289" s="2">
        <v>13</v>
      </c>
      <c r="C289" s="2">
        <v>8</v>
      </c>
      <c r="D289" s="2">
        <v>318</v>
      </c>
      <c r="E289" s="2">
        <v>150</v>
      </c>
      <c r="F289" s="2">
        <v>3755</v>
      </c>
      <c r="G289" s="8">
        <f t="shared" si="4"/>
        <v>3.9946737683089213E-2</v>
      </c>
      <c r="H289" s="2">
        <v>14</v>
      </c>
      <c r="I289" s="2">
        <v>76</v>
      </c>
      <c r="J289" t="s">
        <v>29</v>
      </c>
    </row>
    <row r="290" spans="1:10" ht="18.75" customHeight="1" x14ac:dyDescent="0.3">
      <c r="A290" t="s">
        <v>258</v>
      </c>
      <c r="B290" s="2">
        <v>13</v>
      </c>
      <c r="C290" s="2">
        <v>8</v>
      </c>
      <c r="D290" s="2">
        <v>318</v>
      </c>
      <c r="E290" s="2">
        <v>150</v>
      </c>
      <c r="F290" s="2">
        <v>3940</v>
      </c>
      <c r="G290" s="8">
        <f t="shared" si="4"/>
        <v>3.8071065989847719E-2</v>
      </c>
      <c r="H290" s="8">
        <v>13.2</v>
      </c>
      <c r="I290" s="2">
        <v>76</v>
      </c>
      <c r="J290" t="s">
        <v>29</v>
      </c>
    </row>
    <row r="291" spans="1:10" ht="18.75" customHeight="1" x14ac:dyDescent="0.3">
      <c r="A291" t="s">
        <v>229</v>
      </c>
      <c r="B291" s="8">
        <v>14.5</v>
      </c>
      <c r="C291" s="2">
        <v>8</v>
      </c>
      <c r="D291" s="2">
        <v>351</v>
      </c>
      <c r="E291" s="2">
        <v>152</v>
      </c>
      <c r="F291" s="2">
        <v>4215</v>
      </c>
      <c r="G291" s="8">
        <f t="shared" si="4"/>
        <v>3.6061684460260972E-2</v>
      </c>
      <c r="H291" s="8">
        <v>12.8</v>
      </c>
      <c r="I291" s="2">
        <v>76</v>
      </c>
      <c r="J291" t="s">
        <v>29</v>
      </c>
    </row>
    <row r="292" spans="1:10" ht="18.75" customHeight="1" x14ac:dyDescent="0.3">
      <c r="A292" t="s">
        <v>259</v>
      </c>
      <c r="B292" s="2">
        <v>13</v>
      </c>
      <c r="C292" s="2">
        <v>8</v>
      </c>
      <c r="D292" s="2">
        <v>350</v>
      </c>
      <c r="E292" s="2">
        <v>145</v>
      </c>
      <c r="F292" s="2">
        <v>4055</v>
      </c>
      <c r="G292" s="8">
        <f t="shared" si="4"/>
        <v>3.5758323057953144E-2</v>
      </c>
      <c r="H292" s="2">
        <v>12</v>
      </c>
      <c r="I292" s="2">
        <v>76</v>
      </c>
      <c r="J292" t="s">
        <v>29</v>
      </c>
    </row>
    <row r="293" spans="1:10" ht="18.75" customHeight="1" x14ac:dyDescent="0.3">
      <c r="A293" t="s">
        <v>260</v>
      </c>
      <c r="B293" s="2">
        <v>16</v>
      </c>
      <c r="C293" s="2">
        <v>8</v>
      </c>
      <c r="D293" s="2">
        <v>318</v>
      </c>
      <c r="E293" s="2">
        <v>150</v>
      </c>
      <c r="F293" s="2">
        <v>4190</v>
      </c>
      <c r="G293" s="8">
        <f t="shared" si="4"/>
        <v>3.5799522673031027E-2</v>
      </c>
      <c r="H293" s="2">
        <v>13</v>
      </c>
      <c r="I293" s="2">
        <v>76</v>
      </c>
      <c r="J293" t="s">
        <v>29</v>
      </c>
    </row>
    <row r="294" spans="1:10" ht="18.75" customHeight="1" x14ac:dyDescent="0.3">
      <c r="A294" t="s">
        <v>261</v>
      </c>
      <c r="B294" s="2">
        <v>13</v>
      </c>
      <c r="C294" s="2">
        <v>8</v>
      </c>
      <c r="D294" s="2">
        <v>302</v>
      </c>
      <c r="E294" s="2">
        <v>130</v>
      </c>
      <c r="F294" s="2">
        <v>3870</v>
      </c>
      <c r="G294" s="8">
        <f t="shared" si="4"/>
        <v>3.3591731266149873E-2</v>
      </c>
      <c r="H294" s="2">
        <v>15</v>
      </c>
      <c r="I294" s="2">
        <v>76</v>
      </c>
      <c r="J294" t="s">
        <v>29</v>
      </c>
    </row>
    <row r="295" spans="1:10" ht="18.75" customHeight="1" x14ac:dyDescent="0.3">
      <c r="A295" t="s">
        <v>234</v>
      </c>
      <c r="B295" s="8">
        <v>17.5</v>
      </c>
      <c r="C295" s="2">
        <v>8</v>
      </c>
      <c r="D295" s="2">
        <v>305</v>
      </c>
      <c r="E295" s="2">
        <v>140</v>
      </c>
      <c r="F295" s="2">
        <v>4215</v>
      </c>
      <c r="G295" s="8">
        <f t="shared" si="4"/>
        <v>3.3214709371292998E-2</v>
      </c>
      <c r="H295" s="2">
        <v>13</v>
      </c>
      <c r="I295" s="2">
        <v>76</v>
      </c>
      <c r="J295" t="s">
        <v>29</v>
      </c>
    </row>
    <row r="296" spans="1:10" ht="18.75" customHeight="1" x14ac:dyDescent="0.3">
      <c r="A296" t="s">
        <v>189</v>
      </c>
      <c r="B296" s="8">
        <v>15.5</v>
      </c>
      <c r="C296" s="2">
        <v>8</v>
      </c>
      <c r="D296" s="2">
        <v>304</v>
      </c>
      <c r="E296" s="2">
        <v>120</v>
      </c>
      <c r="F296" s="2">
        <v>3962</v>
      </c>
      <c r="G296" s="8">
        <f t="shared" si="4"/>
        <v>3.0287733467945482E-2</v>
      </c>
      <c r="H296" s="8">
        <v>13.9</v>
      </c>
      <c r="I296" s="2">
        <v>76</v>
      </c>
      <c r="J296" t="s">
        <v>29</v>
      </c>
    </row>
    <row r="297" spans="1:10" ht="18.75" customHeight="1" x14ac:dyDescent="0.3">
      <c r="A297" t="s">
        <v>262</v>
      </c>
      <c r="B297" s="8">
        <v>25.5</v>
      </c>
      <c r="C297" s="2">
        <v>4</v>
      </c>
      <c r="D297" s="2">
        <v>122</v>
      </c>
      <c r="E297" s="2">
        <v>96</v>
      </c>
      <c r="F297" s="2">
        <v>2300</v>
      </c>
      <c r="G297" s="8">
        <f t="shared" si="4"/>
        <v>4.1739130434782612E-2</v>
      </c>
      <c r="H297" s="8">
        <v>15.5</v>
      </c>
      <c r="I297" s="2">
        <v>77</v>
      </c>
      <c r="J297" t="s">
        <v>29</v>
      </c>
    </row>
    <row r="298" spans="1:10" ht="18.75" customHeight="1" x14ac:dyDescent="0.3">
      <c r="A298" t="s">
        <v>263</v>
      </c>
      <c r="B298" s="8">
        <v>33.5</v>
      </c>
      <c r="C298" s="2">
        <v>4</v>
      </c>
      <c r="D298" s="2">
        <v>98</v>
      </c>
      <c r="E298" s="2">
        <v>83</v>
      </c>
      <c r="F298" s="2">
        <v>2075</v>
      </c>
      <c r="G298" s="8">
        <f t="shared" si="4"/>
        <v>0.04</v>
      </c>
      <c r="H298" s="8">
        <v>15.9</v>
      </c>
      <c r="I298" s="2">
        <v>77</v>
      </c>
      <c r="J298" t="s">
        <v>29</v>
      </c>
    </row>
    <row r="299" spans="1:10" ht="18.75" customHeight="1" x14ac:dyDescent="0.3">
      <c r="A299" t="s">
        <v>264</v>
      </c>
      <c r="B299" s="2">
        <v>30</v>
      </c>
      <c r="C299" s="2">
        <v>4</v>
      </c>
      <c r="D299" s="2">
        <v>111</v>
      </c>
      <c r="E299" s="2">
        <v>80</v>
      </c>
      <c r="F299" s="2">
        <v>2155</v>
      </c>
      <c r="G299" s="8">
        <f t="shared" si="4"/>
        <v>3.7122969837587005E-2</v>
      </c>
      <c r="H299" s="8">
        <v>14.8</v>
      </c>
      <c r="I299" s="2">
        <v>77</v>
      </c>
      <c r="J299" t="s">
        <v>29</v>
      </c>
    </row>
    <row r="300" spans="1:10" ht="18.75" customHeight="1" x14ac:dyDescent="0.3">
      <c r="A300" t="s">
        <v>265</v>
      </c>
      <c r="B300" s="8">
        <v>25.5</v>
      </c>
      <c r="C300" s="2">
        <v>4</v>
      </c>
      <c r="D300" s="2">
        <v>140</v>
      </c>
      <c r="E300" s="2">
        <v>89</v>
      </c>
      <c r="F300" s="2">
        <v>2755</v>
      </c>
      <c r="G300" s="8">
        <f t="shared" si="4"/>
        <v>3.2304900181488204E-2</v>
      </c>
      <c r="H300" s="8">
        <v>15.8</v>
      </c>
      <c r="I300" s="2">
        <v>77</v>
      </c>
      <c r="J300" t="s">
        <v>29</v>
      </c>
    </row>
    <row r="301" spans="1:10" ht="18.75" customHeight="1" x14ac:dyDescent="0.3">
      <c r="A301" t="s">
        <v>266</v>
      </c>
      <c r="B301" s="8">
        <v>24.5</v>
      </c>
      <c r="C301" s="2">
        <v>4</v>
      </c>
      <c r="D301" s="2">
        <v>151</v>
      </c>
      <c r="E301" s="2">
        <v>88</v>
      </c>
      <c r="F301" s="2">
        <v>2740</v>
      </c>
      <c r="G301" s="8">
        <f t="shared" si="4"/>
        <v>3.2116788321167884E-2</v>
      </c>
      <c r="H301" s="2">
        <v>16</v>
      </c>
      <c r="I301" s="2">
        <v>77</v>
      </c>
      <c r="J301" t="s">
        <v>29</v>
      </c>
    </row>
    <row r="302" spans="1:10" ht="18.75" customHeight="1" x14ac:dyDescent="0.3">
      <c r="A302" t="s">
        <v>251</v>
      </c>
      <c r="B302" s="8">
        <v>30.5</v>
      </c>
      <c r="C302" s="2">
        <v>4</v>
      </c>
      <c r="D302" s="2">
        <v>98</v>
      </c>
      <c r="E302" s="2">
        <v>63</v>
      </c>
      <c r="F302" s="2">
        <v>2051</v>
      </c>
      <c r="G302" s="8">
        <f t="shared" si="4"/>
        <v>3.0716723549488054E-2</v>
      </c>
      <c r="H302" s="2">
        <v>17</v>
      </c>
      <c r="I302" s="2">
        <v>77</v>
      </c>
      <c r="J302" t="s">
        <v>29</v>
      </c>
    </row>
    <row r="303" spans="1:10" ht="18.75" customHeight="1" x14ac:dyDescent="0.3">
      <c r="A303" t="s">
        <v>267</v>
      </c>
      <c r="B303" s="8">
        <v>17.5</v>
      </c>
      <c r="C303" s="2">
        <v>6</v>
      </c>
      <c r="D303" s="2">
        <v>250</v>
      </c>
      <c r="E303" s="2">
        <v>110</v>
      </c>
      <c r="F303" s="2">
        <v>3520</v>
      </c>
      <c r="G303" s="8">
        <f t="shared" si="4"/>
        <v>3.125E-2</v>
      </c>
      <c r="H303" s="8">
        <v>16.399999999999999</v>
      </c>
      <c r="I303" s="2">
        <v>77</v>
      </c>
      <c r="J303" t="s">
        <v>29</v>
      </c>
    </row>
    <row r="304" spans="1:10" ht="18.75" customHeight="1" x14ac:dyDescent="0.3">
      <c r="A304" t="s">
        <v>268</v>
      </c>
      <c r="B304" s="8">
        <v>20.5</v>
      </c>
      <c r="C304" s="2">
        <v>6</v>
      </c>
      <c r="D304" s="2">
        <v>231</v>
      </c>
      <c r="E304" s="2">
        <v>105</v>
      </c>
      <c r="F304" s="2">
        <v>3425</v>
      </c>
      <c r="G304" s="8">
        <f t="shared" si="4"/>
        <v>3.0656934306569343E-2</v>
      </c>
      <c r="H304" s="8">
        <v>16.899999999999999</v>
      </c>
      <c r="I304" s="2">
        <v>77</v>
      </c>
      <c r="J304" t="s">
        <v>29</v>
      </c>
    </row>
    <row r="305" spans="1:10" ht="18.75" customHeight="1" x14ac:dyDescent="0.3">
      <c r="A305" t="s">
        <v>269</v>
      </c>
      <c r="B305" s="8">
        <v>18.5</v>
      </c>
      <c r="C305" s="2">
        <v>6</v>
      </c>
      <c r="D305" s="2">
        <v>250</v>
      </c>
      <c r="E305" s="2">
        <v>98</v>
      </c>
      <c r="F305" s="2">
        <v>3525</v>
      </c>
      <c r="G305" s="8">
        <f t="shared" si="4"/>
        <v>2.7801418439716313E-2</v>
      </c>
      <c r="H305" s="2">
        <v>19</v>
      </c>
      <c r="I305" s="2">
        <v>77</v>
      </c>
      <c r="J305" t="s">
        <v>29</v>
      </c>
    </row>
    <row r="306" spans="1:10" ht="18.75" customHeight="1" x14ac:dyDescent="0.3">
      <c r="A306" t="s">
        <v>270</v>
      </c>
      <c r="B306" s="2">
        <v>19</v>
      </c>
      <c r="C306" s="2">
        <v>6</v>
      </c>
      <c r="D306" s="2">
        <v>225</v>
      </c>
      <c r="E306" s="2">
        <v>100</v>
      </c>
      <c r="F306" s="2">
        <v>3630</v>
      </c>
      <c r="G306" s="8">
        <f t="shared" si="4"/>
        <v>2.7548209366391185E-2</v>
      </c>
      <c r="H306" s="8">
        <v>17.7</v>
      </c>
      <c r="I306" s="2">
        <v>77</v>
      </c>
      <c r="J306" t="s">
        <v>29</v>
      </c>
    </row>
    <row r="307" spans="1:10" ht="18.75" customHeight="1" x14ac:dyDescent="0.3">
      <c r="A307" t="s">
        <v>271</v>
      </c>
      <c r="B307" s="8">
        <v>15.5</v>
      </c>
      <c r="C307" s="2">
        <v>8</v>
      </c>
      <c r="D307" s="2">
        <v>400</v>
      </c>
      <c r="E307" s="2">
        <v>190</v>
      </c>
      <c r="F307" s="2">
        <v>4325</v>
      </c>
      <c r="G307" s="8">
        <f t="shared" si="4"/>
        <v>4.3930635838150288E-2</v>
      </c>
      <c r="H307" s="8">
        <v>12.2</v>
      </c>
      <c r="I307" s="2">
        <v>77</v>
      </c>
      <c r="J307" t="s">
        <v>29</v>
      </c>
    </row>
    <row r="308" spans="1:10" ht="18.75" customHeight="1" x14ac:dyDescent="0.3">
      <c r="A308" t="s">
        <v>272</v>
      </c>
      <c r="B308" s="2">
        <v>16</v>
      </c>
      <c r="C308" s="2">
        <v>8</v>
      </c>
      <c r="D308" s="2">
        <v>400</v>
      </c>
      <c r="E308" s="2">
        <v>180</v>
      </c>
      <c r="F308" s="2">
        <v>4220</v>
      </c>
      <c r="G308" s="8">
        <f t="shared" si="4"/>
        <v>4.2654028436018961E-2</v>
      </c>
      <c r="H308" s="8">
        <v>11.1</v>
      </c>
      <c r="I308" s="2">
        <v>77</v>
      </c>
      <c r="J308" t="s">
        <v>29</v>
      </c>
    </row>
    <row r="309" spans="1:10" ht="18.75" customHeight="1" x14ac:dyDescent="0.3">
      <c r="A309" t="s">
        <v>273</v>
      </c>
      <c r="B309" s="8">
        <v>15.5</v>
      </c>
      <c r="C309" s="2">
        <v>8</v>
      </c>
      <c r="D309" s="2">
        <v>350</v>
      </c>
      <c r="E309" s="2">
        <v>170</v>
      </c>
      <c r="F309" s="2">
        <v>4165</v>
      </c>
      <c r="G309" s="8">
        <f t="shared" si="4"/>
        <v>4.0816326530612242E-2</v>
      </c>
      <c r="H309" s="8">
        <v>11.4</v>
      </c>
      <c r="I309" s="2">
        <v>77</v>
      </c>
      <c r="J309" t="s">
        <v>29</v>
      </c>
    </row>
    <row r="310" spans="1:10" ht="18.75" customHeight="1" x14ac:dyDescent="0.3">
      <c r="A310" t="s">
        <v>230</v>
      </c>
      <c r="B310" s="8">
        <v>17.5</v>
      </c>
      <c r="C310" s="2">
        <v>8</v>
      </c>
      <c r="D310" s="2">
        <v>305</v>
      </c>
      <c r="E310" s="2">
        <v>145</v>
      </c>
      <c r="F310" s="2">
        <v>3880</v>
      </c>
      <c r="G310" s="8">
        <f t="shared" si="4"/>
        <v>3.7371134020618556E-2</v>
      </c>
      <c r="H310" s="8">
        <v>12.5</v>
      </c>
      <c r="I310" s="2">
        <v>77</v>
      </c>
      <c r="J310" t="s">
        <v>29</v>
      </c>
    </row>
    <row r="311" spans="1:10" ht="18.75" customHeight="1" x14ac:dyDescent="0.3">
      <c r="A311" t="s">
        <v>274</v>
      </c>
      <c r="B311" s="8">
        <v>15.5</v>
      </c>
      <c r="C311" s="2">
        <v>8</v>
      </c>
      <c r="D311" s="2">
        <v>318</v>
      </c>
      <c r="E311" s="2">
        <v>145</v>
      </c>
      <c r="F311" s="2">
        <v>4140</v>
      </c>
      <c r="G311" s="8">
        <f t="shared" si="4"/>
        <v>3.5024154589371984E-2</v>
      </c>
      <c r="H311" s="8">
        <v>13.7</v>
      </c>
      <c r="I311" s="2">
        <v>77</v>
      </c>
      <c r="J311" t="s">
        <v>29</v>
      </c>
    </row>
    <row r="312" spans="1:10" ht="18.75" customHeight="1" x14ac:dyDescent="0.3">
      <c r="A312" t="s">
        <v>275</v>
      </c>
      <c r="B312" s="2">
        <v>16</v>
      </c>
      <c r="C312" s="2">
        <v>8</v>
      </c>
      <c r="D312" s="2">
        <v>351</v>
      </c>
      <c r="E312" s="2">
        <v>149</v>
      </c>
      <c r="F312" s="2">
        <v>4335</v>
      </c>
      <c r="G312" s="8">
        <f t="shared" si="4"/>
        <v>3.4371395617070359E-2</v>
      </c>
      <c r="H312" s="8">
        <v>14.5</v>
      </c>
      <c r="I312" s="2">
        <v>77</v>
      </c>
      <c r="J312" t="s">
        <v>29</v>
      </c>
    </row>
    <row r="313" spans="1:10" ht="18.75" customHeight="1" x14ac:dyDescent="0.3">
      <c r="A313" t="s">
        <v>276</v>
      </c>
      <c r="B313" s="2">
        <v>15</v>
      </c>
      <c r="C313" s="2">
        <v>8</v>
      </c>
      <c r="D313" s="2">
        <v>302</v>
      </c>
      <c r="E313" s="2">
        <v>130</v>
      </c>
      <c r="F313" s="2">
        <v>4295</v>
      </c>
      <c r="G313" s="8">
        <f t="shared" si="4"/>
        <v>3.0267753201396973E-2</v>
      </c>
      <c r="H313" s="8">
        <v>14.9</v>
      </c>
      <c r="I313" s="2">
        <v>77</v>
      </c>
      <c r="J313" t="s">
        <v>29</v>
      </c>
    </row>
    <row r="314" spans="1:10" ht="18.75" customHeight="1" x14ac:dyDescent="0.3">
      <c r="A314" t="s">
        <v>277</v>
      </c>
      <c r="B314" s="2">
        <v>17</v>
      </c>
      <c r="C314" s="2">
        <v>8</v>
      </c>
      <c r="D314" s="2">
        <v>260</v>
      </c>
      <c r="E314" s="2">
        <v>110</v>
      </c>
      <c r="F314" s="2">
        <v>4060</v>
      </c>
      <c r="G314" s="8">
        <f t="shared" si="4"/>
        <v>2.7093596059113302E-2</v>
      </c>
      <c r="H314" s="2">
        <v>19</v>
      </c>
      <c r="I314" s="2">
        <v>77</v>
      </c>
      <c r="J314" t="s">
        <v>29</v>
      </c>
    </row>
    <row r="315" spans="1:10" ht="18.75" customHeight="1" x14ac:dyDescent="0.3">
      <c r="A315" t="s">
        <v>278</v>
      </c>
      <c r="B315" s="8">
        <v>23.2</v>
      </c>
      <c r="C315" s="2">
        <v>4</v>
      </c>
      <c r="D315" s="2">
        <v>156</v>
      </c>
      <c r="E315" s="2">
        <v>105</v>
      </c>
      <c r="F315" s="2">
        <v>2745</v>
      </c>
      <c r="G315" s="8">
        <f t="shared" si="4"/>
        <v>3.825136612021858E-2</v>
      </c>
      <c r="H315" s="8">
        <v>16.7</v>
      </c>
      <c r="I315" s="2">
        <v>78</v>
      </c>
      <c r="J315" t="s">
        <v>29</v>
      </c>
    </row>
    <row r="316" spans="1:10" ht="18.75" customHeight="1" x14ac:dyDescent="0.3">
      <c r="A316" t="s">
        <v>279</v>
      </c>
      <c r="B316" s="8">
        <v>36.1</v>
      </c>
      <c r="C316" s="2">
        <v>4</v>
      </c>
      <c r="D316" s="2">
        <v>98</v>
      </c>
      <c r="E316" s="2">
        <v>66</v>
      </c>
      <c r="F316" s="2">
        <v>1800</v>
      </c>
      <c r="G316" s="8">
        <f t="shared" si="4"/>
        <v>3.6666666666666667E-2</v>
      </c>
      <c r="H316" s="8">
        <v>14.4</v>
      </c>
      <c r="I316" s="2">
        <v>78</v>
      </c>
      <c r="J316" t="s">
        <v>29</v>
      </c>
    </row>
    <row r="317" spans="1:10" ht="18.75" customHeight="1" x14ac:dyDescent="0.3">
      <c r="A317" t="s">
        <v>280</v>
      </c>
      <c r="B317" s="8">
        <v>30.9</v>
      </c>
      <c r="C317" s="2">
        <v>4</v>
      </c>
      <c r="D317" s="2">
        <v>105</v>
      </c>
      <c r="E317" s="2">
        <v>75</v>
      </c>
      <c r="F317" s="2">
        <v>2230</v>
      </c>
      <c r="G317" s="8">
        <f t="shared" si="4"/>
        <v>3.3632286995515695E-2</v>
      </c>
      <c r="H317" s="8">
        <v>14.5</v>
      </c>
      <c r="I317" s="2">
        <v>78</v>
      </c>
      <c r="J317" t="s">
        <v>29</v>
      </c>
    </row>
    <row r="318" spans="1:10" ht="18.75" customHeight="1" x14ac:dyDescent="0.3">
      <c r="A318" t="s">
        <v>281</v>
      </c>
      <c r="B318" s="8">
        <v>25.1</v>
      </c>
      <c r="C318" s="2">
        <v>4</v>
      </c>
      <c r="D318" s="2">
        <v>140</v>
      </c>
      <c r="E318" s="2">
        <v>88</v>
      </c>
      <c r="F318" s="2">
        <v>2720</v>
      </c>
      <c r="G318" s="8">
        <f t="shared" si="4"/>
        <v>3.2352941176470591E-2</v>
      </c>
      <c r="H318" s="8">
        <v>15.4</v>
      </c>
      <c r="I318" s="2">
        <v>78</v>
      </c>
      <c r="J318" t="s">
        <v>29</v>
      </c>
    </row>
    <row r="319" spans="1:10" ht="18.75" customHeight="1" x14ac:dyDescent="0.3">
      <c r="A319" t="s">
        <v>251</v>
      </c>
      <c r="B319" s="2">
        <v>30</v>
      </c>
      <c r="C319" s="2">
        <v>4</v>
      </c>
      <c r="D319" s="2">
        <v>98</v>
      </c>
      <c r="E319" s="2">
        <v>68</v>
      </c>
      <c r="F319" s="2">
        <v>2155</v>
      </c>
      <c r="G319" s="8">
        <f t="shared" si="4"/>
        <v>3.1554524361948957E-2</v>
      </c>
      <c r="H319" s="8">
        <v>16.5</v>
      </c>
      <c r="I319" s="2">
        <v>78</v>
      </c>
      <c r="J319" t="s">
        <v>29</v>
      </c>
    </row>
    <row r="320" spans="1:10" ht="18.75" customHeight="1" x14ac:dyDescent="0.3">
      <c r="A320" t="s">
        <v>282</v>
      </c>
      <c r="B320" s="8">
        <v>23.8</v>
      </c>
      <c r="C320" s="2">
        <v>4</v>
      </c>
      <c r="D320" s="2">
        <v>151</v>
      </c>
      <c r="E320" s="2">
        <v>85</v>
      </c>
      <c r="F320" s="2">
        <v>2855</v>
      </c>
      <c r="G320" s="8">
        <f t="shared" si="4"/>
        <v>2.9772329246935202E-2</v>
      </c>
      <c r="H320" s="8">
        <v>17.600000000000001</v>
      </c>
      <c r="I320" s="2">
        <v>78</v>
      </c>
      <c r="J320" t="s">
        <v>29</v>
      </c>
    </row>
    <row r="321" spans="1:10" ht="18.75" customHeight="1" x14ac:dyDescent="0.3">
      <c r="A321" t="s">
        <v>283</v>
      </c>
      <c r="B321" s="8">
        <v>17.7</v>
      </c>
      <c r="C321" s="2">
        <v>6</v>
      </c>
      <c r="D321" s="2">
        <v>231</v>
      </c>
      <c r="E321" s="2">
        <v>165</v>
      </c>
      <c r="F321" s="2">
        <v>3445</v>
      </c>
      <c r="G321" s="8">
        <f t="shared" si="4"/>
        <v>4.7895500725689405E-2</v>
      </c>
      <c r="H321" s="8">
        <v>13.4</v>
      </c>
      <c r="I321" s="2">
        <v>78</v>
      </c>
      <c r="J321" t="s">
        <v>29</v>
      </c>
    </row>
    <row r="322" spans="1:10" ht="18.75" customHeight="1" x14ac:dyDescent="0.3">
      <c r="A322" t="s">
        <v>284</v>
      </c>
      <c r="B322" s="8">
        <v>18.100000000000001</v>
      </c>
      <c r="C322" s="2">
        <v>6</v>
      </c>
      <c r="D322" s="2">
        <v>258</v>
      </c>
      <c r="E322" s="2">
        <v>120</v>
      </c>
      <c r="F322" s="2">
        <v>3410</v>
      </c>
      <c r="G322" s="8">
        <f t="shared" ref="G322:G385" si="5">IFERROR(E322/F322, "")</f>
        <v>3.519061583577713E-2</v>
      </c>
      <c r="H322" s="8">
        <v>15.1</v>
      </c>
      <c r="I322" s="2">
        <v>78</v>
      </c>
      <c r="J322" t="s">
        <v>29</v>
      </c>
    </row>
    <row r="323" spans="1:10" ht="18.75" customHeight="1" x14ac:dyDescent="0.3">
      <c r="A323" t="s">
        <v>285</v>
      </c>
      <c r="B323" s="8">
        <v>20.6</v>
      </c>
      <c r="C323" s="2">
        <v>6</v>
      </c>
      <c r="D323" s="2">
        <v>231</v>
      </c>
      <c r="E323" s="2">
        <v>105</v>
      </c>
      <c r="F323" s="2">
        <v>3380</v>
      </c>
      <c r="G323" s="8">
        <f t="shared" si="5"/>
        <v>3.1065088757396449E-2</v>
      </c>
      <c r="H323" s="8">
        <v>15.8</v>
      </c>
      <c r="I323" s="2">
        <v>78</v>
      </c>
      <c r="J323" t="s">
        <v>29</v>
      </c>
    </row>
    <row r="324" spans="1:10" ht="18.75" customHeight="1" x14ac:dyDescent="0.3">
      <c r="A324" t="s">
        <v>286</v>
      </c>
      <c r="B324" s="8">
        <v>18.600000000000001</v>
      </c>
      <c r="C324" s="2">
        <v>6</v>
      </c>
      <c r="D324" s="2">
        <v>225</v>
      </c>
      <c r="E324" s="2">
        <v>110</v>
      </c>
      <c r="F324" s="2">
        <v>3620</v>
      </c>
      <c r="G324" s="8">
        <f t="shared" si="5"/>
        <v>3.0386740331491711E-2</v>
      </c>
      <c r="H324" s="8">
        <v>18.7</v>
      </c>
      <c r="I324" s="2">
        <v>78</v>
      </c>
      <c r="J324" t="s">
        <v>29</v>
      </c>
    </row>
    <row r="325" spans="1:10" ht="18.75" customHeight="1" x14ac:dyDescent="0.3">
      <c r="A325" t="s">
        <v>224</v>
      </c>
      <c r="B325" s="8">
        <v>20.5</v>
      </c>
      <c r="C325" s="2">
        <v>6</v>
      </c>
      <c r="D325" s="2">
        <v>200</v>
      </c>
      <c r="E325" s="2">
        <v>95</v>
      </c>
      <c r="F325" s="2">
        <v>3155</v>
      </c>
      <c r="G325" s="8">
        <f t="shared" si="5"/>
        <v>3.0110935023771792E-2</v>
      </c>
      <c r="H325" s="8">
        <v>18.2</v>
      </c>
      <c r="I325" s="2">
        <v>78</v>
      </c>
      <c r="J325" t="s">
        <v>29</v>
      </c>
    </row>
    <row r="326" spans="1:10" ht="18.75" customHeight="1" x14ac:dyDescent="0.3">
      <c r="A326" t="s">
        <v>287</v>
      </c>
      <c r="B326" s="8">
        <v>19.2</v>
      </c>
      <c r="C326" s="2">
        <v>6</v>
      </c>
      <c r="D326" s="2">
        <v>231</v>
      </c>
      <c r="E326" s="2">
        <v>105</v>
      </c>
      <c r="F326" s="2">
        <v>3535</v>
      </c>
      <c r="G326" s="8">
        <f t="shared" si="5"/>
        <v>2.9702970297029702E-2</v>
      </c>
      <c r="H326" s="8">
        <v>19.2</v>
      </c>
      <c r="I326" s="2">
        <v>78</v>
      </c>
      <c r="J326" t="s">
        <v>29</v>
      </c>
    </row>
    <row r="327" spans="1:10" ht="18.75" customHeight="1" x14ac:dyDescent="0.3">
      <c r="A327" t="s">
        <v>288</v>
      </c>
      <c r="B327" s="8">
        <v>20.5</v>
      </c>
      <c r="C327" s="2">
        <v>6</v>
      </c>
      <c r="D327" s="2">
        <v>225</v>
      </c>
      <c r="E327" s="2">
        <v>100</v>
      </c>
      <c r="F327" s="2">
        <v>3430</v>
      </c>
      <c r="G327" s="8">
        <f t="shared" si="5"/>
        <v>2.9154518950437316E-2</v>
      </c>
      <c r="H327" s="8">
        <v>17.2</v>
      </c>
      <c r="I327" s="2">
        <v>78</v>
      </c>
      <c r="J327" t="s">
        <v>29</v>
      </c>
    </row>
    <row r="328" spans="1:10" ht="18.75" customHeight="1" x14ac:dyDescent="0.3">
      <c r="A328" t="s">
        <v>289</v>
      </c>
      <c r="B328" s="8">
        <v>20.2</v>
      </c>
      <c r="C328" s="2">
        <v>6</v>
      </c>
      <c r="D328" s="2">
        <v>200</v>
      </c>
      <c r="E328" s="2">
        <v>85</v>
      </c>
      <c r="F328" s="2">
        <v>2965</v>
      </c>
      <c r="G328" s="8">
        <f t="shared" si="5"/>
        <v>2.866779089376054E-2</v>
      </c>
      <c r="H328" s="8">
        <v>15.8</v>
      </c>
      <c r="I328" s="2">
        <v>78</v>
      </c>
      <c r="J328" t="s">
        <v>29</v>
      </c>
    </row>
    <row r="329" spans="1:10" ht="18.75" customHeight="1" x14ac:dyDescent="0.3">
      <c r="A329" t="s">
        <v>290</v>
      </c>
      <c r="B329" s="8">
        <v>19.399999999999999</v>
      </c>
      <c r="C329" s="2">
        <v>6</v>
      </c>
      <c r="D329" s="2">
        <v>232</v>
      </c>
      <c r="E329" s="2">
        <v>90</v>
      </c>
      <c r="F329" s="2">
        <v>3210</v>
      </c>
      <c r="G329" s="8">
        <f t="shared" si="5"/>
        <v>2.8037383177570093E-2</v>
      </c>
      <c r="H329" s="8">
        <v>17.2</v>
      </c>
      <c r="I329" s="2">
        <v>78</v>
      </c>
      <c r="J329" t="s">
        <v>29</v>
      </c>
    </row>
    <row r="330" spans="1:10" ht="18.75" customHeight="1" x14ac:dyDescent="0.3">
      <c r="A330" t="s">
        <v>291</v>
      </c>
      <c r="B330" s="8">
        <v>20.8</v>
      </c>
      <c r="C330" s="2">
        <v>6</v>
      </c>
      <c r="D330" s="2">
        <v>200</v>
      </c>
      <c r="E330" s="2">
        <v>85</v>
      </c>
      <c r="F330" s="2">
        <v>3070</v>
      </c>
      <c r="G330" s="8">
        <f t="shared" si="5"/>
        <v>2.7687296416938109E-2</v>
      </c>
      <c r="H330" s="8">
        <v>16.7</v>
      </c>
      <c r="I330" s="2">
        <v>78</v>
      </c>
      <c r="J330" t="s">
        <v>29</v>
      </c>
    </row>
    <row r="331" spans="1:10" ht="18.75" customHeight="1" x14ac:dyDescent="0.3">
      <c r="A331" t="s">
        <v>292</v>
      </c>
      <c r="B331" s="8">
        <v>18.100000000000001</v>
      </c>
      <c r="C331" s="2">
        <v>8</v>
      </c>
      <c r="D331" s="2">
        <v>302</v>
      </c>
      <c r="E331" s="2">
        <v>139</v>
      </c>
      <c r="F331" s="2">
        <v>3205</v>
      </c>
      <c r="G331" s="8">
        <f t="shared" si="5"/>
        <v>4.3369734789391573E-2</v>
      </c>
      <c r="H331" s="8">
        <v>11.2</v>
      </c>
      <c r="I331" s="2">
        <v>78</v>
      </c>
      <c r="J331" t="s">
        <v>29</v>
      </c>
    </row>
    <row r="332" spans="1:10" ht="18.75" customHeight="1" x14ac:dyDescent="0.3">
      <c r="A332" t="s">
        <v>273</v>
      </c>
      <c r="B332" s="8">
        <v>19.2</v>
      </c>
      <c r="C332" s="2">
        <v>8</v>
      </c>
      <c r="D332" s="2">
        <v>305</v>
      </c>
      <c r="E332" s="2">
        <v>145</v>
      </c>
      <c r="F332" s="2">
        <v>3425</v>
      </c>
      <c r="G332" s="8">
        <f t="shared" si="5"/>
        <v>4.2335766423357665E-2</v>
      </c>
      <c r="H332" s="8">
        <v>13.2</v>
      </c>
      <c r="I332" s="2">
        <v>78</v>
      </c>
      <c r="J332" t="s">
        <v>29</v>
      </c>
    </row>
    <row r="333" spans="1:10" ht="18.75" customHeight="1" x14ac:dyDescent="0.3">
      <c r="A333" t="s">
        <v>293</v>
      </c>
      <c r="B333" s="8">
        <v>20.2</v>
      </c>
      <c r="C333" s="2">
        <v>8</v>
      </c>
      <c r="D333" s="2">
        <v>302</v>
      </c>
      <c r="E333" s="2">
        <v>139</v>
      </c>
      <c r="F333" s="2">
        <v>3570</v>
      </c>
      <c r="G333" s="8">
        <f t="shared" si="5"/>
        <v>3.8935574229691877E-2</v>
      </c>
      <c r="H333" s="8">
        <v>12.8</v>
      </c>
      <c r="I333" s="2">
        <v>78</v>
      </c>
      <c r="J333" t="s">
        <v>29</v>
      </c>
    </row>
    <row r="334" spans="1:10" ht="18.75" customHeight="1" x14ac:dyDescent="0.3">
      <c r="A334" t="s">
        <v>294</v>
      </c>
      <c r="B334" s="8">
        <v>19.399999999999999</v>
      </c>
      <c r="C334" s="2">
        <v>8</v>
      </c>
      <c r="D334" s="2">
        <v>318</v>
      </c>
      <c r="E334" s="2">
        <v>140</v>
      </c>
      <c r="F334" s="2">
        <v>3735</v>
      </c>
      <c r="G334" s="8">
        <f t="shared" si="5"/>
        <v>3.7483266398929051E-2</v>
      </c>
      <c r="H334" s="8">
        <v>13.2</v>
      </c>
      <c r="I334" s="2">
        <v>78</v>
      </c>
      <c r="J334" t="s">
        <v>29</v>
      </c>
    </row>
    <row r="335" spans="1:10" ht="18.75" customHeight="1" x14ac:dyDescent="0.3">
      <c r="A335" t="s">
        <v>295</v>
      </c>
      <c r="B335" s="8">
        <v>17.5</v>
      </c>
      <c r="C335" s="2">
        <v>8</v>
      </c>
      <c r="D335" s="2">
        <v>318</v>
      </c>
      <c r="E335" s="2">
        <v>140</v>
      </c>
      <c r="F335" s="2">
        <v>4080</v>
      </c>
      <c r="G335" s="8">
        <f t="shared" si="5"/>
        <v>3.4313725490196081E-2</v>
      </c>
      <c r="H335" s="8">
        <v>13.7</v>
      </c>
      <c r="I335" s="2">
        <v>78</v>
      </c>
      <c r="J335" t="s">
        <v>29</v>
      </c>
    </row>
    <row r="336" spans="1:10" ht="18.75" customHeight="1" x14ac:dyDescent="0.3">
      <c r="A336" t="s">
        <v>296</v>
      </c>
      <c r="B336" s="8">
        <v>19.899999999999999</v>
      </c>
      <c r="C336" s="2">
        <v>8</v>
      </c>
      <c r="D336" s="2">
        <v>260</v>
      </c>
      <c r="E336" s="2">
        <v>110</v>
      </c>
      <c r="F336" s="2">
        <v>3365</v>
      </c>
      <c r="G336" s="8">
        <f t="shared" si="5"/>
        <v>3.2689450222882617E-2</v>
      </c>
      <c r="H336" s="8">
        <v>15.5</v>
      </c>
      <c r="I336" s="2">
        <v>78</v>
      </c>
      <c r="J336" t="s">
        <v>29</v>
      </c>
    </row>
    <row r="337" spans="1:10" ht="18.75" customHeight="1" x14ac:dyDescent="0.3">
      <c r="A337" t="s">
        <v>297</v>
      </c>
      <c r="B337" s="8">
        <v>35.700000000000003</v>
      </c>
      <c r="C337" s="2">
        <v>4</v>
      </c>
      <c r="D337" s="2">
        <v>98</v>
      </c>
      <c r="E337" s="2">
        <v>80</v>
      </c>
      <c r="F337" s="2">
        <v>1915</v>
      </c>
      <c r="G337" s="8">
        <f t="shared" si="5"/>
        <v>4.1775456919060053E-2</v>
      </c>
      <c r="H337" s="8">
        <v>14.4</v>
      </c>
      <c r="I337" s="2">
        <v>79</v>
      </c>
      <c r="J337" t="s">
        <v>29</v>
      </c>
    </row>
    <row r="338" spans="1:10" ht="18.75" customHeight="1" x14ac:dyDescent="0.3">
      <c r="A338" t="s">
        <v>298</v>
      </c>
      <c r="B338" s="8">
        <v>33.5</v>
      </c>
      <c r="C338" s="2">
        <v>4</v>
      </c>
      <c r="D338" s="2">
        <v>151</v>
      </c>
      <c r="E338" s="2">
        <v>90</v>
      </c>
      <c r="F338" s="2">
        <v>2556</v>
      </c>
      <c r="G338" s="8">
        <f t="shared" si="5"/>
        <v>3.5211267605633804E-2</v>
      </c>
      <c r="H338" s="8">
        <v>13.2</v>
      </c>
      <c r="I338" s="2">
        <v>79</v>
      </c>
      <c r="J338" t="s">
        <v>29</v>
      </c>
    </row>
    <row r="339" spans="1:10" ht="18.75" customHeight="1" x14ac:dyDescent="0.3">
      <c r="A339" t="s">
        <v>299</v>
      </c>
      <c r="B339" s="8">
        <v>28.4</v>
      </c>
      <c r="C339" s="2">
        <v>4</v>
      </c>
      <c r="D339" s="2">
        <v>151</v>
      </c>
      <c r="E339" s="2">
        <v>90</v>
      </c>
      <c r="F339" s="2">
        <v>2670</v>
      </c>
      <c r="G339" s="8">
        <f t="shared" si="5"/>
        <v>3.3707865168539325E-2</v>
      </c>
      <c r="H339" s="2">
        <v>16</v>
      </c>
      <c r="I339" s="2">
        <v>79</v>
      </c>
      <c r="J339" t="s">
        <v>29</v>
      </c>
    </row>
    <row r="340" spans="1:10" ht="18.75" customHeight="1" x14ac:dyDescent="0.3">
      <c r="A340" t="s">
        <v>300</v>
      </c>
      <c r="B340" s="8">
        <v>34.5</v>
      </c>
      <c r="C340" s="2">
        <v>4</v>
      </c>
      <c r="D340" s="2">
        <v>105</v>
      </c>
      <c r="E340" s="2">
        <v>70</v>
      </c>
      <c r="F340" s="2">
        <v>2150</v>
      </c>
      <c r="G340" s="8">
        <f t="shared" si="5"/>
        <v>3.255813953488372E-2</v>
      </c>
      <c r="H340" s="8">
        <v>14.9</v>
      </c>
      <c r="I340" s="2">
        <v>79</v>
      </c>
      <c r="J340" t="s">
        <v>29</v>
      </c>
    </row>
    <row r="341" spans="1:10" ht="18.75" customHeight="1" x14ac:dyDescent="0.3">
      <c r="A341" t="s">
        <v>301</v>
      </c>
      <c r="B341" s="8">
        <v>34.200000000000003</v>
      </c>
      <c r="C341" s="2">
        <v>4</v>
      </c>
      <c r="D341" s="2">
        <v>105</v>
      </c>
      <c r="E341" s="2">
        <v>70</v>
      </c>
      <c r="F341" s="2">
        <v>2200</v>
      </c>
      <c r="G341" s="8">
        <f t="shared" si="5"/>
        <v>3.1818181818181815E-2</v>
      </c>
      <c r="H341" s="8">
        <v>13.2</v>
      </c>
      <c r="I341" s="2">
        <v>79</v>
      </c>
      <c r="J341" t="s">
        <v>29</v>
      </c>
    </row>
    <row r="342" spans="1:10" ht="18.75" customHeight="1" x14ac:dyDescent="0.3">
      <c r="A342" t="s">
        <v>302</v>
      </c>
      <c r="B342" s="8">
        <v>22.3</v>
      </c>
      <c r="C342" s="2">
        <v>4</v>
      </c>
      <c r="D342" s="2">
        <v>140</v>
      </c>
      <c r="E342" s="2">
        <v>88</v>
      </c>
      <c r="F342" s="2">
        <v>2890</v>
      </c>
      <c r="G342" s="8">
        <f t="shared" si="5"/>
        <v>3.0449826989619379E-2</v>
      </c>
      <c r="H342" s="8">
        <v>17.3</v>
      </c>
      <c r="I342" s="2">
        <v>79</v>
      </c>
      <c r="J342" t="s">
        <v>29</v>
      </c>
    </row>
    <row r="343" spans="1:10" ht="18.75" customHeight="1" x14ac:dyDescent="0.3">
      <c r="A343" t="s">
        <v>303</v>
      </c>
      <c r="B343" s="8">
        <v>27.4</v>
      </c>
      <c r="C343" s="2">
        <v>4</v>
      </c>
      <c r="D343" s="2">
        <v>121</v>
      </c>
      <c r="E343" s="2">
        <v>80</v>
      </c>
      <c r="F343" s="2">
        <v>2670</v>
      </c>
      <c r="G343" s="8">
        <f t="shared" si="5"/>
        <v>2.9962546816479401E-2</v>
      </c>
      <c r="H343" s="2">
        <v>15</v>
      </c>
      <c r="I343" s="2">
        <v>79</v>
      </c>
      <c r="J343" t="s">
        <v>29</v>
      </c>
    </row>
    <row r="344" spans="1:10" ht="18.75" customHeight="1" x14ac:dyDescent="0.3">
      <c r="A344" t="s">
        <v>304</v>
      </c>
      <c r="B344" s="8">
        <v>28.8</v>
      </c>
      <c r="C344" s="2">
        <v>6</v>
      </c>
      <c r="D344" s="2">
        <v>173</v>
      </c>
      <c r="E344" s="2">
        <v>115</v>
      </c>
      <c r="F344" s="2">
        <v>2595</v>
      </c>
      <c r="G344" s="8">
        <f t="shared" si="5"/>
        <v>4.4315992292870907E-2</v>
      </c>
      <c r="H344" s="8">
        <v>11.3</v>
      </c>
      <c r="I344" s="2">
        <v>79</v>
      </c>
      <c r="J344" t="s">
        <v>29</v>
      </c>
    </row>
    <row r="345" spans="1:10" ht="18.75" customHeight="1" x14ac:dyDescent="0.3">
      <c r="A345" t="s">
        <v>305</v>
      </c>
      <c r="B345" s="8">
        <v>26.8</v>
      </c>
      <c r="C345" s="2">
        <v>6</v>
      </c>
      <c r="D345" s="2">
        <v>173</v>
      </c>
      <c r="E345" s="2">
        <v>115</v>
      </c>
      <c r="F345" s="2">
        <v>2700</v>
      </c>
      <c r="G345" s="8">
        <f t="shared" si="5"/>
        <v>4.2592592592592592E-2</v>
      </c>
      <c r="H345" s="8">
        <v>12.9</v>
      </c>
      <c r="I345" s="2">
        <v>79</v>
      </c>
      <c r="J345" t="s">
        <v>29</v>
      </c>
    </row>
    <row r="346" spans="1:10" ht="18.75" customHeight="1" x14ac:dyDescent="0.3">
      <c r="A346" t="s">
        <v>306</v>
      </c>
      <c r="B346" s="8">
        <v>21.5</v>
      </c>
      <c r="C346" s="2">
        <v>6</v>
      </c>
      <c r="D346" s="2">
        <v>231</v>
      </c>
      <c r="E346" s="2">
        <v>115</v>
      </c>
      <c r="F346" s="2">
        <v>3245</v>
      </c>
      <c r="G346" s="8">
        <f t="shared" si="5"/>
        <v>3.543913713405239E-2</v>
      </c>
      <c r="H346" s="8">
        <v>15.4</v>
      </c>
      <c r="I346" s="2">
        <v>79</v>
      </c>
      <c r="J346" t="s">
        <v>29</v>
      </c>
    </row>
    <row r="347" spans="1:10" ht="18.75" customHeight="1" x14ac:dyDescent="0.3">
      <c r="A347" t="s">
        <v>307</v>
      </c>
      <c r="B347" s="8">
        <v>20.6</v>
      </c>
      <c r="C347" s="2">
        <v>6</v>
      </c>
      <c r="D347" s="2">
        <v>225</v>
      </c>
      <c r="E347" s="2">
        <v>110</v>
      </c>
      <c r="F347" s="2">
        <v>3360</v>
      </c>
      <c r="G347" s="8">
        <f t="shared" si="5"/>
        <v>3.273809523809524E-2</v>
      </c>
      <c r="H347" s="8">
        <v>16.600000000000001</v>
      </c>
      <c r="I347" s="2">
        <v>79</v>
      </c>
      <c r="J347" t="s">
        <v>29</v>
      </c>
    </row>
    <row r="348" spans="1:10" ht="18.75" customHeight="1" x14ac:dyDescent="0.3">
      <c r="A348" t="s">
        <v>308</v>
      </c>
      <c r="B348" s="8">
        <v>19.8</v>
      </c>
      <c r="C348" s="2">
        <v>6</v>
      </c>
      <c r="D348" s="2">
        <v>200</v>
      </c>
      <c r="E348" s="2">
        <v>85</v>
      </c>
      <c r="F348" s="2">
        <v>2990</v>
      </c>
      <c r="G348" s="8">
        <f t="shared" si="5"/>
        <v>2.8428093645484948E-2</v>
      </c>
      <c r="H348" s="8">
        <v>18.2</v>
      </c>
      <c r="I348" s="2">
        <v>79</v>
      </c>
      <c r="J348" t="s">
        <v>29</v>
      </c>
    </row>
    <row r="349" spans="1:10" ht="18.75" customHeight="1" x14ac:dyDescent="0.3">
      <c r="A349" t="s">
        <v>309</v>
      </c>
      <c r="B349" s="8">
        <v>20.2</v>
      </c>
      <c r="C349" s="2">
        <v>6</v>
      </c>
      <c r="D349" s="2">
        <v>232</v>
      </c>
      <c r="E349" s="2">
        <v>90</v>
      </c>
      <c r="F349" s="2">
        <v>3265</v>
      </c>
      <c r="G349" s="8">
        <f t="shared" si="5"/>
        <v>2.7565084226646247E-2</v>
      </c>
      <c r="H349" s="8">
        <v>18.2</v>
      </c>
      <c r="I349" s="2">
        <v>79</v>
      </c>
      <c r="J349" t="s">
        <v>29</v>
      </c>
    </row>
    <row r="350" spans="1:10" ht="18.75" customHeight="1" x14ac:dyDescent="0.3">
      <c r="A350" t="s">
        <v>310</v>
      </c>
      <c r="B350" s="8">
        <v>18.5</v>
      </c>
      <c r="C350" s="2">
        <v>8</v>
      </c>
      <c r="D350" s="2">
        <v>360</v>
      </c>
      <c r="E350" s="2">
        <v>150</v>
      </c>
      <c r="F350" s="2">
        <v>3940</v>
      </c>
      <c r="G350" s="8">
        <f t="shared" si="5"/>
        <v>3.8071065989847719E-2</v>
      </c>
      <c r="H350" s="2">
        <v>13</v>
      </c>
      <c r="I350" s="2">
        <v>79</v>
      </c>
      <c r="J350" t="s">
        <v>29</v>
      </c>
    </row>
    <row r="351" spans="1:10" ht="18.75" customHeight="1" x14ac:dyDescent="0.3">
      <c r="A351" t="s">
        <v>163</v>
      </c>
      <c r="B351" s="8">
        <v>16.899999999999999</v>
      </c>
      <c r="C351" s="2">
        <v>8</v>
      </c>
      <c r="D351" s="2">
        <v>350</v>
      </c>
      <c r="E351" s="2">
        <v>155</v>
      </c>
      <c r="F351" s="2">
        <v>4360</v>
      </c>
      <c r="G351" s="8">
        <f t="shared" si="5"/>
        <v>3.5550458715596332E-2</v>
      </c>
      <c r="H351" s="8">
        <v>14.9</v>
      </c>
      <c r="I351" s="2">
        <v>79</v>
      </c>
      <c r="J351" t="s">
        <v>29</v>
      </c>
    </row>
    <row r="352" spans="1:10" ht="18.75" customHeight="1" x14ac:dyDescent="0.3">
      <c r="A352" t="s">
        <v>311</v>
      </c>
      <c r="B352" s="8">
        <v>18.2</v>
      </c>
      <c r="C352" s="2">
        <v>8</v>
      </c>
      <c r="D352" s="2">
        <v>318</v>
      </c>
      <c r="E352" s="2">
        <v>135</v>
      </c>
      <c r="F352" s="2">
        <v>3830</v>
      </c>
      <c r="G352" s="8">
        <f t="shared" si="5"/>
        <v>3.5248041775456922E-2</v>
      </c>
      <c r="H352" s="8">
        <v>15.2</v>
      </c>
      <c r="I352" s="2">
        <v>79</v>
      </c>
      <c r="J352" t="s">
        <v>29</v>
      </c>
    </row>
    <row r="353" spans="1:10" ht="18.75" customHeight="1" x14ac:dyDescent="0.3">
      <c r="A353" t="s">
        <v>194</v>
      </c>
      <c r="B353" s="8">
        <v>15.5</v>
      </c>
      <c r="C353" s="2">
        <v>8</v>
      </c>
      <c r="D353" s="2">
        <v>351</v>
      </c>
      <c r="E353" s="2">
        <v>142</v>
      </c>
      <c r="F353" s="2">
        <v>4054</v>
      </c>
      <c r="G353" s="8">
        <f t="shared" si="5"/>
        <v>3.5027133695115932E-2</v>
      </c>
      <c r="H353" s="8">
        <v>14.3</v>
      </c>
      <c r="I353" s="2">
        <v>79</v>
      </c>
      <c r="J353" t="s">
        <v>29</v>
      </c>
    </row>
    <row r="354" spans="1:10" ht="18.75" customHeight="1" x14ac:dyDescent="0.3">
      <c r="A354" t="s">
        <v>312</v>
      </c>
      <c r="B354" s="8">
        <v>16.5</v>
      </c>
      <c r="C354" s="2">
        <v>8</v>
      </c>
      <c r="D354" s="2">
        <v>351</v>
      </c>
      <c r="E354" s="2">
        <v>138</v>
      </c>
      <c r="F354" s="2">
        <v>3955</v>
      </c>
      <c r="G354" s="8">
        <f t="shared" si="5"/>
        <v>3.4892541087231353E-2</v>
      </c>
      <c r="H354" s="8">
        <v>13.2</v>
      </c>
      <c r="I354" s="2">
        <v>79</v>
      </c>
      <c r="J354" t="s">
        <v>29</v>
      </c>
    </row>
    <row r="355" spans="1:10" ht="18.75" customHeight="1" x14ac:dyDescent="0.3">
      <c r="A355" t="s">
        <v>313</v>
      </c>
      <c r="B355" s="8">
        <v>19.2</v>
      </c>
      <c r="C355" s="2">
        <v>8</v>
      </c>
      <c r="D355" s="2">
        <v>267</v>
      </c>
      <c r="E355" s="2">
        <v>125</v>
      </c>
      <c r="F355" s="2">
        <v>3605</v>
      </c>
      <c r="G355" s="8">
        <f t="shared" si="5"/>
        <v>3.4674063800277391E-2</v>
      </c>
      <c r="H355" s="2">
        <v>15</v>
      </c>
      <c r="I355" s="2">
        <v>79</v>
      </c>
      <c r="J355" t="s">
        <v>29</v>
      </c>
    </row>
    <row r="356" spans="1:10" ht="18.75" customHeight="1" x14ac:dyDescent="0.3">
      <c r="A356" t="s">
        <v>314</v>
      </c>
      <c r="B356" s="8">
        <v>17.600000000000001</v>
      </c>
      <c r="C356" s="2">
        <v>8</v>
      </c>
      <c r="D356" s="2">
        <v>302</v>
      </c>
      <c r="E356" s="2">
        <v>129</v>
      </c>
      <c r="F356" s="2">
        <v>3725</v>
      </c>
      <c r="G356" s="8">
        <f t="shared" si="5"/>
        <v>3.4630872483221477E-2</v>
      </c>
      <c r="H356" s="8">
        <v>13.4</v>
      </c>
      <c r="I356" s="2">
        <v>79</v>
      </c>
      <c r="J356" t="s">
        <v>29</v>
      </c>
    </row>
    <row r="357" spans="1:10" ht="18.75" customHeight="1" x14ac:dyDescent="0.3">
      <c r="A357" t="s">
        <v>230</v>
      </c>
      <c r="B357" s="2">
        <v>17</v>
      </c>
      <c r="C357" s="2">
        <v>8</v>
      </c>
      <c r="D357" s="2">
        <v>305</v>
      </c>
      <c r="E357" s="2">
        <v>130</v>
      </c>
      <c r="F357" s="2">
        <v>3840</v>
      </c>
      <c r="G357" s="8">
        <f t="shared" si="5"/>
        <v>3.3854166666666664E-2</v>
      </c>
      <c r="H357" s="8">
        <v>15.4</v>
      </c>
      <c r="I357" s="2">
        <v>79</v>
      </c>
      <c r="J357" t="s">
        <v>29</v>
      </c>
    </row>
    <row r="358" spans="1:10" ht="18.75" customHeight="1" x14ac:dyDescent="0.3">
      <c r="A358" t="s">
        <v>315</v>
      </c>
      <c r="B358" s="2">
        <v>23</v>
      </c>
      <c r="C358" s="2">
        <v>8</v>
      </c>
      <c r="D358" s="2">
        <v>350</v>
      </c>
      <c r="E358" s="2">
        <v>125</v>
      </c>
      <c r="F358" s="2">
        <v>3900</v>
      </c>
      <c r="G358" s="8">
        <f t="shared" si="5"/>
        <v>3.2051282051282048E-2</v>
      </c>
      <c r="H358" s="8">
        <v>17.399999999999999</v>
      </c>
      <c r="I358" s="2">
        <v>79</v>
      </c>
      <c r="J358" t="s">
        <v>29</v>
      </c>
    </row>
    <row r="359" spans="1:10" ht="18.75" customHeight="1" x14ac:dyDescent="0.3">
      <c r="A359" t="s">
        <v>296</v>
      </c>
      <c r="B359" s="8">
        <v>23.9</v>
      </c>
      <c r="C359" s="2">
        <v>8</v>
      </c>
      <c r="D359" s="2">
        <v>260</v>
      </c>
      <c r="E359" s="2">
        <v>90</v>
      </c>
      <c r="F359" s="2">
        <v>3420</v>
      </c>
      <c r="G359" s="8">
        <f t="shared" si="5"/>
        <v>2.6315789473684209E-2</v>
      </c>
      <c r="H359" s="8">
        <v>22.2</v>
      </c>
      <c r="I359" s="2">
        <v>79</v>
      </c>
      <c r="J359" t="s">
        <v>29</v>
      </c>
    </row>
    <row r="360" spans="1:10" ht="18.75" customHeight="1" x14ac:dyDescent="0.3">
      <c r="A360" t="s">
        <v>231</v>
      </c>
      <c r="B360" s="8">
        <v>27.9</v>
      </c>
      <c r="C360" s="2">
        <v>4</v>
      </c>
      <c r="D360" s="2">
        <v>156</v>
      </c>
      <c r="E360" s="2">
        <v>105</v>
      </c>
      <c r="F360" s="2">
        <v>2800</v>
      </c>
      <c r="G360" s="8">
        <f t="shared" si="5"/>
        <v>3.7499999999999999E-2</v>
      </c>
      <c r="H360" s="8">
        <v>14.4</v>
      </c>
      <c r="I360" s="2">
        <v>80</v>
      </c>
      <c r="J360" t="s">
        <v>29</v>
      </c>
    </row>
    <row r="361" spans="1:10" ht="18.75" customHeight="1" x14ac:dyDescent="0.3">
      <c r="A361" t="s">
        <v>304</v>
      </c>
      <c r="B361" s="2">
        <v>28</v>
      </c>
      <c r="C361" s="2">
        <v>4</v>
      </c>
      <c r="D361" s="2">
        <v>151</v>
      </c>
      <c r="E361" s="2">
        <v>90</v>
      </c>
      <c r="F361" s="2">
        <v>2678</v>
      </c>
      <c r="G361" s="8">
        <f t="shared" si="5"/>
        <v>3.3607169529499624E-2</v>
      </c>
      <c r="H361" s="8">
        <v>16.5</v>
      </c>
      <c r="I361" s="2">
        <v>80</v>
      </c>
      <c r="J361" t="s">
        <v>29</v>
      </c>
    </row>
    <row r="362" spans="1:10" ht="18.75" customHeight="1" x14ac:dyDescent="0.3">
      <c r="A362" t="s">
        <v>251</v>
      </c>
      <c r="B362" s="8">
        <v>32.1</v>
      </c>
      <c r="C362" s="2">
        <v>4</v>
      </c>
      <c r="D362" s="2">
        <v>98</v>
      </c>
      <c r="E362" s="2">
        <v>70</v>
      </c>
      <c r="F362" s="2">
        <v>2120</v>
      </c>
      <c r="G362" s="8">
        <f t="shared" si="5"/>
        <v>3.3018867924528301E-2</v>
      </c>
      <c r="H362" s="8">
        <v>15.5</v>
      </c>
      <c r="I362" s="2">
        <v>80</v>
      </c>
      <c r="J362" t="s">
        <v>29</v>
      </c>
    </row>
    <row r="363" spans="1:10" ht="18.75" customHeight="1" x14ac:dyDescent="0.3">
      <c r="A363" t="s">
        <v>316</v>
      </c>
      <c r="B363" s="8">
        <v>26.4</v>
      </c>
      <c r="C363" s="2">
        <v>4</v>
      </c>
      <c r="D363" s="2">
        <v>140</v>
      </c>
      <c r="E363" s="2">
        <v>88</v>
      </c>
      <c r="F363" s="2">
        <v>2870</v>
      </c>
      <c r="G363" s="8">
        <f t="shared" si="5"/>
        <v>3.0662020905923345E-2</v>
      </c>
      <c r="H363" s="8">
        <v>18.100000000000001</v>
      </c>
      <c r="I363" s="2">
        <v>80</v>
      </c>
      <c r="J363" t="s">
        <v>29</v>
      </c>
    </row>
    <row r="364" spans="1:10" ht="18.75" customHeight="1" x14ac:dyDescent="0.3">
      <c r="A364" t="s">
        <v>290</v>
      </c>
      <c r="B364" s="8">
        <v>24.3</v>
      </c>
      <c r="C364" s="2">
        <v>4</v>
      </c>
      <c r="D364" s="2">
        <v>151</v>
      </c>
      <c r="E364" s="2">
        <v>90</v>
      </c>
      <c r="F364" s="2">
        <v>3003</v>
      </c>
      <c r="G364" s="8">
        <f t="shared" si="5"/>
        <v>2.9970029970029972E-2</v>
      </c>
      <c r="H364" s="8">
        <v>20.100000000000001</v>
      </c>
      <c r="I364" s="2">
        <v>80</v>
      </c>
      <c r="J364" t="s">
        <v>29</v>
      </c>
    </row>
    <row r="365" spans="1:10" ht="18.75" customHeight="1" x14ac:dyDescent="0.3">
      <c r="A365" t="s">
        <v>317</v>
      </c>
      <c r="B365" s="8">
        <v>23.6</v>
      </c>
      <c r="C365" s="2">
        <v>4</v>
      </c>
      <c r="D365" s="2">
        <v>140</v>
      </c>
      <c r="F365" s="2">
        <v>2905</v>
      </c>
      <c r="G365" s="2">
        <f t="shared" si="5"/>
        <v>0</v>
      </c>
      <c r="H365" s="8">
        <v>14.3</v>
      </c>
      <c r="I365" s="2">
        <v>80</v>
      </c>
      <c r="J365" t="s">
        <v>29</v>
      </c>
    </row>
    <row r="366" spans="1:10" ht="18.75" customHeight="1" x14ac:dyDescent="0.3">
      <c r="A366" t="s">
        <v>286</v>
      </c>
      <c r="B366" s="8">
        <v>19.100000000000001</v>
      </c>
      <c r="C366" s="2">
        <v>6</v>
      </c>
      <c r="D366" s="2">
        <v>225</v>
      </c>
      <c r="E366" s="2">
        <v>90</v>
      </c>
      <c r="F366" s="2">
        <v>3381</v>
      </c>
      <c r="G366" s="8">
        <f t="shared" si="5"/>
        <v>2.6619343389529725E-2</v>
      </c>
      <c r="H366" s="8">
        <v>18.7</v>
      </c>
      <c r="I366" s="2">
        <v>80</v>
      </c>
      <c r="J366" t="s">
        <v>29</v>
      </c>
    </row>
    <row r="367" spans="1:10" ht="18.75" customHeight="1" x14ac:dyDescent="0.3">
      <c r="A367" t="s">
        <v>318</v>
      </c>
      <c r="B367" s="2">
        <v>30</v>
      </c>
      <c r="C367" s="2">
        <v>4</v>
      </c>
      <c r="D367" s="2">
        <v>135</v>
      </c>
      <c r="E367" s="2">
        <v>84</v>
      </c>
      <c r="F367" s="2">
        <v>2385</v>
      </c>
      <c r="G367" s="8">
        <f t="shared" si="5"/>
        <v>3.5220125786163521E-2</v>
      </c>
      <c r="H367" s="8">
        <v>12.9</v>
      </c>
      <c r="I367" s="2">
        <v>81</v>
      </c>
      <c r="J367" t="s">
        <v>29</v>
      </c>
    </row>
    <row r="368" spans="1:10" ht="18.75" customHeight="1" x14ac:dyDescent="0.3">
      <c r="A368" t="s">
        <v>319</v>
      </c>
      <c r="B368" s="8">
        <v>25.8</v>
      </c>
      <c r="C368" s="2">
        <v>4</v>
      </c>
      <c r="D368" s="2">
        <v>156</v>
      </c>
      <c r="E368" s="2">
        <v>92</v>
      </c>
      <c r="F368" s="2">
        <v>2620</v>
      </c>
      <c r="G368" s="8">
        <f t="shared" si="5"/>
        <v>3.5114503816793895E-2</v>
      </c>
      <c r="H368" s="8">
        <v>14.4</v>
      </c>
      <c r="I368" s="2">
        <v>81</v>
      </c>
      <c r="J368" t="s">
        <v>29</v>
      </c>
    </row>
    <row r="369" spans="1:10" ht="18.75" customHeight="1" x14ac:dyDescent="0.3">
      <c r="A369" t="s">
        <v>320</v>
      </c>
      <c r="B369" s="2">
        <v>39</v>
      </c>
      <c r="C369" s="2">
        <v>4</v>
      </c>
      <c r="D369" s="2">
        <v>86</v>
      </c>
      <c r="E369" s="2">
        <v>64</v>
      </c>
      <c r="F369" s="2">
        <v>1875</v>
      </c>
      <c r="G369" s="8">
        <f t="shared" si="5"/>
        <v>3.4133333333333335E-2</v>
      </c>
      <c r="H369" s="8">
        <v>16.399999999999999</v>
      </c>
      <c r="I369" s="2">
        <v>81</v>
      </c>
      <c r="J369" t="s">
        <v>29</v>
      </c>
    </row>
    <row r="370" spans="1:10" ht="18.75" customHeight="1" x14ac:dyDescent="0.3">
      <c r="A370" t="s">
        <v>318</v>
      </c>
      <c r="B370" s="8">
        <v>27.2</v>
      </c>
      <c r="C370" s="2">
        <v>4</v>
      </c>
      <c r="D370" s="2">
        <v>135</v>
      </c>
      <c r="E370" s="2">
        <v>84</v>
      </c>
      <c r="F370" s="2">
        <v>2490</v>
      </c>
      <c r="G370" s="8">
        <f t="shared" si="5"/>
        <v>3.3734939759036145E-2</v>
      </c>
      <c r="H370" s="8">
        <v>15.7</v>
      </c>
      <c r="I370" s="2">
        <v>81</v>
      </c>
      <c r="J370" t="s">
        <v>29</v>
      </c>
    </row>
    <row r="371" spans="1:10" ht="18.75" customHeight="1" x14ac:dyDescent="0.3">
      <c r="A371" t="s">
        <v>268</v>
      </c>
      <c r="B371" s="8">
        <v>26.6</v>
      </c>
      <c r="C371" s="2">
        <v>4</v>
      </c>
      <c r="D371" s="2">
        <v>151</v>
      </c>
      <c r="E371" s="2">
        <v>84</v>
      </c>
      <c r="F371" s="2">
        <v>2635</v>
      </c>
      <c r="G371" s="8">
        <f t="shared" si="5"/>
        <v>3.1878557874762806E-2</v>
      </c>
      <c r="H371" s="8">
        <v>16.399999999999999</v>
      </c>
      <c r="I371" s="2">
        <v>81</v>
      </c>
      <c r="J371" t="s">
        <v>29</v>
      </c>
    </row>
    <row r="372" spans="1:10" ht="18.75" customHeight="1" x14ac:dyDescent="0.3">
      <c r="A372" t="s">
        <v>321</v>
      </c>
      <c r="B372" s="8">
        <v>34.4</v>
      </c>
      <c r="C372" s="2">
        <v>4</v>
      </c>
      <c r="D372" s="2">
        <v>98</v>
      </c>
      <c r="E372" s="2">
        <v>65</v>
      </c>
      <c r="F372" s="2">
        <v>2045</v>
      </c>
      <c r="G372" s="8">
        <f t="shared" si="5"/>
        <v>3.1784841075794622E-2</v>
      </c>
      <c r="H372" s="8">
        <v>16.2</v>
      </c>
      <c r="I372" s="2">
        <v>81</v>
      </c>
      <c r="J372" t="s">
        <v>29</v>
      </c>
    </row>
    <row r="373" spans="1:10" ht="18.75" customHeight="1" x14ac:dyDescent="0.3">
      <c r="A373" t="s">
        <v>322</v>
      </c>
      <c r="B373" s="8">
        <v>34.700000000000003</v>
      </c>
      <c r="C373" s="2">
        <v>4</v>
      </c>
      <c r="D373" s="2">
        <v>105</v>
      </c>
      <c r="E373" s="2">
        <v>63</v>
      </c>
      <c r="F373" s="2">
        <v>2215</v>
      </c>
      <c r="G373" s="8">
        <f t="shared" si="5"/>
        <v>2.8442437923250564E-2</v>
      </c>
      <c r="H373" s="8">
        <v>14.9</v>
      </c>
      <c r="I373" s="2">
        <v>81</v>
      </c>
      <c r="J373" t="s">
        <v>29</v>
      </c>
    </row>
    <row r="374" spans="1:10" ht="18.75" customHeight="1" x14ac:dyDescent="0.3">
      <c r="A374" t="s">
        <v>323</v>
      </c>
      <c r="B374" s="8">
        <v>29.9</v>
      </c>
      <c r="C374" s="2">
        <v>4</v>
      </c>
      <c r="D374" s="2">
        <v>98</v>
      </c>
      <c r="E374" s="2">
        <v>65</v>
      </c>
      <c r="F374" s="2">
        <v>2380</v>
      </c>
      <c r="G374" s="8">
        <f t="shared" si="5"/>
        <v>2.7310924369747899E-2</v>
      </c>
      <c r="H374" s="8">
        <v>20.7</v>
      </c>
      <c r="I374" s="2">
        <v>81</v>
      </c>
      <c r="J374" t="s">
        <v>29</v>
      </c>
    </row>
    <row r="375" spans="1:10" ht="18.75" customHeight="1" x14ac:dyDescent="0.3">
      <c r="A375" t="s">
        <v>304</v>
      </c>
      <c r="B375" s="8">
        <v>23.5</v>
      </c>
      <c r="C375" s="2">
        <v>6</v>
      </c>
      <c r="D375" s="2">
        <v>173</v>
      </c>
      <c r="E375" s="2">
        <v>110</v>
      </c>
      <c r="F375" s="2">
        <v>2725</v>
      </c>
      <c r="G375" s="8">
        <f t="shared" si="5"/>
        <v>4.0366972477064222E-2</v>
      </c>
      <c r="H375" s="8">
        <v>12.6</v>
      </c>
      <c r="I375" s="2">
        <v>81</v>
      </c>
      <c r="J375" t="s">
        <v>29</v>
      </c>
    </row>
    <row r="376" spans="1:10" ht="18.75" customHeight="1" x14ac:dyDescent="0.3">
      <c r="A376" t="s">
        <v>240</v>
      </c>
      <c r="B376" s="8">
        <v>22.4</v>
      </c>
      <c r="C376" s="2">
        <v>6</v>
      </c>
      <c r="D376" s="2">
        <v>231</v>
      </c>
      <c r="E376" s="2">
        <v>110</v>
      </c>
      <c r="F376" s="2">
        <v>3415</v>
      </c>
      <c r="G376" s="8">
        <f t="shared" si="5"/>
        <v>3.2210834553440704E-2</v>
      </c>
      <c r="H376" s="8">
        <v>15.8</v>
      </c>
      <c r="I376" s="2">
        <v>81</v>
      </c>
      <c r="J376" t="s">
        <v>29</v>
      </c>
    </row>
    <row r="377" spans="1:10" ht="18.75" customHeight="1" x14ac:dyDescent="0.3">
      <c r="A377" t="s">
        <v>324</v>
      </c>
      <c r="B377" s="8">
        <v>20.2</v>
      </c>
      <c r="C377" s="2">
        <v>6</v>
      </c>
      <c r="D377" s="2">
        <v>200</v>
      </c>
      <c r="E377" s="2">
        <v>88</v>
      </c>
      <c r="F377" s="2">
        <v>3060</v>
      </c>
      <c r="G377" s="8">
        <f t="shared" si="5"/>
        <v>2.8758169934640521E-2</v>
      </c>
      <c r="H377" s="8">
        <v>17.100000000000001</v>
      </c>
      <c r="I377" s="2">
        <v>81</v>
      </c>
      <c r="J377" t="s">
        <v>29</v>
      </c>
    </row>
    <row r="378" spans="1:10" ht="18.75" customHeight="1" x14ac:dyDescent="0.3">
      <c r="A378" t="s">
        <v>325</v>
      </c>
      <c r="B378" s="8">
        <v>17.600000000000001</v>
      </c>
      <c r="C378" s="2">
        <v>6</v>
      </c>
      <c r="D378" s="2">
        <v>225</v>
      </c>
      <c r="E378" s="2">
        <v>85</v>
      </c>
      <c r="F378" s="2">
        <v>3465</v>
      </c>
      <c r="G378" s="8">
        <f t="shared" si="5"/>
        <v>2.4531024531024532E-2</v>
      </c>
      <c r="H378" s="8">
        <v>16.600000000000001</v>
      </c>
      <c r="I378" s="2">
        <v>81</v>
      </c>
      <c r="J378" t="s">
        <v>29</v>
      </c>
    </row>
    <row r="379" spans="1:10" ht="18.75" customHeight="1" x14ac:dyDescent="0.3">
      <c r="A379" t="s">
        <v>326</v>
      </c>
      <c r="B379" s="8">
        <v>26.6</v>
      </c>
      <c r="C379" s="2">
        <v>8</v>
      </c>
      <c r="D379" s="2">
        <v>350</v>
      </c>
      <c r="E379" s="2">
        <v>105</v>
      </c>
      <c r="F379" s="2">
        <v>3725</v>
      </c>
      <c r="G379" s="8">
        <f t="shared" si="5"/>
        <v>2.8187919463087248E-2</v>
      </c>
      <c r="H379" s="2">
        <v>19</v>
      </c>
      <c r="I379" s="2">
        <v>81</v>
      </c>
      <c r="J379" t="s">
        <v>29</v>
      </c>
    </row>
    <row r="380" spans="1:10" ht="18.75" customHeight="1" x14ac:dyDescent="0.3">
      <c r="A380" t="s">
        <v>327</v>
      </c>
      <c r="B380" s="2">
        <v>34</v>
      </c>
      <c r="C380" s="2">
        <v>4</v>
      </c>
      <c r="D380" s="2">
        <v>112</v>
      </c>
      <c r="E380" s="2">
        <v>88</v>
      </c>
      <c r="F380" s="2">
        <v>2395</v>
      </c>
      <c r="G380" s="8">
        <f t="shared" si="5"/>
        <v>3.6743215031315238E-2</v>
      </c>
      <c r="H380" s="2">
        <v>18</v>
      </c>
      <c r="I380" s="2">
        <v>82</v>
      </c>
      <c r="J380" t="s">
        <v>29</v>
      </c>
    </row>
    <row r="381" spans="1:10" ht="18.75" customHeight="1" x14ac:dyDescent="0.3">
      <c r="A381" t="s">
        <v>328</v>
      </c>
      <c r="B381" s="2">
        <v>32</v>
      </c>
      <c r="C381" s="2">
        <v>4</v>
      </c>
      <c r="D381" s="2">
        <v>135</v>
      </c>
      <c r="E381" s="2">
        <v>84</v>
      </c>
      <c r="F381" s="2">
        <v>2295</v>
      </c>
      <c r="G381" s="8">
        <f t="shared" si="5"/>
        <v>3.6601307189542485E-2</v>
      </c>
      <c r="H381" s="8">
        <v>11.6</v>
      </c>
      <c r="I381" s="2">
        <v>82</v>
      </c>
      <c r="J381" t="s">
        <v>29</v>
      </c>
    </row>
    <row r="382" spans="1:10" ht="18.75" customHeight="1" x14ac:dyDescent="0.3">
      <c r="A382" t="s">
        <v>329</v>
      </c>
      <c r="B382" s="2">
        <v>26</v>
      </c>
      <c r="C382" s="2">
        <v>4</v>
      </c>
      <c r="D382" s="2">
        <v>156</v>
      </c>
      <c r="E382" s="2">
        <v>92</v>
      </c>
      <c r="F382" s="2">
        <v>2585</v>
      </c>
      <c r="G382" s="8">
        <f t="shared" si="5"/>
        <v>3.5589941972920695E-2</v>
      </c>
      <c r="H382" s="8">
        <v>14.5</v>
      </c>
      <c r="I382" s="2">
        <v>82</v>
      </c>
      <c r="J382" t="s">
        <v>29</v>
      </c>
    </row>
    <row r="383" spans="1:10" ht="18.75" customHeight="1" x14ac:dyDescent="0.3">
      <c r="A383" t="s">
        <v>330</v>
      </c>
      <c r="B383" s="2">
        <v>36</v>
      </c>
      <c r="C383" s="2">
        <v>4</v>
      </c>
      <c r="D383" s="2">
        <v>135</v>
      </c>
      <c r="E383" s="2">
        <v>84</v>
      </c>
      <c r="F383" s="2">
        <v>2370</v>
      </c>
      <c r="G383" s="8">
        <f t="shared" si="5"/>
        <v>3.5443037974683546E-2</v>
      </c>
      <c r="H383" s="2">
        <v>13</v>
      </c>
      <c r="I383" s="2">
        <v>82</v>
      </c>
      <c r="J383" t="s">
        <v>29</v>
      </c>
    </row>
    <row r="384" spans="1:10" ht="18.75" customHeight="1" x14ac:dyDescent="0.3">
      <c r="A384" t="s">
        <v>331</v>
      </c>
      <c r="B384" s="2">
        <v>28</v>
      </c>
      <c r="C384" s="2">
        <v>4</v>
      </c>
      <c r="D384" s="2">
        <v>112</v>
      </c>
      <c r="E384" s="2">
        <v>88</v>
      </c>
      <c r="F384" s="2">
        <v>2605</v>
      </c>
      <c r="G384" s="8">
        <f t="shared" si="5"/>
        <v>3.3781190019193857E-2</v>
      </c>
      <c r="H384" s="8">
        <v>19.600000000000001</v>
      </c>
      <c r="I384" s="2">
        <v>82</v>
      </c>
      <c r="J384" t="s">
        <v>29</v>
      </c>
    </row>
    <row r="385" spans="1:10" ht="18.75" customHeight="1" x14ac:dyDescent="0.3">
      <c r="A385" t="s">
        <v>332</v>
      </c>
      <c r="B385" s="2">
        <v>27</v>
      </c>
      <c r="C385" s="2">
        <v>4</v>
      </c>
      <c r="D385" s="2">
        <v>112</v>
      </c>
      <c r="E385" s="2">
        <v>88</v>
      </c>
      <c r="F385" s="2">
        <v>2640</v>
      </c>
      <c r="G385" s="8">
        <f t="shared" si="5"/>
        <v>3.3333333333333333E-2</v>
      </c>
      <c r="H385" s="8">
        <v>18.600000000000001</v>
      </c>
      <c r="I385" s="2">
        <v>82</v>
      </c>
      <c r="J385" t="s">
        <v>29</v>
      </c>
    </row>
    <row r="386" spans="1:10" ht="18.75" customHeight="1" x14ac:dyDescent="0.3">
      <c r="A386" t="s">
        <v>333</v>
      </c>
      <c r="B386" s="2">
        <v>29</v>
      </c>
      <c r="C386" s="2">
        <v>4</v>
      </c>
      <c r="D386" s="2">
        <v>135</v>
      </c>
      <c r="E386" s="2">
        <v>84</v>
      </c>
      <c r="F386" s="2">
        <v>2525</v>
      </c>
      <c r="G386" s="8">
        <f t="shared" ref="G386:G399" si="6">IFERROR(E386/F386, "")</f>
        <v>3.3267326732673269E-2</v>
      </c>
      <c r="H386" s="2">
        <v>16</v>
      </c>
      <c r="I386" s="2">
        <v>82</v>
      </c>
      <c r="J386" t="s">
        <v>29</v>
      </c>
    </row>
    <row r="387" spans="1:10" ht="18.75" customHeight="1" x14ac:dyDescent="0.3">
      <c r="A387" t="s">
        <v>334</v>
      </c>
      <c r="B387" s="2">
        <v>31</v>
      </c>
      <c r="C387" s="2">
        <v>4</v>
      </c>
      <c r="D387" s="2">
        <v>112</v>
      </c>
      <c r="E387" s="2">
        <v>85</v>
      </c>
      <c r="F387" s="2">
        <v>2575</v>
      </c>
      <c r="G387" s="8">
        <f t="shared" si="6"/>
        <v>3.3009708737864081E-2</v>
      </c>
      <c r="H387" s="8">
        <v>16.2</v>
      </c>
      <c r="I387" s="2">
        <v>82</v>
      </c>
      <c r="J387" t="s">
        <v>29</v>
      </c>
    </row>
    <row r="388" spans="1:10" ht="18.75" customHeight="1" x14ac:dyDescent="0.3">
      <c r="A388" t="s">
        <v>335</v>
      </c>
      <c r="B388" s="2">
        <v>36</v>
      </c>
      <c r="C388" s="2">
        <v>4</v>
      </c>
      <c r="D388" s="2">
        <v>98</v>
      </c>
      <c r="E388" s="2">
        <v>70</v>
      </c>
      <c r="F388" s="2">
        <v>2125</v>
      </c>
      <c r="G388" s="8">
        <f t="shared" si="6"/>
        <v>3.2941176470588238E-2</v>
      </c>
      <c r="H388" s="8">
        <v>17.3</v>
      </c>
      <c r="I388" s="2">
        <v>82</v>
      </c>
      <c r="J388" t="s">
        <v>29</v>
      </c>
    </row>
    <row r="389" spans="1:10" ht="18.75" customHeight="1" x14ac:dyDescent="0.3">
      <c r="A389" t="s">
        <v>298</v>
      </c>
      <c r="B389" s="2">
        <v>27</v>
      </c>
      <c r="C389" s="2">
        <v>4</v>
      </c>
      <c r="D389" s="2">
        <v>151</v>
      </c>
      <c r="E389" s="2">
        <v>90</v>
      </c>
      <c r="F389" s="2">
        <v>2735</v>
      </c>
      <c r="G389" s="8">
        <f t="shared" si="6"/>
        <v>3.2906764168190127E-2</v>
      </c>
      <c r="H389" s="2">
        <v>18</v>
      </c>
      <c r="I389" s="2">
        <v>82</v>
      </c>
      <c r="J389" t="s">
        <v>29</v>
      </c>
    </row>
    <row r="390" spans="1:10" ht="18.75" customHeight="1" x14ac:dyDescent="0.3">
      <c r="A390" t="s">
        <v>336</v>
      </c>
      <c r="B390" s="2">
        <v>24</v>
      </c>
      <c r="C390" s="2">
        <v>4</v>
      </c>
      <c r="D390" s="2">
        <v>140</v>
      </c>
      <c r="E390" s="2">
        <v>92</v>
      </c>
      <c r="F390" s="2">
        <v>2865</v>
      </c>
      <c r="G390" s="8">
        <f t="shared" si="6"/>
        <v>3.2111692844677138E-2</v>
      </c>
      <c r="H390" s="8">
        <v>16.399999999999999</v>
      </c>
      <c r="I390" s="2">
        <v>82</v>
      </c>
      <c r="J390" t="s">
        <v>29</v>
      </c>
    </row>
    <row r="391" spans="1:10" ht="18.75" customHeight="1" x14ac:dyDescent="0.3">
      <c r="A391" t="s">
        <v>337</v>
      </c>
      <c r="B391" s="2">
        <v>27</v>
      </c>
      <c r="C391" s="2">
        <v>4</v>
      </c>
      <c r="D391" s="2">
        <v>140</v>
      </c>
      <c r="E391" s="2">
        <v>86</v>
      </c>
      <c r="F391" s="2">
        <v>2790</v>
      </c>
      <c r="G391" s="8">
        <f t="shared" si="6"/>
        <v>3.0824372759856632E-2</v>
      </c>
      <c r="H391" s="8">
        <v>15.6</v>
      </c>
      <c r="I391" s="2">
        <v>82</v>
      </c>
      <c r="J391" t="s">
        <v>29</v>
      </c>
    </row>
    <row r="392" spans="1:10" ht="18.75" customHeight="1" x14ac:dyDescent="0.3">
      <c r="A392" t="s">
        <v>338</v>
      </c>
      <c r="B392" s="2">
        <v>27</v>
      </c>
      <c r="C392" s="2">
        <v>4</v>
      </c>
      <c r="D392" s="2">
        <v>151</v>
      </c>
      <c r="E392" s="2">
        <v>90</v>
      </c>
      <c r="F392" s="2">
        <v>2950</v>
      </c>
      <c r="G392" s="8">
        <f t="shared" si="6"/>
        <v>3.0508474576271188E-2</v>
      </c>
      <c r="H392" s="8">
        <v>17.3</v>
      </c>
      <c r="I392" s="2">
        <v>82</v>
      </c>
      <c r="J392" t="s">
        <v>29</v>
      </c>
    </row>
    <row r="393" spans="1:10" ht="18.75" customHeight="1" x14ac:dyDescent="0.3">
      <c r="A393" t="s">
        <v>339</v>
      </c>
      <c r="B393" s="2">
        <v>31</v>
      </c>
      <c r="C393" s="2">
        <v>4</v>
      </c>
      <c r="D393" s="2">
        <v>119</v>
      </c>
      <c r="E393" s="2">
        <v>82</v>
      </c>
      <c r="F393" s="2">
        <v>2720</v>
      </c>
      <c r="G393" s="8">
        <f t="shared" si="6"/>
        <v>3.0147058823529412E-2</v>
      </c>
      <c r="H393" s="8">
        <v>19.399999999999999</v>
      </c>
      <c r="I393" s="2">
        <v>82</v>
      </c>
      <c r="J393" t="s">
        <v>29</v>
      </c>
    </row>
    <row r="394" spans="1:10" ht="18.75" customHeight="1" x14ac:dyDescent="0.3">
      <c r="A394" t="s">
        <v>340</v>
      </c>
      <c r="B394" s="2">
        <v>28</v>
      </c>
      <c r="C394" s="2">
        <v>4</v>
      </c>
      <c r="D394" s="2">
        <v>120</v>
      </c>
      <c r="E394" s="2">
        <v>79</v>
      </c>
      <c r="F394" s="2">
        <v>2625</v>
      </c>
      <c r="G394" s="8">
        <f t="shared" si="6"/>
        <v>3.0095238095238095E-2</v>
      </c>
      <c r="H394" s="8">
        <v>18.600000000000001</v>
      </c>
      <c r="I394" s="2">
        <v>82</v>
      </c>
      <c r="J394" t="s">
        <v>29</v>
      </c>
    </row>
    <row r="395" spans="1:10" ht="18.75" customHeight="1" x14ac:dyDescent="0.3">
      <c r="A395" t="s">
        <v>341</v>
      </c>
      <c r="B395" s="2">
        <v>38</v>
      </c>
      <c r="C395" s="2">
        <v>4</v>
      </c>
      <c r="D395" s="2">
        <v>105</v>
      </c>
      <c r="E395" s="2">
        <v>63</v>
      </c>
      <c r="F395" s="2">
        <v>2125</v>
      </c>
      <c r="G395" s="8">
        <f t="shared" si="6"/>
        <v>2.9647058823529412E-2</v>
      </c>
      <c r="H395" s="8">
        <v>14.7</v>
      </c>
      <c r="I395" s="2">
        <v>82</v>
      </c>
      <c r="J395" t="s">
        <v>29</v>
      </c>
    </row>
    <row r="396" spans="1:10" ht="18.75" customHeight="1" x14ac:dyDescent="0.3">
      <c r="A396" t="s">
        <v>342</v>
      </c>
      <c r="B396" s="2">
        <v>23</v>
      </c>
      <c r="C396" s="2">
        <v>4</v>
      </c>
      <c r="D396" s="2">
        <v>151</v>
      </c>
      <c r="F396" s="2">
        <v>3035</v>
      </c>
      <c r="G396" s="2">
        <f t="shared" si="6"/>
        <v>0</v>
      </c>
      <c r="H396" s="8">
        <v>20.5</v>
      </c>
      <c r="I396" s="2">
        <v>82</v>
      </c>
      <c r="J396" t="s">
        <v>29</v>
      </c>
    </row>
    <row r="397" spans="1:10" ht="18.75" customHeight="1" x14ac:dyDescent="0.3">
      <c r="A397" t="s">
        <v>343</v>
      </c>
      <c r="B397" s="2">
        <v>22</v>
      </c>
      <c r="C397" s="2">
        <v>6</v>
      </c>
      <c r="D397" s="2">
        <v>232</v>
      </c>
      <c r="E397" s="2">
        <v>112</v>
      </c>
      <c r="F397" s="2">
        <v>2835</v>
      </c>
      <c r="G397" s="8">
        <f t="shared" si="6"/>
        <v>3.9506172839506172E-2</v>
      </c>
      <c r="H397" s="8">
        <v>14.7</v>
      </c>
      <c r="I397" s="2">
        <v>82</v>
      </c>
      <c r="J397" t="s">
        <v>29</v>
      </c>
    </row>
    <row r="398" spans="1:10" ht="18.75" customHeight="1" x14ac:dyDescent="0.3">
      <c r="A398" t="s">
        <v>344</v>
      </c>
      <c r="B398" s="2">
        <v>25</v>
      </c>
      <c r="C398" s="2">
        <v>6</v>
      </c>
      <c r="D398" s="2">
        <v>181</v>
      </c>
      <c r="E398" s="2">
        <v>110</v>
      </c>
      <c r="F398" s="2">
        <v>2945</v>
      </c>
      <c r="G398" s="8">
        <f t="shared" si="6"/>
        <v>3.7351443123938878E-2</v>
      </c>
      <c r="H398" s="8">
        <v>16.399999999999999</v>
      </c>
      <c r="I398" s="2">
        <v>82</v>
      </c>
      <c r="J398" t="s">
        <v>29</v>
      </c>
    </row>
    <row r="399" spans="1:10" ht="18.75" customHeight="1" x14ac:dyDescent="0.3">
      <c r="A399" t="s">
        <v>345</v>
      </c>
      <c r="B399" s="2">
        <v>38</v>
      </c>
      <c r="C399" s="2">
        <v>6</v>
      </c>
      <c r="D399" s="2">
        <v>262</v>
      </c>
      <c r="E399" s="2">
        <v>85</v>
      </c>
      <c r="F399" s="2">
        <v>3015</v>
      </c>
      <c r="G399" s="8">
        <f t="shared" si="6"/>
        <v>2.8192371475953566E-2</v>
      </c>
      <c r="H399" s="2">
        <v>17</v>
      </c>
      <c r="I399" s="2">
        <v>82</v>
      </c>
      <c r="J399" t="s">
        <v>29</v>
      </c>
    </row>
    <row r="400" spans="1:10" ht="18.75" customHeight="1" x14ac:dyDescent="0.3"/>
    <row r="401" spans="1:3" ht="18.75" customHeight="1" x14ac:dyDescent="0.3"/>
    <row r="402" spans="1:3" ht="18.75" customHeight="1" x14ac:dyDescent="0.3">
      <c r="A402" t="s">
        <v>461</v>
      </c>
    </row>
    <row r="403" spans="1:3" ht="18.75" customHeight="1" x14ac:dyDescent="0.3">
      <c r="A403" t="s">
        <v>462</v>
      </c>
      <c r="B403" s="4" t="s">
        <v>37</v>
      </c>
      <c r="C403" s="1" t="s">
        <v>463</v>
      </c>
    </row>
    <row r="404" spans="1:3" ht="18.75" customHeight="1" x14ac:dyDescent="0.3">
      <c r="A404" t="s">
        <v>163</v>
      </c>
      <c r="B404" s="8">
        <v>7.2909915748541804E-2</v>
      </c>
      <c r="C404" s="2">
        <v>1</v>
      </c>
    </row>
    <row r="405" spans="1:3" ht="18.75" customHeight="1" x14ac:dyDescent="0.3">
      <c r="A405" t="s">
        <v>213</v>
      </c>
      <c r="B405" s="8">
        <v>5.3763440860215055E-2</v>
      </c>
      <c r="C405" s="2">
        <v>2</v>
      </c>
    </row>
    <row r="406" spans="1:3" ht="18.75" customHeight="1" x14ac:dyDescent="0.3">
      <c r="A406" t="s">
        <v>164</v>
      </c>
      <c r="B406" s="8">
        <v>5.0847457627118647E-2</v>
      </c>
      <c r="C406" s="2">
        <v>3</v>
      </c>
    </row>
    <row r="407" spans="1:3" ht="18.75" customHeight="1" x14ac:dyDescent="0.3">
      <c r="A407" t="s">
        <v>41</v>
      </c>
      <c r="B407" s="8">
        <v>5.0581915846016116E-2</v>
      </c>
      <c r="C407" s="2">
        <v>4</v>
      </c>
    </row>
    <row r="408" spans="1:3" ht="18.75" customHeight="1" x14ac:dyDescent="0.3">
      <c r="A408" t="s">
        <v>165</v>
      </c>
      <c r="B408" s="8">
        <v>5.0528249885163065E-2</v>
      </c>
      <c r="C408" s="2">
        <v>5</v>
      </c>
    </row>
    <row r="409" spans="1:3" ht="18.75" customHeight="1" x14ac:dyDescent="0.3">
      <c r="A409" t="s">
        <v>166</v>
      </c>
      <c r="B409" s="8">
        <v>4.9860853432282005E-2</v>
      </c>
      <c r="C409" s="2">
        <v>6</v>
      </c>
    </row>
    <row r="410" spans="1:3" ht="18.75" customHeight="1" x14ac:dyDescent="0.3">
      <c r="A410" t="s">
        <v>167</v>
      </c>
      <c r="B410" s="8">
        <v>4.9350649350649353E-2</v>
      </c>
      <c r="C410" s="2">
        <v>7</v>
      </c>
    </row>
    <row r="411" spans="1:3" ht="18.75" customHeight="1" x14ac:dyDescent="0.3">
      <c r="A411" t="s">
        <v>214</v>
      </c>
      <c r="B411" s="8">
        <v>4.9126637554585149E-2</v>
      </c>
      <c r="C411" s="2">
        <v>8</v>
      </c>
    </row>
    <row r="412" spans="1:3" ht="18.75" customHeight="1" x14ac:dyDescent="0.3">
      <c r="A412" t="s">
        <v>283</v>
      </c>
      <c r="B412" s="8">
        <v>4.7895500725689405E-2</v>
      </c>
      <c r="C412" s="2">
        <v>9</v>
      </c>
    </row>
    <row r="413" spans="1:3" ht="18.75" customHeight="1" x14ac:dyDescent="0.3">
      <c r="A413" t="s">
        <v>168</v>
      </c>
      <c r="B413" s="8">
        <v>4.7923322683706068E-2</v>
      </c>
      <c r="C413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R413"/>
  <sheetViews>
    <sheetView workbookViewId="0"/>
  </sheetViews>
  <sheetFormatPr defaultRowHeight="14.4" x14ac:dyDescent="0.3"/>
  <cols>
    <col min="1" max="1" width="13.5546875" style="4" bestFit="1" customWidth="1"/>
    <col min="2" max="2" width="9.44140625" style="5" bestFit="1" customWidth="1"/>
    <col min="3" max="3" width="11.5546875" bestFit="1" customWidth="1"/>
    <col min="4" max="4" width="13.5546875" bestFit="1" customWidth="1"/>
    <col min="5" max="5" width="13.5546875" style="6" bestFit="1" customWidth="1"/>
    <col min="6" max="6" width="17.33203125" style="5" bestFit="1" customWidth="1"/>
    <col min="7" max="7" width="7.44140625" style="6" bestFit="1" customWidth="1"/>
    <col min="8" max="8" width="17.33203125" style="6" bestFit="1" customWidth="1"/>
    <col min="9" max="9" width="9.109375" style="5" bestFit="1" customWidth="1"/>
    <col min="10" max="10" width="23.109375" style="5" bestFit="1" customWidth="1"/>
    <col min="11" max="12" width="11.6640625" style="5" bestFit="1" customWidth="1"/>
    <col min="13" max="14" width="13.5546875" bestFit="1" customWidth="1"/>
    <col min="15" max="15" width="13.5546875" style="5" bestFit="1" customWidth="1"/>
    <col min="16" max="16" width="11.88671875" style="5" bestFit="1" customWidth="1"/>
    <col min="17" max="18" width="13.5546875" style="5" bestFit="1" customWidth="1"/>
  </cols>
  <sheetData>
    <row r="1" spans="1:18" s="10" customFormat="1" ht="18.75" customHeight="1" x14ac:dyDescent="0.3">
      <c r="A1" s="13" t="s">
        <v>33</v>
      </c>
      <c r="B1" s="32" t="s">
        <v>432</v>
      </c>
      <c r="C1" s="10" t="s">
        <v>446</v>
      </c>
      <c r="E1" s="29"/>
      <c r="F1" s="13" t="s">
        <v>447</v>
      </c>
      <c r="G1" s="29"/>
      <c r="H1" s="29"/>
      <c r="I1" s="32"/>
      <c r="J1" s="32"/>
      <c r="K1" s="13" t="s">
        <v>448</v>
      </c>
      <c r="L1" s="32"/>
      <c r="O1" s="32"/>
      <c r="P1" s="13" t="s">
        <v>439</v>
      </c>
      <c r="Q1" s="32"/>
      <c r="R1" s="32"/>
    </row>
    <row r="2" spans="1:18" ht="18.75" customHeight="1" x14ac:dyDescent="0.3">
      <c r="A2" s="2">
        <v>26</v>
      </c>
      <c r="B2" s="8">
        <f t="shared" ref="B2:B65" si="0">IFERROR((A2-$P$3) / $R$3, "")</f>
        <v>0.3183930939875857</v>
      </c>
      <c r="C2" t="str">
        <f t="shared" ref="C2:C65" si="1">IF(ABS(B2)&gt;2,"Yes","No")</f>
        <v>No</v>
      </c>
      <c r="E2" s="6" t="s">
        <v>449</v>
      </c>
      <c r="F2" s="5" t="s">
        <v>450</v>
      </c>
      <c r="G2" s="6" t="s">
        <v>390</v>
      </c>
      <c r="H2" s="6" t="s">
        <v>451</v>
      </c>
      <c r="I2" s="5" t="s">
        <v>398</v>
      </c>
      <c r="J2" s="5" t="s">
        <v>436</v>
      </c>
      <c r="K2" s="5" t="s">
        <v>452</v>
      </c>
      <c r="L2" s="5" t="s">
        <v>453</v>
      </c>
      <c r="O2" s="5" t="s">
        <v>399</v>
      </c>
      <c r="P2" s="5" t="s">
        <v>389</v>
      </c>
      <c r="Q2" s="5" t="s">
        <v>454</v>
      </c>
      <c r="R2" s="5" t="s">
        <v>455</v>
      </c>
    </row>
    <row r="3" spans="1:18" ht="18.75" customHeight="1" x14ac:dyDescent="0.3">
      <c r="A3" s="2">
        <v>25</v>
      </c>
      <c r="B3" s="8">
        <f t="shared" si="0"/>
        <v>0.19028911965776454</v>
      </c>
      <c r="C3" t="str">
        <f t="shared" si="1"/>
        <v>No</v>
      </c>
      <c r="E3" s="2">
        <f>MIN(A2:A399)</f>
        <v>9</v>
      </c>
      <c r="F3" s="8">
        <f>_xlfn.QUARTILE.INC(A2:A399,1)</f>
        <v>17.5</v>
      </c>
      <c r="G3" s="2">
        <f>MEDIAN(A2:A399)</f>
        <v>23</v>
      </c>
      <c r="H3" s="2">
        <f>_xlfn.QUARTILE.INC(A2:A399,3)</f>
        <v>29</v>
      </c>
      <c r="I3" s="8">
        <f>MAX(A2:A399)</f>
        <v>46.6</v>
      </c>
      <c r="J3" s="8">
        <f>H3-F3</f>
        <v>11.5</v>
      </c>
      <c r="K3" s="8">
        <f>F3-1.5*J3</f>
        <v>0.25</v>
      </c>
      <c r="L3" s="8">
        <f>H3-1.5*J3</f>
        <v>11.75</v>
      </c>
      <c r="O3" s="8">
        <f>SUM(A2:A399)</f>
        <v>9358.7999999999993</v>
      </c>
      <c r="P3" s="8">
        <f>O3/COUNT(A2:A399)</f>
        <v>23.514572864321607</v>
      </c>
      <c r="Q3" s="8">
        <f>AVERAGE(A2:A399)</f>
        <v>23.514572864321607</v>
      </c>
      <c r="R3" s="8">
        <f>STDEVP(A2:A399)</f>
        <v>7.8061590612744283</v>
      </c>
    </row>
    <row r="4" spans="1:18" ht="18.75" customHeight="1" x14ac:dyDescent="0.3">
      <c r="A4" s="2">
        <v>24</v>
      </c>
      <c r="B4" s="8">
        <f t="shared" si="0"/>
        <v>6.2185145327943406E-2</v>
      </c>
      <c r="C4" t="str">
        <f t="shared" si="1"/>
        <v>No</v>
      </c>
    </row>
    <row r="5" spans="1:18" ht="18.75" customHeight="1" x14ac:dyDescent="0.3">
      <c r="A5" s="2">
        <v>25</v>
      </c>
      <c r="B5" s="8">
        <f t="shared" si="0"/>
        <v>0.19028911965776454</v>
      </c>
      <c r="C5" t="str">
        <f t="shared" si="1"/>
        <v>No</v>
      </c>
    </row>
    <row r="6" spans="1:18" ht="18.75" customHeight="1" x14ac:dyDescent="0.3">
      <c r="A6" s="2">
        <v>26</v>
      </c>
      <c r="B6" s="8">
        <f t="shared" si="0"/>
        <v>0.3183930939875857</v>
      </c>
      <c r="C6" t="str">
        <f t="shared" si="1"/>
        <v>No</v>
      </c>
    </row>
    <row r="7" spans="1:18" ht="18.75" customHeight="1" x14ac:dyDescent="0.3">
      <c r="A7" s="2">
        <v>28</v>
      </c>
      <c r="B7" s="8">
        <f t="shared" si="0"/>
        <v>0.57460104264722789</v>
      </c>
      <c r="C7" t="str">
        <f t="shared" si="1"/>
        <v>No</v>
      </c>
    </row>
    <row r="8" spans="1:18" ht="18.75" customHeight="1" x14ac:dyDescent="0.3">
      <c r="A8" s="2">
        <v>30</v>
      </c>
      <c r="B8" s="8">
        <f t="shared" si="0"/>
        <v>0.83080899130687025</v>
      </c>
      <c r="C8" t="str">
        <f t="shared" si="1"/>
        <v>No</v>
      </c>
    </row>
    <row r="9" spans="1:18" ht="18.75" customHeight="1" x14ac:dyDescent="0.3">
      <c r="A9" s="2">
        <v>30</v>
      </c>
      <c r="B9" s="8">
        <f t="shared" si="0"/>
        <v>0.83080899130687025</v>
      </c>
      <c r="C9" t="str">
        <f t="shared" si="1"/>
        <v>No</v>
      </c>
    </row>
    <row r="10" spans="1:18" ht="18.75" customHeight="1" x14ac:dyDescent="0.3">
      <c r="A10" s="2">
        <v>27</v>
      </c>
      <c r="B10" s="8">
        <f t="shared" si="0"/>
        <v>0.44649706831740682</v>
      </c>
      <c r="C10" t="str">
        <f t="shared" si="1"/>
        <v>No</v>
      </c>
    </row>
    <row r="11" spans="1:18" ht="18.75" customHeight="1" x14ac:dyDescent="0.3">
      <c r="A11" s="2">
        <v>18</v>
      </c>
      <c r="B11" s="8">
        <f t="shared" si="0"/>
        <v>-0.70643870065098335</v>
      </c>
      <c r="C11" t="str">
        <f t="shared" si="1"/>
        <v>No</v>
      </c>
    </row>
    <row r="12" spans="1:18" ht="18.75" customHeight="1" x14ac:dyDescent="0.3">
      <c r="A12" s="2">
        <v>26</v>
      </c>
      <c r="B12" s="8">
        <f t="shared" si="0"/>
        <v>0.3183930939875857</v>
      </c>
      <c r="C12" t="str">
        <f t="shared" si="1"/>
        <v>No</v>
      </c>
    </row>
    <row r="13" spans="1:18" ht="18.75" customHeight="1" x14ac:dyDescent="0.3">
      <c r="A13" s="2">
        <v>22</v>
      </c>
      <c r="B13" s="8">
        <f t="shared" si="0"/>
        <v>-0.19402280333169886</v>
      </c>
      <c r="C13" t="str">
        <f t="shared" si="1"/>
        <v>No</v>
      </c>
    </row>
    <row r="14" spans="1:18" ht="18.75" customHeight="1" x14ac:dyDescent="0.3">
      <c r="A14" s="2">
        <v>21</v>
      </c>
      <c r="B14" s="8">
        <f t="shared" si="0"/>
        <v>-0.32212677766151998</v>
      </c>
      <c r="C14" t="str">
        <f t="shared" si="1"/>
        <v>No</v>
      </c>
    </row>
    <row r="15" spans="1:18" ht="18.75" customHeight="1" x14ac:dyDescent="0.3">
      <c r="A15" s="2">
        <v>23</v>
      </c>
      <c r="B15" s="8">
        <f t="shared" si="0"/>
        <v>-6.5918829001877732E-2</v>
      </c>
      <c r="C15" t="str">
        <f t="shared" si="1"/>
        <v>No</v>
      </c>
    </row>
    <row r="16" spans="1:18" ht="18.75" customHeight="1" x14ac:dyDescent="0.3">
      <c r="A16" s="2">
        <v>24</v>
      </c>
      <c r="B16" s="8">
        <f t="shared" si="0"/>
        <v>6.2185145327943406E-2</v>
      </c>
      <c r="C16" t="str">
        <f t="shared" si="1"/>
        <v>No</v>
      </c>
    </row>
    <row r="17" spans="1:3" ht="18.75" customHeight="1" x14ac:dyDescent="0.3">
      <c r="A17" s="2">
        <v>26</v>
      </c>
      <c r="B17" s="8">
        <f t="shared" si="0"/>
        <v>0.3183930939875857</v>
      </c>
      <c r="C17" t="str">
        <f t="shared" si="1"/>
        <v>No</v>
      </c>
    </row>
    <row r="18" spans="1:3" ht="18.75" customHeight="1" x14ac:dyDescent="0.3">
      <c r="A18" s="2">
        <v>19</v>
      </c>
      <c r="B18" s="8">
        <f t="shared" si="0"/>
        <v>-0.57833472632116223</v>
      </c>
      <c r="C18" t="str">
        <f t="shared" si="1"/>
        <v>No</v>
      </c>
    </row>
    <row r="19" spans="1:3" ht="18.75" customHeight="1" x14ac:dyDescent="0.3">
      <c r="A19" s="2">
        <v>20</v>
      </c>
      <c r="B19" s="8">
        <f t="shared" si="0"/>
        <v>-0.45023075199134116</v>
      </c>
      <c r="C19" t="str">
        <f t="shared" si="1"/>
        <v>No</v>
      </c>
    </row>
    <row r="20" spans="1:3" ht="18.75" customHeight="1" x14ac:dyDescent="0.3">
      <c r="A20" s="2">
        <v>24</v>
      </c>
      <c r="B20" s="8">
        <f t="shared" si="0"/>
        <v>6.2185145327943406E-2</v>
      </c>
      <c r="C20" t="str">
        <f t="shared" si="1"/>
        <v>No</v>
      </c>
    </row>
    <row r="21" spans="1:3" ht="18.75" customHeight="1" x14ac:dyDescent="0.3">
      <c r="A21" s="2">
        <v>29</v>
      </c>
      <c r="B21" s="8">
        <f t="shared" si="0"/>
        <v>0.70270501697704912</v>
      </c>
      <c r="C21" t="str">
        <f t="shared" si="1"/>
        <v>No</v>
      </c>
    </row>
    <row r="22" spans="1:3" ht="18.75" customHeight="1" x14ac:dyDescent="0.3">
      <c r="A22" s="2">
        <v>26</v>
      </c>
      <c r="B22" s="8">
        <f t="shared" si="0"/>
        <v>0.3183930939875857</v>
      </c>
      <c r="C22" t="str">
        <f t="shared" si="1"/>
        <v>No</v>
      </c>
    </row>
    <row r="23" spans="1:3" ht="18.75" customHeight="1" x14ac:dyDescent="0.3">
      <c r="A23" s="2">
        <v>29</v>
      </c>
      <c r="B23" s="8">
        <f t="shared" si="0"/>
        <v>0.70270501697704912</v>
      </c>
      <c r="C23" t="str">
        <f t="shared" si="1"/>
        <v>No</v>
      </c>
    </row>
    <row r="24" spans="1:3" ht="18.75" customHeight="1" x14ac:dyDescent="0.3">
      <c r="A24" s="2">
        <v>24</v>
      </c>
      <c r="B24" s="8">
        <f t="shared" si="0"/>
        <v>6.2185145327943406E-2</v>
      </c>
      <c r="C24" t="str">
        <f t="shared" si="1"/>
        <v>No</v>
      </c>
    </row>
    <row r="25" spans="1:3" ht="18.75" customHeight="1" x14ac:dyDescent="0.3">
      <c r="A25" s="2">
        <v>26</v>
      </c>
      <c r="B25" s="8">
        <f t="shared" si="0"/>
        <v>0.3183930939875857</v>
      </c>
      <c r="C25" t="str">
        <f t="shared" si="1"/>
        <v>No</v>
      </c>
    </row>
    <row r="26" spans="1:3" ht="18.75" customHeight="1" x14ac:dyDescent="0.3">
      <c r="A26" s="2">
        <v>26</v>
      </c>
      <c r="B26" s="8">
        <f t="shared" si="0"/>
        <v>0.3183930939875857</v>
      </c>
      <c r="C26" t="str">
        <f t="shared" si="1"/>
        <v>No</v>
      </c>
    </row>
    <row r="27" spans="1:3" ht="18.75" customHeight="1" x14ac:dyDescent="0.3">
      <c r="A27" s="2">
        <v>31</v>
      </c>
      <c r="B27" s="8">
        <f t="shared" si="0"/>
        <v>0.95891296563669137</v>
      </c>
      <c r="C27" t="str">
        <f t="shared" si="1"/>
        <v>No</v>
      </c>
    </row>
    <row r="28" spans="1:3" ht="18.75" customHeight="1" x14ac:dyDescent="0.3">
      <c r="A28" s="2">
        <v>26</v>
      </c>
      <c r="B28" s="8">
        <f t="shared" si="0"/>
        <v>0.3183930939875857</v>
      </c>
      <c r="C28" t="str">
        <f t="shared" si="1"/>
        <v>No</v>
      </c>
    </row>
    <row r="29" spans="1:3" ht="18.75" customHeight="1" x14ac:dyDescent="0.3">
      <c r="A29" s="2">
        <v>25</v>
      </c>
      <c r="B29" s="8">
        <f t="shared" si="0"/>
        <v>0.19028911965776454</v>
      </c>
      <c r="C29" t="str">
        <f t="shared" si="1"/>
        <v>No</v>
      </c>
    </row>
    <row r="30" spans="1:3" ht="18.75" customHeight="1" x14ac:dyDescent="0.3">
      <c r="A30" s="2">
        <v>29</v>
      </c>
      <c r="B30" s="8">
        <f t="shared" si="0"/>
        <v>0.70270501697704912</v>
      </c>
      <c r="C30" t="str">
        <f t="shared" si="1"/>
        <v>No</v>
      </c>
    </row>
    <row r="31" spans="1:3" ht="18.75" customHeight="1" x14ac:dyDescent="0.3">
      <c r="A31" s="2">
        <v>23</v>
      </c>
      <c r="B31" s="8">
        <f t="shared" si="0"/>
        <v>-6.5918829001877732E-2</v>
      </c>
      <c r="C31" t="str">
        <f t="shared" si="1"/>
        <v>No</v>
      </c>
    </row>
    <row r="32" spans="1:3" ht="18.75" customHeight="1" x14ac:dyDescent="0.3">
      <c r="A32" s="2">
        <v>22</v>
      </c>
      <c r="B32" s="8">
        <f t="shared" si="0"/>
        <v>-0.19402280333169886</v>
      </c>
      <c r="C32" t="str">
        <f t="shared" si="1"/>
        <v>No</v>
      </c>
    </row>
    <row r="33" spans="1:3" ht="18.75" customHeight="1" x14ac:dyDescent="0.3">
      <c r="A33" s="2">
        <v>25</v>
      </c>
      <c r="B33" s="8">
        <f t="shared" si="0"/>
        <v>0.19028911965776454</v>
      </c>
      <c r="C33" t="str">
        <f t="shared" si="1"/>
        <v>No</v>
      </c>
    </row>
    <row r="34" spans="1:3" ht="18.75" customHeight="1" x14ac:dyDescent="0.3">
      <c r="A34" s="2">
        <v>23</v>
      </c>
      <c r="B34" s="8">
        <f t="shared" si="0"/>
        <v>-6.5918829001877732E-2</v>
      </c>
      <c r="C34" t="str">
        <f t="shared" si="1"/>
        <v>No</v>
      </c>
    </row>
    <row r="35" spans="1:3" ht="18.75" customHeight="1" x14ac:dyDescent="0.3">
      <c r="A35" s="8">
        <v>29.5</v>
      </c>
      <c r="B35" s="8">
        <f t="shared" si="0"/>
        <v>0.76675700414195969</v>
      </c>
      <c r="C35" t="str">
        <f t="shared" si="1"/>
        <v>No</v>
      </c>
    </row>
    <row r="36" spans="1:3" ht="18.75" customHeight="1" x14ac:dyDescent="0.3">
      <c r="A36" s="2">
        <v>27</v>
      </c>
      <c r="B36" s="8">
        <f t="shared" si="0"/>
        <v>0.44649706831740682</v>
      </c>
      <c r="C36" t="str">
        <f t="shared" si="1"/>
        <v>No</v>
      </c>
    </row>
    <row r="37" spans="1:3" ht="18.75" customHeight="1" x14ac:dyDescent="0.3">
      <c r="A37" s="2">
        <v>25</v>
      </c>
      <c r="B37" s="8">
        <f t="shared" si="0"/>
        <v>0.19028911965776454</v>
      </c>
      <c r="C37" t="str">
        <f t="shared" si="1"/>
        <v>No</v>
      </c>
    </row>
    <row r="38" spans="1:3" ht="18.75" customHeight="1" x14ac:dyDescent="0.3">
      <c r="A38" s="2">
        <v>29</v>
      </c>
      <c r="B38" s="8">
        <f t="shared" si="0"/>
        <v>0.70270501697704912</v>
      </c>
      <c r="C38" t="str">
        <f t="shared" si="1"/>
        <v>No</v>
      </c>
    </row>
    <row r="39" spans="1:3" ht="18.75" customHeight="1" x14ac:dyDescent="0.3">
      <c r="A39" s="2">
        <v>28</v>
      </c>
      <c r="B39" s="8">
        <f t="shared" si="0"/>
        <v>0.57460104264722789</v>
      </c>
      <c r="C39" t="str">
        <f t="shared" si="1"/>
        <v>No</v>
      </c>
    </row>
    <row r="40" spans="1:3" ht="18.75" customHeight="1" x14ac:dyDescent="0.3">
      <c r="A40" s="2">
        <v>20</v>
      </c>
      <c r="B40" s="8">
        <f t="shared" si="0"/>
        <v>-0.45023075199134116</v>
      </c>
      <c r="C40" t="str">
        <f t="shared" si="1"/>
        <v>No</v>
      </c>
    </row>
    <row r="41" spans="1:3" ht="18.75" customHeight="1" x14ac:dyDescent="0.3">
      <c r="A41" s="2">
        <v>19</v>
      </c>
      <c r="B41" s="8">
        <f t="shared" si="0"/>
        <v>-0.57833472632116223</v>
      </c>
      <c r="C41" t="str">
        <f t="shared" si="1"/>
        <v>No</v>
      </c>
    </row>
    <row r="42" spans="1:3" ht="18.75" customHeight="1" x14ac:dyDescent="0.3">
      <c r="A42" s="8">
        <v>16.5</v>
      </c>
      <c r="B42" s="8">
        <f t="shared" si="0"/>
        <v>-0.89859466214571515</v>
      </c>
      <c r="C42" t="str">
        <f t="shared" si="1"/>
        <v>No</v>
      </c>
    </row>
    <row r="43" spans="1:3" ht="18.75" customHeight="1" x14ac:dyDescent="0.3">
      <c r="A43" s="8">
        <v>21.5</v>
      </c>
      <c r="B43" s="8">
        <f t="shared" si="0"/>
        <v>-0.25807479049660942</v>
      </c>
      <c r="C43" t="str">
        <f t="shared" si="1"/>
        <v>No</v>
      </c>
    </row>
    <row r="44" spans="1:3" ht="18.75" customHeight="1" x14ac:dyDescent="0.3">
      <c r="A44" s="2">
        <v>29</v>
      </c>
      <c r="B44" s="8">
        <f t="shared" si="0"/>
        <v>0.70270501697704912</v>
      </c>
      <c r="C44" t="str">
        <f t="shared" si="1"/>
        <v>No</v>
      </c>
    </row>
    <row r="45" spans="1:3" ht="18.75" customHeight="1" x14ac:dyDescent="0.3">
      <c r="A45" s="8">
        <v>30.5</v>
      </c>
      <c r="B45" s="8">
        <f t="shared" si="0"/>
        <v>0.89486097847178081</v>
      </c>
      <c r="C45" t="str">
        <f t="shared" si="1"/>
        <v>No</v>
      </c>
    </row>
    <row r="46" spans="1:3" ht="18.75" customHeight="1" x14ac:dyDescent="0.3">
      <c r="A46" s="2">
        <v>36</v>
      </c>
      <c r="B46" s="8">
        <f t="shared" si="0"/>
        <v>1.5994328372857971</v>
      </c>
      <c r="C46" t="str">
        <f t="shared" si="1"/>
        <v>No</v>
      </c>
    </row>
    <row r="47" spans="1:3" ht="18.75" customHeight="1" x14ac:dyDescent="0.3">
      <c r="A47" s="8">
        <v>21.6</v>
      </c>
      <c r="B47" s="8">
        <f t="shared" si="0"/>
        <v>-0.24526439306362713</v>
      </c>
      <c r="C47" t="str">
        <f t="shared" si="1"/>
        <v>No</v>
      </c>
    </row>
    <row r="48" spans="1:3" ht="18.75" customHeight="1" x14ac:dyDescent="0.3">
      <c r="A48" s="8">
        <v>31.5</v>
      </c>
      <c r="B48" s="8">
        <f t="shared" si="0"/>
        <v>1.0229649528016018</v>
      </c>
      <c r="C48" t="str">
        <f t="shared" si="1"/>
        <v>No</v>
      </c>
    </row>
    <row r="49" spans="1:3" ht="18.75" customHeight="1" x14ac:dyDescent="0.3">
      <c r="A49" s="8">
        <v>43.1</v>
      </c>
      <c r="B49" s="8">
        <f t="shared" si="0"/>
        <v>2.5089710550275273</v>
      </c>
      <c r="C49" t="str">
        <f t="shared" si="1"/>
        <v>Yes</v>
      </c>
    </row>
    <row r="50" spans="1:3" ht="18.75" customHeight="1" x14ac:dyDescent="0.3">
      <c r="A50" s="8">
        <v>20.3</v>
      </c>
      <c r="B50" s="8">
        <f t="shared" si="0"/>
        <v>-0.41179955969239468</v>
      </c>
      <c r="C50" t="str">
        <f t="shared" si="1"/>
        <v>No</v>
      </c>
    </row>
    <row r="51" spans="1:3" ht="18.75" customHeight="1" x14ac:dyDescent="0.3">
      <c r="A51" s="2">
        <v>17</v>
      </c>
      <c r="B51" s="8">
        <f t="shared" si="0"/>
        <v>-0.83454267498080459</v>
      </c>
      <c r="C51" t="str">
        <f t="shared" si="1"/>
        <v>No</v>
      </c>
    </row>
    <row r="52" spans="1:3" ht="18.75" customHeight="1" x14ac:dyDescent="0.3">
      <c r="A52" s="8">
        <v>16.2</v>
      </c>
      <c r="B52" s="8">
        <f t="shared" si="0"/>
        <v>-0.93702585444466158</v>
      </c>
      <c r="C52" t="str">
        <f t="shared" si="1"/>
        <v>No</v>
      </c>
    </row>
    <row r="53" spans="1:3" ht="18.75" customHeight="1" x14ac:dyDescent="0.3">
      <c r="A53" s="8">
        <v>31.9</v>
      </c>
      <c r="B53" s="8">
        <f t="shared" si="0"/>
        <v>1.0742065425335301</v>
      </c>
      <c r="C53" t="str">
        <f t="shared" si="1"/>
        <v>No</v>
      </c>
    </row>
    <row r="54" spans="1:3" ht="18.75" customHeight="1" x14ac:dyDescent="0.3">
      <c r="A54" s="8">
        <v>37.299999999999997</v>
      </c>
      <c r="B54" s="8">
        <f t="shared" si="0"/>
        <v>1.7659680039145642</v>
      </c>
      <c r="C54" t="str">
        <f t="shared" si="1"/>
        <v>No</v>
      </c>
    </row>
    <row r="55" spans="1:3" ht="18.75" customHeight="1" x14ac:dyDescent="0.3">
      <c r="A55" s="8">
        <v>27.2</v>
      </c>
      <c r="B55" s="8">
        <f t="shared" si="0"/>
        <v>0.47211786318337096</v>
      </c>
      <c r="C55" t="str">
        <f t="shared" si="1"/>
        <v>No</v>
      </c>
    </row>
    <row r="56" spans="1:3" ht="18.75" customHeight="1" x14ac:dyDescent="0.3">
      <c r="A56" s="8">
        <v>25.4</v>
      </c>
      <c r="B56" s="8">
        <f t="shared" si="0"/>
        <v>0.24153070938969282</v>
      </c>
      <c r="C56" t="str">
        <f t="shared" si="1"/>
        <v>No</v>
      </c>
    </row>
    <row r="57" spans="1:3" ht="18.75" customHeight="1" x14ac:dyDescent="0.3">
      <c r="A57" s="8">
        <v>34.299999999999997</v>
      </c>
      <c r="B57" s="8">
        <f t="shared" si="0"/>
        <v>1.3816560809251006</v>
      </c>
      <c r="C57" t="str">
        <f t="shared" si="1"/>
        <v>No</v>
      </c>
    </row>
    <row r="58" spans="1:3" ht="18.75" customHeight="1" x14ac:dyDescent="0.3">
      <c r="A58" s="8">
        <v>41.5</v>
      </c>
      <c r="B58" s="8">
        <f t="shared" si="0"/>
        <v>2.3040046960998133</v>
      </c>
      <c r="C58" t="str">
        <f t="shared" si="1"/>
        <v>Yes</v>
      </c>
    </row>
    <row r="59" spans="1:3" ht="18.75" customHeight="1" x14ac:dyDescent="0.3">
      <c r="A59" s="2">
        <v>35</v>
      </c>
      <c r="B59" s="8">
        <f t="shared" si="0"/>
        <v>1.471328862955976</v>
      </c>
      <c r="C59" t="str">
        <f t="shared" si="1"/>
        <v>No</v>
      </c>
    </row>
    <row r="60" spans="1:3" ht="18.75" customHeight="1" x14ac:dyDescent="0.3">
      <c r="A60" s="8">
        <v>29.8</v>
      </c>
      <c r="B60" s="8">
        <f t="shared" si="0"/>
        <v>0.80518819644090611</v>
      </c>
      <c r="C60" t="str">
        <f t="shared" si="1"/>
        <v>No</v>
      </c>
    </row>
    <row r="61" spans="1:3" ht="18.75" customHeight="1" x14ac:dyDescent="0.3">
      <c r="A61" s="8">
        <v>44.3</v>
      </c>
      <c r="B61" s="8">
        <f t="shared" si="0"/>
        <v>2.6626958242233121</v>
      </c>
      <c r="C61" t="str">
        <f t="shared" si="1"/>
        <v>Yes</v>
      </c>
    </row>
    <row r="62" spans="1:3" ht="18.75" customHeight="1" x14ac:dyDescent="0.3">
      <c r="A62" s="2">
        <v>30</v>
      </c>
      <c r="B62" s="8">
        <f t="shared" si="0"/>
        <v>0.83080899130687025</v>
      </c>
      <c r="C62" t="str">
        <f t="shared" si="1"/>
        <v>No</v>
      </c>
    </row>
    <row r="63" spans="1:3" ht="18.75" customHeight="1" x14ac:dyDescent="0.3">
      <c r="A63" s="8">
        <v>43.4</v>
      </c>
      <c r="B63" s="8">
        <f t="shared" si="0"/>
        <v>2.547402247326473</v>
      </c>
      <c r="C63" t="str">
        <f t="shared" si="1"/>
        <v>Yes</v>
      </c>
    </row>
    <row r="64" spans="1:3" ht="18.75" customHeight="1" x14ac:dyDescent="0.3">
      <c r="A64" s="8">
        <v>40.9</v>
      </c>
      <c r="B64" s="8">
        <f t="shared" si="0"/>
        <v>2.2271423115019204</v>
      </c>
      <c r="C64" t="str">
        <f t="shared" si="1"/>
        <v>Yes</v>
      </c>
    </row>
    <row r="65" spans="1:3" ht="18.75" customHeight="1" x14ac:dyDescent="0.3">
      <c r="A65" s="8">
        <v>36.4</v>
      </c>
      <c r="B65" s="8">
        <f t="shared" si="0"/>
        <v>1.6506744270177254</v>
      </c>
      <c r="C65" t="str">
        <f t="shared" si="1"/>
        <v>No</v>
      </c>
    </row>
    <row r="66" spans="1:3" ht="18.75" customHeight="1" x14ac:dyDescent="0.3">
      <c r="A66" s="2">
        <v>33</v>
      </c>
      <c r="B66" s="8">
        <f t="shared" ref="B66:B129" si="2">IFERROR((A66-$P$3) / $R$3, "")</f>
        <v>1.2151209142963335</v>
      </c>
      <c r="C66" t="str">
        <f t="shared" ref="C66:C129" si="3">IF(ABS(B66)&gt;2,"Yes","No")</f>
        <v>No</v>
      </c>
    </row>
    <row r="67" spans="1:3" ht="18.75" customHeight="1" x14ac:dyDescent="0.3">
      <c r="A67" s="8">
        <v>28.1</v>
      </c>
      <c r="B67" s="8">
        <f t="shared" si="2"/>
        <v>0.58741144008021029</v>
      </c>
      <c r="C67" t="str">
        <f t="shared" si="3"/>
        <v>No</v>
      </c>
    </row>
    <row r="68" spans="1:3" ht="18.75" customHeight="1" x14ac:dyDescent="0.3">
      <c r="A68" s="8">
        <v>34.5</v>
      </c>
      <c r="B68" s="8">
        <f t="shared" si="2"/>
        <v>1.4072768757910654</v>
      </c>
      <c r="C68" t="str">
        <f t="shared" si="3"/>
        <v>No</v>
      </c>
    </row>
    <row r="69" spans="1:3" ht="18.75" customHeight="1" x14ac:dyDescent="0.3">
      <c r="A69" s="8">
        <v>30.7</v>
      </c>
      <c r="B69" s="8">
        <f t="shared" si="2"/>
        <v>0.92048177333774495</v>
      </c>
      <c r="C69" t="str">
        <f t="shared" si="3"/>
        <v>No</v>
      </c>
    </row>
    <row r="70" spans="1:3" ht="18.75" customHeight="1" x14ac:dyDescent="0.3">
      <c r="A70" s="2">
        <v>36</v>
      </c>
      <c r="B70" s="8">
        <f t="shared" si="2"/>
        <v>1.5994328372857971</v>
      </c>
      <c r="C70" t="str">
        <f t="shared" si="3"/>
        <v>No</v>
      </c>
    </row>
    <row r="71" spans="1:3" ht="18.75" customHeight="1" x14ac:dyDescent="0.3">
      <c r="A71" s="2">
        <v>44</v>
      </c>
      <c r="B71" s="8">
        <f t="shared" si="2"/>
        <v>2.6242646319243659</v>
      </c>
      <c r="C71" t="str">
        <f t="shared" si="3"/>
        <v>Yes</v>
      </c>
    </row>
    <row r="72" spans="1:3" ht="18.75" customHeight="1" x14ac:dyDescent="0.3">
      <c r="A72" s="2">
        <v>27</v>
      </c>
      <c r="B72" s="8">
        <f t="shared" si="2"/>
        <v>0.44649706831740682</v>
      </c>
      <c r="C72" t="str">
        <f t="shared" si="3"/>
        <v>No</v>
      </c>
    </row>
    <row r="73" spans="1:3" ht="18.75" customHeight="1" x14ac:dyDescent="0.3">
      <c r="A73" s="2">
        <v>24</v>
      </c>
      <c r="B73" s="8">
        <f t="shared" si="2"/>
        <v>6.2185145327943406E-2</v>
      </c>
      <c r="C73" t="str">
        <f t="shared" si="3"/>
        <v>No</v>
      </c>
    </row>
    <row r="74" spans="1:3" ht="18.75" customHeight="1" x14ac:dyDescent="0.3">
      <c r="A74" s="2">
        <v>35</v>
      </c>
      <c r="B74" s="8">
        <f t="shared" si="2"/>
        <v>1.471328862955976</v>
      </c>
      <c r="C74" t="str">
        <f t="shared" si="3"/>
        <v>No</v>
      </c>
    </row>
    <row r="75" spans="1:3" ht="18.75" customHeight="1" x14ac:dyDescent="0.3">
      <c r="A75" s="2">
        <v>25</v>
      </c>
      <c r="B75" s="8">
        <f t="shared" si="2"/>
        <v>0.19028911965776454</v>
      </c>
      <c r="C75" t="str">
        <f t="shared" si="3"/>
        <v>No</v>
      </c>
    </row>
    <row r="76" spans="1:3" ht="18.75" customHeight="1" x14ac:dyDescent="0.3">
      <c r="A76" s="2">
        <v>27</v>
      </c>
      <c r="B76" s="8">
        <f t="shared" si="2"/>
        <v>0.44649706831740682</v>
      </c>
      <c r="C76" t="str">
        <f t="shared" si="3"/>
        <v>No</v>
      </c>
    </row>
    <row r="77" spans="1:3" ht="18.75" customHeight="1" x14ac:dyDescent="0.3">
      <c r="A77" s="2">
        <v>31</v>
      </c>
      <c r="B77" s="8">
        <f t="shared" si="2"/>
        <v>0.95891296563669137</v>
      </c>
      <c r="C77" t="str">
        <f t="shared" si="3"/>
        <v>No</v>
      </c>
    </row>
    <row r="78" spans="1:3" ht="18.75" customHeight="1" x14ac:dyDescent="0.3">
      <c r="A78" s="2">
        <v>19</v>
      </c>
      <c r="B78" s="8">
        <f t="shared" si="2"/>
        <v>-0.57833472632116223</v>
      </c>
      <c r="C78" t="str">
        <f t="shared" si="3"/>
        <v>No</v>
      </c>
    </row>
    <row r="79" spans="1:3" ht="18.75" customHeight="1" x14ac:dyDescent="0.3">
      <c r="A79" s="2">
        <v>27</v>
      </c>
      <c r="B79" s="8">
        <f t="shared" si="2"/>
        <v>0.44649706831740682</v>
      </c>
      <c r="C79" t="str">
        <f t="shared" si="3"/>
        <v>No</v>
      </c>
    </row>
    <row r="80" spans="1:3" ht="18.75" customHeight="1" x14ac:dyDescent="0.3">
      <c r="A80" s="2">
        <v>24</v>
      </c>
      <c r="B80" s="8">
        <f t="shared" si="2"/>
        <v>6.2185145327943406E-2</v>
      </c>
      <c r="C80" t="str">
        <f t="shared" si="3"/>
        <v>No</v>
      </c>
    </row>
    <row r="81" spans="1:3" ht="18.75" customHeight="1" x14ac:dyDescent="0.3">
      <c r="A81" s="2">
        <v>28</v>
      </c>
      <c r="B81" s="8">
        <f t="shared" si="2"/>
        <v>0.57460104264722789</v>
      </c>
      <c r="C81" t="str">
        <f t="shared" si="3"/>
        <v>No</v>
      </c>
    </row>
    <row r="82" spans="1:3" ht="18.75" customHeight="1" x14ac:dyDescent="0.3">
      <c r="A82" s="2">
        <v>23</v>
      </c>
      <c r="B82" s="8">
        <f t="shared" si="2"/>
        <v>-6.5918829001877732E-2</v>
      </c>
      <c r="C82" t="str">
        <f t="shared" si="3"/>
        <v>No</v>
      </c>
    </row>
    <row r="83" spans="1:3" ht="18.75" customHeight="1" x14ac:dyDescent="0.3">
      <c r="A83" s="2">
        <v>18</v>
      </c>
      <c r="B83" s="8">
        <f t="shared" si="2"/>
        <v>-0.70643870065098335</v>
      </c>
      <c r="C83" t="str">
        <f t="shared" si="3"/>
        <v>No</v>
      </c>
    </row>
    <row r="84" spans="1:3" ht="18.75" customHeight="1" x14ac:dyDescent="0.3">
      <c r="A84" s="2">
        <v>22</v>
      </c>
      <c r="B84" s="8">
        <f t="shared" si="2"/>
        <v>-0.19402280333169886</v>
      </c>
      <c r="C84" t="str">
        <f t="shared" si="3"/>
        <v>No</v>
      </c>
    </row>
    <row r="85" spans="1:3" ht="18.75" customHeight="1" x14ac:dyDescent="0.3">
      <c r="A85" s="2">
        <v>20</v>
      </c>
      <c r="B85" s="8">
        <f t="shared" si="2"/>
        <v>-0.45023075199134116</v>
      </c>
      <c r="C85" t="str">
        <f t="shared" si="3"/>
        <v>No</v>
      </c>
    </row>
    <row r="86" spans="1:3" ht="18.75" customHeight="1" x14ac:dyDescent="0.3">
      <c r="A86" s="2">
        <v>20</v>
      </c>
      <c r="B86" s="8">
        <f t="shared" si="2"/>
        <v>-0.45023075199134116</v>
      </c>
      <c r="C86" t="str">
        <f t="shared" si="3"/>
        <v>No</v>
      </c>
    </row>
    <row r="87" spans="1:3" ht="18.75" customHeight="1" x14ac:dyDescent="0.3">
      <c r="A87" s="2">
        <v>24</v>
      </c>
      <c r="B87" s="8">
        <f t="shared" si="2"/>
        <v>6.2185145327943406E-2</v>
      </c>
      <c r="C87" t="str">
        <f t="shared" si="3"/>
        <v>No</v>
      </c>
    </row>
    <row r="88" spans="1:3" ht="18.75" customHeight="1" x14ac:dyDescent="0.3">
      <c r="A88" s="2">
        <v>26</v>
      </c>
      <c r="B88" s="8">
        <f t="shared" si="2"/>
        <v>0.3183930939875857</v>
      </c>
      <c r="C88" t="str">
        <f t="shared" si="3"/>
        <v>No</v>
      </c>
    </row>
    <row r="89" spans="1:3" ht="18.75" customHeight="1" x14ac:dyDescent="0.3">
      <c r="A89" s="2">
        <v>32</v>
      </c>
      <c r="B89" s="8">
        <f t="shared" si="2"/>
        <v>1.0870169399665124</v>
      </c>
      <c r="C89" t="str">
        <f t="shared" si="3"/>
        <v>No</v>
      </c>
    </row>
    <row r="90" spans="1:3" ht="18.75" customHeight="1" x14ac:dyDescent="0.3">
      <c r="A90" s="2">
        <v>31</v>
      </c>
      <c r="B90" s="8">
        <f t="shared" si="2"/>
        <v>0.95891296563669137</v>
      </c>
      <c r="C90" t="str">
        <f t="shared" si="3"/>
        <v>No</v>
      </c>
    </row>
    <row r="91" spans="1:3" ht="18.75" customHeight="1" x14ac:dyDescent="0.3">
      <c r="A91" s="2">
        <v>31</v>
      </c>
      <c r="B91" s="8">
        <f t="shared" si="2"/>
        <v>0.95891296563669137</v>
      </c>
      <c r="C91" t="str">
        <f t="shared" si="3"/>
        <v>No</v>
      </c>
    </row>
    <row r="92" spans="1:3" ht="18.75" customHeight="1" x14ac:dyDescent="0.3">
      <c r="A92" s="2">
        <v>32</v>
      </c>
      <c r="B92" s="8">
        <f t="shared" si="2"/>
        <v>1.0870169399665124</v>
      </c>
      <c r="C92" t="str">
        <f t="shared" si="3"/>
        <v>No</v>
      </c>
    </row>
    <row r="93" spans="1:3" ht="18.75" customHeight="1" x14ac:dyDescent="0.3">
      <c r="A93" s="2">
        <v>24</v>
      </c>
      <c r="B93" s="8">
        <f t="shared" si="2"/>
        <v>6.2185145327943406E-2</v>
      </c>
      <c r="C93" t="str">
        <f t="shared" si="3"/>
        <v>No</v>
      </c>
    </row>
    <row r="94" spans="1:3" ht="18.75" customHeight="1" x14ac:dyDescent="0.3">
      <c r="A94" s="2">
        <v>24</v>
      </c>
      <c r="B94" s="8">
        <f t="shared" si="2"/>
        <v>6.2185145327943406E-2</v>
      </c>
      <c r="C94" t="str">
        <f t="shared" si="3"/>
        <v>No</v>
      </c>
    </row>
    <row r="95" spans="1:3" ht="18.75" customHeight="1" x14ac:dyDescent="0.3">
      <c r="A95" s="2">
        <v>29</v>
      </c>
      <c r="B95" s="8">
        <f t="shared" si="2"/>
        <v>0.70270501697704912</v>
      </c>
      <c r="C95" t="str">
        <f t="shared" si="3"/>
        <v>No</v>
      </c>
    </row>
    <row r="96" spans="1:3" ht="18.75" customHeight="1" x14ac:dyDescent="0.3">
      <c r="A96" s="2">
        <v>33</v>
      </c>
      <c r="B96" s="8">
        <f t="shared" si="2"/>
        <v>1.2151209142963335</v>
      </c>
      <c r="C96" t="str">
        <f t="shared" si="3"/>
        <v>No</v>
      </c>
    </row>
    <row r="97" spans="1:3" ht="18.75" customHeight="1" x14ac:dyDescent="0.3">
      <c r="A97" s="2">
        <v>32</v>
      </c>
      <c r="B97" s="8">
        <f t="shared" si="2"/>
        <v>1.0870169399665124</v>
      </c>
      <c r="C97" t="str">
        <f t="shared" si="3"/>
        <v>No</v>
      </c>
    </row>
    <row r="98" spans="1:3" ht="18.75" customHeight="1" x14ac:dyDescent="0.3">
      <c r="A98" s="2">
        <v>28</v>
      </c>
      <c r="B98" s="8">
        <f t="shared" si="2"/>
        <v>0.57460104264722789</v>
      </c>
      <c r="C98" t="str">
        <f t="shared" si="3"/>
        <v>No</v>
      </c>
    </row>
    <row r="99" spans="1:3" ht="18.75" customHeight="1" x14ac:dyDescent="0.3">
      <c r="A99" s="2">
        <v>33</v>
      </c>
      <c r="B99" s="8">
        <f t="shared" si="2"/>
        <v>1.2151209142963335</v>
      </c>
      <c r="C99" t="str">
        <f t="shared" si="3"/>
        <v>No</v>
      </c>
    </row>
    <row r="100" spans="1:3" ht="18.75" customHeight="1" x14ac:dyDescent="0.3">
      <c r="A100" s="2">
        <v>19</v>
      </c>
      <c r="B100" s="8">
        <f t="shared" si="2"/>
        <v>-0.57833472632116223</v>
      </c>
      <c r="C100" t="str">
        <f t="shared" si="3"/>
        <v>No</v>
      </c>
    </row>
    <row r="101" spans="1:3" ht="18.75" customHeight="1" x14ac:dyDescent="0.3">
      <c r="A101" s="8">
        <v>21.5</v>
      </c>
      <c r="B101" s="8">
        <f t="shared" si="2"/>
        <v>-0.25807479049660942</v>
      </c>
      <c r="C101" t="str">
        <f t="shared" si="3"/>
        <v>No</v>
      </c>
    </row>
    <row r="102" spans="1:3" ht="18.75" customHeight="1" x14ac:dyDescent="0.3">
      <c r="A102" s="8">
        <v>33.5</v>
      </c>
      <c r="B102" s="8">
        <f t="shared" si="2"/>
        <v>1.2791729014612441</v>
      </c>
      <c r="C102" t="str">
        <f t="shared" si="3"/>
        <v>No</v>
      </c>
    </row>
    <row r="103" spans="1:3" ht="18.75" customHeight="1" x14ac:dyDescent="0.3">
      <c r="A103" s="2">
        <v>30</v>
      </c>
      <c r="B103" s="8">
        <f t="shared" si="2"/>
        <v>0.83080899130687025</v>
      </c>
      <c r="C103" t="str">
        <f t="shared" si="3"/>
        <v>No</v>
      </c>
    </row>
    <row r="104" spans="1:3" ht="18.75" customHeight="1" x14ac:dyDescent="0.3">
      <c r="A104" s="8">
        <v>31.5</v>
      </c>
      <c r="B104" s="8">
        <f t="shared" si="2"/>
        <v>1.0229649528016018</v>
      </c>
      <c r="C104" t="str">
        <f t="shared" si="3"/>
        <v>No</v>
      </c>
    </row>
    <row r="105" spans="1:3" ht="18.75" customHeight="1" x14ac:dyDescent="0.3">
      <c r="A105" s="2">
        <v>26</v>
      </c>
      <c r="B105" s="8">
        <f t="shared" si="2"/>
        <v>0.3183930939875857</v>
      </c>
      <c r="C105" t="str">
        <f t="shared" si="3"/>
        <v>No</v>
      </c>
    </row>
    <row r="106" spans="1:3" ht="18.75" customHeight="1" x14ac:dyDescent="0.3">
      <c r="A106" s="2">
        <v>22</v>
      </c>
      <c r="B106" s="8">
        <f t="shared" si="2"/>
        <v>-0.19402280333169886</v>
      </c>
      <c r="C106" t="str">
        <f t="shared" si="3"/>
        <v>No</v>
      </c>
    </row>
    <row r="107" spans="1:3" ht="18.75" customHeight="1" x14ac:dyDescent="0.3">
      <c r="A107" s="8">
        <v>27.2</v>
      </c>
      <c r="B107" s="8">
        <f t="shared" si="2"/>
        <v>0.47211786318337096</v>
      </c>
      <c r="C107" t="str">
        <f t="shared" si="3"/>
        <v>No</v>
      </c>
    </row>
    <row r="108" spans="1:3" ht="18.75" customHeight="1" x14ac:dyDescent="0.3">
      <c r="A108" s="8">
        <v>23.9</v>
      </c>
      <c r="B108" s="8">
        <f t="shared" si="2"/>
        <v>4.9374747894961109E-2</v>
      </c>
      <c r="C108" t="str">
        <f t="shared" si="3"/>
        <v>No</v>
      </c>
    </row>
    <row r="109" spans="1:3" ht="18.75" customHeight="1" x14ac:dyDescent="0.3">
      <c r="A109" s="8">
        <v>21.1</v>
      </c>
      <c r="B109" s="8">
        <f t="shared" si="2"/>
        <v>-0.30931638022853769</v>
      </c>
      <c r="C109" t="str">
        <f t="shared" si="3"/>
        <v>No</v>
      </c>
    </row>
    <row r="110" spans="1:3" ht="18.75" customHeight="1" x14ac:dyDescent="0.3">
      <c r="A110" s="8">
        <v>27.5</v>
      </c>
      <c r="B110" s="8">
        <f t="shared" si="2"/>
        <v>0.51054905548231733</v>
      </c>
      <c r="C110" t="str">
        <f t="shared" si="3"/>
        <v>No</v>
      </c>
    </row>
    <row r="111" spans="1:3" ht="18.75" customHeight="1" x14ac:dyDescent="0.3">
      <c r="A111" s="8">
        <v>39.4</v>
      </c>
      <c r="B111" s="8">
        <f t="shared" si="2"/>
        <v>2.0349863500071885</v>
      </c>
      <c r="C111" t="str">
        <f t="shared" si="3"/>
        <v>Yes</v>
      </c>
    </row>
    <row r="112" spans="1:3" ht="18.75" customHeight="1" x14ac:dyDescent="0.3">
      <c r="A112" s="8">
        <v>36.1</v>
      </c>
      <c r="B112" s="8">
        <f t="shared" si="2"/>
        <v>1.6122432347187794</v>
      </c>
      <c r="C112" t="str">
        <f t="shared" si="3"/>
        <v>No</v>
      </c>
    </row>
    <row r="113" spans="1:3" ht="18.75" customHeight="1" x14ac:dyDescent="0.3">
      <c r="A113" s="8">
        <v>29.5</v>
      </c>
      <c r="B113" s="8">
        <f t="shared" si="2"/>
        <v>0.76675700414195969</v>
      </c>
      <c r="C113" t="str">
        <f t="shared" si="3"/>
        <v>No</v>
      </c>
    </row>
    <row r="114" spans="1:3" ht="18.75" customHeight="1" x14ac:dyDescent="0.3">
      <c r="A114" s="8">
        <v>32.799999999999997</v>
      </c>
      <c r="B114" s="8">
        <f t="shared" si="2"/>
        <v>1.1895001194303689</v>
      </c>
      <c r="C114" t="str">
        <f t="shared" si="3"/>
        <v>No</v>
      </c>
    </row>
    <row r="115" spans="1:3" ht="18.75" customHeight="1" x14ac:dyDescent="0.3">
      <c r="A115" s="8">
        <v>34.1</v>
      </c>
      <c r="B115" s="8">
        <f t="shared" si="2"/>
        <v>1.3560352860591371</v>
      </c>
      <c r="C115" t="str">
        <f t="shared" si="3"/>
        <v>No</v>
      </c>
    </row>
    <row r="116" spans="1:3" ht="18.75" customHeight="1" x14ac:dyDescent="0.3">
      <c r="A116" s="8">
        <v>31.8</v>
      </c>
      <c r="B116" s="8">
        <f t="shared" si="2"/>
        <v>1.0613961451005482</v>
      </c>
      <c r="C116" t="str">
        <f t="shared" si="3"/>
        <v>No</v>
      </c>
    </row>
    <row r="117" spans="1:3" ht="18.75" customHeight="1" x14ac:dyDescent="0.3">
      <c r="A117" s="8">
        <v>23.7</v>
      </c>
      <c r="B117" s="8">
        <f t="shared" si="2"/>
        <v>2.3753953028996973E-2</v>
      </c>
      <c r="C117" t="str">
        <f t="shared" si="3"/>
        <v>No</v>
      </c>
    </row>
    <row r="118" spans="1:3" ht="18.75" customHeight="1" x14ac:dyDescent="0.3">
      <c r="A118" s="2">
        <v>37</v>
      </c>
      <c r="B118" s="8">
        <f t="shared" si="2"/>
        <v>1.7275368116156182</v>
      </c>
      <c r="C118" t="str">
        <f t="shared" si="3"/>
        <v>No</v>
      </c>
    </row>
    <row r="119" spans="1:3" ht="18.75" customHeight="1" x14ac:dyDescent="0.3">
      <c r="A119" s="8">
        <v>44.6</v>
      </c>
      <c r="B119" s="8">
        <f t="shared" si="2"/>
        <v>2.7011270165222587</v>
      </c>
      <c r="C119" t="str">
        <f t="shared" si="3"/>
        <v>Yes</v>
      </c>
    </row>
    <row r="120" spans="1:3" ht="18.75" customHeight="1" x14ac:dyDescent="0.3">
      <c r="A120" s="8">
        <v>29.8</v>
      </c>
      <c r="B120" s="8">
        <f t="shared" si="2"/>
        <v>0.80518819644090611</v>
      </c>
      <c r="C120" t="str">
        <f t="shared" si="3"/>
        <v>No</v>
      </c>
    </row>
    <row r="121" spans="1:3" ht="18.75" customHeight="1" x14ac:dyDescent="0.3">
      <c r="A121" s="8">
        <v>32.200000000000003</v>
      </c>
      <c r="B121" s="8">
        <f t="shared" si="2"/>
        <v>1.112637734832477</v>
      </c>
      <c r="C121" t="str">
        <f t="shared" si="3"/>
        <v>No</v>
      </c>
    </row>
    <row r="122" spans="1:3" ht="18.75" customHeight="1" x14ac:dyDescent="0.3">
      <c r="A122" s="8">
        <v>37.200000000000003</v>
      </c>
      <c r="B122" s="8">
        <f t="shared" si="2"/>
        <v>1.7531576064815828</v>
      </c>
      <c r="C122" t="str">
        <f t="shared" si="3"/>
        <v>No</v>
      </c>
    </row>
    <row r="123" spans="1:3" ht="18.75" customHeight="1" x14ac:dyDescent="0.3">
      <c r="A123" s="8">
        <v>32.4</v>
      </c>
      <c r="B123" s="8">
        <f t="shared" si="2"/>
        <v>1.1382585296984407</v>
      </c>
      <c r="C123" t="str">
        <f t="shared" si="3"/>
        <v>No</v>
      </c>
    </row>
    <row r="124" spans="1:3" ht="18.75" customHeight="1" x14ac:dyDescent="0.3">
      <c r="A124" s="8">
        <v>33.799999999999997</v>
      </c>
      <c r="B124" s="8">
        <f t="shared" si="2"/>
        <v>1.3176040937601901</v>
      </c>
      <c r="C124" t="str">
        <f t="shared" si="3"/>
        <v>No</v>
      </c>
    </row>
    <row r="125" spans="1:3" ht="18.75" customHeight="1" x14ac:dyDescent="0.3">
      <c r="A125" s="8">
        <v>40.799999999999997</v>
      </c>
      <c r="B125" s="8">
        <f t="shared" si="2"/>
        <v>2.2143319140689379</v>
      </c>
      <c r="C125" t="str">
        <f t="shared" si="3"/>
        <v>Yes</v>
      </c>
    </row>
    <row r="126" spans="1:3" ht="18.75" customHeight="1" x14ac:dyDescent="0.3">
      <c r="A126" s="8">
        <v>46.6</v>
      </c>
      <c r="B126" s="8">
        <f t="shared" si="2"/>
        <v>2.9573349651819014</v>
      </c>
      <c r="C126" t="str">
        <f t="shared" si="3"/>
        <v>Yes</v>
      </c>
    </row>
    <row r="127" spans="1:3" ht="18.75" customHeight="1" x14ac:dyDescent="0.3">
      <c r="A127" s="8">
        <v>38.1</v>
      </c>
      <c r="B127" s="8">
        <f t="shared" si="2"/>
        <v>1.8684511833784216</v>
      </c>
      <c r="C127" t="str">
        <f t="shared" si="3"/>
        <v>No</v>
      </c>
    </row>
    <row r="128" spans="1:3" ht="18.75" customHeight="1" x14ac:dyDescent="0.3">
      <c r="A128" s="8">
        <v>31.3</v>
      </c>
      <c r="B128" s="8">
        <f t="shared" si="2"/>
        <v>0.9973441579356378</v>
      </c>
      <c r="C128" t="str">
        <f t="shared" si="3"/>
        <v>No</v>
      </c>
    </row>
    <row r="129" spans="1:3" ht="18.75" customHeight="1" x14ac:dyDescent="0.3">
      <c r="A129" s="8">
        <v>32.700000000000003</v>
      </c>
      <c r="B129" s="8">
        <f t="shared" si="2"/>
        <v>1.1766897219973875</v>
      </c>
      <c r="C129" t="str">
        <f t="shared" si="3"/>
        <v>No</v>
      </c>
    </row>
    <row r="130" spans="1:3" ht="18.75" customHeight="1" x14ac:dyDescent="0.3">
      <c r="A130" s="8">
        <v>32.9</v>
      </c>
      <c r="B130" s="8">
        <f t="shared" ref="B130:B193" si="4">IFERROR((A130-$P$3) / $R$3, "")</f>
        <v>1.2023105168633512</v>
      </c>
      <c r="C130" t="str">
        <f t="shared" ref="C130:C193" si="5">IF(ABS(B130)&gt;2,"Yes","No")</f>
        <v>No</v>
      </c>
    </row>
    <row r="131" spans="1:3" ht="18.75" customHeight="1" x14ac:dyDescent="0.3">
      <c r="A131" s="8">
        <v>34.1</v>
      </c>
      <c r="B131" s="8">
        <f t="shared" si="4"/>
        <v>1.3560352860591371</v>
      </c>
      <c r="C131" t="str">
        <f t="shared" si="5"/>
        <v>No</v>
      </c>
    </row>
    <row r="132" spans="1:3" ht="18.75" customHeight="1" x14ac:dyDescent="0.3">
      <c r="A132" s="8">
        <v>35.1</v>
      </c>
      <c r="B132" s="8">
        <f t="shared" si="4"/>
        <v>1.4841392603889583</v>
      </c>
      <c r="C132" t="str">
        <f t="shared" si="5"/>
        <v>No</v>
      </c>
    </row>
    <row r="133" spans="1:3" ht="18.75" customHeight="1" x14ac:dyDescent="0.3">
      <c r="A133" s="8">
        <v>33.700000000000003</v>
      </c>
      <c r="B133" s="8">
        <f t="shared" si="4"/>
        <v>1.3047936963272089</v>
      </c>
      <c r="C133" t="str">
        <f t="shared" si="5"/>
        <v>No</v>
      </c>
    </row>
    <row r="134" spans="1:3" ht="18.75" customHeight="1" x14ac:dyDescent="0.3">
      <c r="A134" s="8">
        <v>39.1</v>
      </c>
      <c r="B134" s="8">
        <f t="shared" si="4"/>
        <v>1.9965551577082428</v>
      </c>
      <c r="C134" t="str">
        <f t="shared" si="5"/>
        <v>No</v>
      </c>
    </row>
    <row r="135" spans="1:3" ht="18.75" customHeight="1" x14ac:dyDescent="0.3">
      <c r="A135" s="2">
        <v>37</v>
      </c>
      <c r="B135" s="8">
        <f t="shared" si="4"/>
        <v>1.7275368116156182</v>
      </c>
      <c r="C135" t="str">
        <f t="shared" si="5"/>
        <v>No</v>
      </c>
    </row>
    <row r="136" spans="1:3" ht="18.75" customHeight="1" x14ac:dyDescent="0.3">
      <c r="A136" s="8">
        <v>32.299999999999997</v>
      </c>
      <c r="B136" s="8">
        <f t="shared" si="4"/>
        <v>1.1254481322654584</v>
      </c>
      <c r="C136" t="str">
        <f t="shared" si="5"/>
        <v>No</v>
      </c>
    </row>
    <row r="137" spans="1:3" ht="18.75" customHeight="1" x14ac:dyDescent="0.3">
      <c r="A137" s="8">
        <v>32.4</v>
      </c>
      <c r="B137" s="8">
        <f t="shared" si="4"/>
        <v>1.1382585296984407</v>
      </c>
      <c r="C137" t="str">
        <f t="shared" si="5"/>
        <v>No</v>
      </c>
    </row>
    <row r="138" spans="1:3" ht="18.75" customHeight="1" x14ac:dyDescent="0.3">
      <c r="A138" s="8">
        <v>37.700000000000003</v>
      </c>
      <c r="B138" s="8">
        <f t="shared" si="4"/>
        <v>1.8172095936464934</v>
      </c>
      <c r="C138" t="str">
        <f t="shared" si="5"/>
        <v>No</v>
      </c>
    </row>
    <row r="139" spans="1:3" ht="18.75" customHeight="1" x14ac:dyDescent="0.3">
      <c r="A139" s="8">
        <v>31.6</v>
      </c>
      <c r="B139" s="8">
        <f t="shared" si="4"/>
        <v>1.0357753502345841</v>
      </c>
      <c r="C139" t="str">
        <f t="shared" si="5"/>
        <v>No</v>
      </c>
    </row>
    <row r="140" spans="1:3" ht="18.75" customHeight="1" x14ac:dyDescent="0.3">
      <c r="A140" s="8">
        <v>24.2</v>
      </c>
      <c r="B140" s="8">
        <f t="shared" si="4"/>
        <v>8.7805940193907542E-2</v>
      </c>
      <c r="C140" t="str">
        <f t="shared" si="5"/>
        <v>No</v>
      </c>
    </row>
    <row r="141" spans="1:3" ht="18.75" customHeight="1" x14ac:dyDescent="0.3">
      <c r="A141" s="8">
        <v>25.4</v>
      </c>
      <c r="B141" s="8">
        <f t="shared" si="4"/>
        <v>0.24153070938969282</v>
      </c>
      <c r="C141" t="str">
        <f t="shared" si="5"/>
        <v>No</v>
      </c>
    </row>
    <row r="142" spans="1:3" ht="18.75" customHeight="1" x14ac:dyDescent="0.3">
      <c r="A142" s="2">
        <v>36</v>
      </c>
      <c r="B142" s="8">
        <f t="shared" si="4"/>
        <v>1.5994328372857971</v>
      </c>
      <c r="C142" t="str">
        <f t="shared" si="5"/>
        <v>No</v>
      </c>
    </row>
    <row r="143" spans="1:3" ht="18.75" customHeight="1" x14ac:dyDescent="0.3">
      <c r="A143" s="2">
        <v>32</v>
      </c>
      <c r="B143" s="8">
        <f t="shared" si="4"/>
        <v>1.0870169399665124</v>
      </c>
      <c r="C143" t="str">
        <f t="shared" si="5"/>
        <v>No</v>
      </c>
    </row>
    <row r="144" spans="1:3" ht="18.75" customHeight="1" x14ac:dyDescent="0.3">
      <c r="A144" s="2">
        <v>31</v>
      </c>
      <c r="B144" s="8">
        <f t="shared" si="4"/>
        <v>0.95891296563669137</v>
      </c>
      <c r="C144" t="str">
        <f t="shared" si="5"/>
        <v>No</v>
      </c>
    </row>
    <row r="145" spans="1:3" ht="18.75" customHeight="1" x14ac:dyDescent="0.3">
      <c r="A145" s="2">
        <v>38</v>
      </c>
      <c r="B145" s="8">
        <f t="shared" si="4"/>
        <v>1.8556407859454394</v>
      </c>
      <c r="C145" t="str">
        <f t="shared" si="5"/>
        <v>No</v>
      </c>
    </row>
    <row r="146" spans="1:3" ht="18.75" customHeight="1" x14ac:dyDescent="0.3">
      <c r="A146" s="2">
        <v>32</v>
      </c>
      <c r="B146" s="8">
        <f t="shared" si="4"/>
        <v>1.0870169399665124</v>
      </c>
      <c r="C146" t="str">
        <f t="shared" si="5"/>
        <v>No</v>
      </c>
    </row>
    <row r="147" spans="1:3" ht="18.75" customHeight="1" x14ac:dyDescent="0.3">
      <c r="A147" s="2">
        <v>36</v>
      </c>
      <c r="B147" s="8">
        <f t="shared" si="4"/>
        <v>1.5994328372857971</v>
      </c>
      <c r="C147" t="str">
        <f t="shared" si="5"/>
        <v>No</v>
      </c>
    </row>
    <row r="148" spans="1:3" ht="18.75" customHeight="1" x14ac:dyDescent="0.3">
      <c r="A148" s="2">
        <v>38</v>
      </c>
      <c r="B148" s="8">
        <f t="shared" si="4"/>
        <v>1.8556407859454394</v>
      </c>
      <c r="C148" t="str">
        <f t="shared" si="5"/>
        <v>No</v>
      </c>
    </row>
    <row r="149" spans="1:3" ht="18.75" customHeight="1" x14ac:dyDescent="0.3">
      <c r="A149" s="2">
        <v>37</v>
      </c>
      <c r="B149" s="8">
        <f t="shared" si="4"/>
        <v>1.7275368116156182</v>
      </c>
      <c r="C149" t="str">
        <f t="shared" si="5"/>
        <v>No</v>
      </c>
    </row>
    <row r="150" spans="1:3" ht="18.75" customHeight="1" x14ac:dyDescent="0.3">
      <c r="A150" s="2">
        <v>34</v>
      </c>
      <c r="B150" s="8">
        <f t="shared" si="4"/>
        <v>1.3432248886261546</v>
      </c>
      <c r="C150" t="str">
        <f t="shared" si="5"/>
        <v>No</v>
      </c>
    </row>
    <row r="151" spans="1:3" ht="18.75" customHeight="1" x14ac:dyDescent="0.3">
      <c r="A151" s="2">
        <v>18</v>
      </c>
      <c r="B151" s="8">
        <f t="shared" si="4"/>
        <v>-0.70643870065098335</v>
      </c>
      <c r="C151" t="str">
        <f t="shared" si="5"/>
        <v>No</v>
      </c>
    </row>
    <row r="152" spans="1:3" ht="18.75" customHeight="1" x14ac:dyDescent="0.3">
      <c r="A152" s="2">
        <v>21</v>
      </c>
      <c r="B152" s="8">
        <f t="shared" si="4"/>
        <v>-0.32212677766151998</v>
      </c>
      <c r="C152" t="str">
        <f t="shared" si="5"/>
        <v>No</v>
      </c>
    </row>
    <row r="153" spans="1:3" ht="18.75" customHeight="1" x14ac:dyDescent="0.3">
      <c r="A153" s="2">
        <v>22</v>
      </c>
      <c r="B153" s="8">
        <f t="shared" si="4"/>
        <v>-0.19402280333169886</v>
      </c>
      <c r="C153" t="str">
        <f t="shared" si="5"/>
        <v>No</v>
      </c>
    </row>
    <row r="154" spans="1:3" ht="18.75" customHeight="1" x14ac:dyDescent="0.3">
      <c r="A154" s="2">
        <v>21</v>
      </c>
      <c r="B154" s="8">
        <f t="shared" si="4"/>
        <v>-0.32212677766151998</v>
      </c>
      <c r="C154" t="str">
        <f t="shared" si="5"/>
        <v>No</v>
      </c>
    </row>
    <row r="155" spans="1:3" ht="18.75" customHeight="1" x14ac:dyDescent="0.3">
      <c r="A155" s="2">
        <v>14</v>
      </c>
      <c r="B155" s="8">
        <f t="shared" si="4"/>
        <v>-1.2188545979702679</v>
      </c>
      <c r="C155" t="str">
        <f t="shared" si="5"/>
        <v>No</v>
      </c>
    </row>
    <row r="156" spans="1:3" ht="18.75" customHeight="1" x14ac:dyDescent="0.3">
      <c r="A156" s="2">
        <v>14</v>
      </c>
      <c r="B156" s="8">
        <f t="shared" si="4"/>
        <v>-1.2188545979702679</v>
      </c>
      <c r="C156" t="str">
        <f t="shared" si="5"/>
        <v>No</v>
      </c>
    </row>
    <row r="157" spans="1:3" ht="18.75" customHeight="1" x14ac:dyDescent="0.3">
      <c r="A157" s="2">
        <v>14</v>
      </c>
      <c r="B157" s="8">
        <f t="shared" si="4"/>
        <v>-1.2188545979702679</v>
      </c>
      <c r="C157" t="str">
        <f t="shared" si="5"/>
        <v>No</v>
      </c>
    </row>
    <row r="158" spans="1:3" ht="18.75" customHeight="1" x14ac:dyDescent="0.3">
      <c r="A158" s="2">
        <v>14</v>
      </c>
      <c r="B158" s="8">
        <f t="shared" si="4"/>
        <v>-1.2188545979702679</v>
      </c>
      <c r="C158" t="str">
        <f t="shared" si="5"/>
        <v>No</v>
      </c>
    </row>
    <row r="159" spans="1:3" ht="18.75" customHeight="1" x14ac:dyDescent="0.3">
      <c r="A159" s="2">
        <v>15</v>
      </c>
      <c r="B159" s="8">
        <f t="shared" si="4"/>
        <v>-1.0907506236404467</v>
      </c>
      <c r="C159" t="str">
        <f t="shared" si="5"/>
        <v>No</v>
      </c>
    </row>
    <row r="160" spans="1:3" ht="18.75" customHeight="1" x14ac:dyDescent="0.3">
      <c r="A160" s="2">
        <v>11</v>
      </c>
      <c r="B160" s="8">
        <f t="shared" si="4"/>
        <v>-1.6031665209597314</v>
      </c>
      <c r="C160" t="str">
        <f t="shared" si="5"/>
        <v>No</v>
      </c>
    </row>
    <row r="161" spans="1:3" ht="18.75" customHeight="1" x14ac:dyDescent="0.3">
      <c r="A161" s="2">
        <v>15</v>
      </c>
      <c r="B161" s="8">
        <f t="shared" si="4"/>
        <v>-1.0907506236404467</v>
      </c>
      <c r="C161" t="str">
        <f t="shared" si="5"/>
        <v>No</v>
      </c>
    </row>
    <row r="162" spans="1:3" ht="18.75" customHeight="1" x14ac:dyDescent="0.3">
      <c r="A162" s="2">
        <v>10</v>
      </c>
      <c r="B162" s="8">
        <f t="shared" si="4"/>
        <v>-1.7312704952895526</v>
      </c>
      <c r="C162" t="str">
        <f t="shared" si="5"/>
        <v>No</v>
      </c>
    </row>
    <row r="163" spans="1:3" ht="18.75" customHeight="1" x14ac:dyDescent="0.3">
      <c r="A163" s="2">
        <v>10</v>
      </c>
      <c r="B163" s="8">
        <f t="shared" si="4"/>
        <v>-1.7312704952895526</v>
      </c>
      <c r="C163" t="str">
        <f t="shared" si="5"/>
        <v>No</v>
      </c>
    </row>
    <row r="164" spans="1:3" ht="18.75" customHeight="1" x14ac:dyDescent="0.3">
      <c r="A164" s="2">
        <v>15</v>
      </c>
      <c r="B164" s="8">
        <f t="shared" si="4"/>
        <v>-1.0907506236404467</v>
      </c>
      <c r="C164" t="str">
        <f t="shared" si="5"/>
        <v>No</v>
      </c>
    </row>
    <row r="165" spans="1:3" ht="18.75" customHeight="1" x14ac:dyDescent="0.3">
      <c r="A165" s="2">
        <v>15</v>
      </c>
      <c r="B165" s="8">
        <f t="shared" si="4"/>
        <v>-1.0907506236404467</v>
      </c>
      <c r="C165" t="str">
        <f t="shared" si="5"/>
        <v>No</v>
      </c>
    </row>
    <row r="166" spans="1:3" ht="18.75" customHeight="1" x14ac:dyDescent="0.3">
      <c r="A166" s="2">
        <v>14</v>
      </c>
      <c r="B166" s="8">
        <f t="shared" si="4"/>
        <v>-1.2188545979702679</v>
      </c>
      <c r="C166" t="str">
        <f t="shared" si="5"/>
        <v>No</v>
      </c>
    </row>
    <row r="167" spans="1:3" ht="18.75" customHeight="1" x14ac:dyDescent="0.3">
      <c r="A167" s="2">
        <v>16</v>
      </c>
      <c r="B167" s="8">
        <f t="shared" si="4"/>
        <v>-0.96264664931062571</v>
      </c>
      <c r="C167" t="str">
        <f t="shared" si="5"/>
        <v>No</v>
      </c>
    </row>
    <row r="168" spans="1:3" ht="18.75" customHeight="1" x14ac:dyDescent="0.3">
      <c r="A168" s="2">
        <v>18</v>
      </c>
      <c r="B168" s="8">
        <f t="shared" si="4"/>
        <v>-0.70643870065098335</v>
      </c>
      <c r="C168" t="str">
        <f t="shared" si="5"/>
        <v>No</v>
      </c>
    </row>
    <row r="169" spans="1:3" ht="18.75" customHeight="1" x14ac:dyDescent="0.3">
      <c r="A169" s="2">
        <v>9</v>
      </c>
      <c r="B169" s="8">
        <f t="shared" si="4"/>
        <v>-1.8593744696193737</v>
      </c>
      <c r="C169" t="str">
        <f t="shared" si="5"/>
        <v>No</v>
      </c>
    </row>
    <row r="170" spans="1:3" ht="18.75" customHeight="1" x14ac:dyDescent="0.3">
      <c r="A170" s="2">
        <v>17</v>
      </c>
      <c r="B170" s="8">
        <f t="shared" si="4"/>
        <v>-0.83454267498080459</v>
      </c>
      <c r="C170" t="str">
        <f t="shared" si="5"/>
        <v>No</v>
      </c>
    </row>
    <row r="171" spans="1:3" ht="18.75" customHeight="1" x14ac:dyDescent="0.3">
      <c r="A171" s="2">
        <v>15</v>
      </c>
      <c r="B171" s="8">
        <f t="shared" si="4"/>
        <v>-1.0907506236404467</v>
      </c>
      <c r="C171" t="str">
        <f t="shared" si="5"/>
        <v>No</v>
      </c>
    </row>
    <row r="172" spans="1:3" ht="18.75" customHeight="1" x14ac:dyDescent="0.3">
      <c r="A172" s="2">
        <v>18</v>
      </c>
      <c r="B172" s="8">
        <f t="shared" si="4"/>
        <v>-0.70643870065098335</v>
      </c>
      <c r="C172" t="str">
        <f t="shared" si="5"/>
        <v>No</v>
      </c>
    </row>
    <row r="173" spans="1:3" ht="18.75" customHeight="1" x14ac:dyDescent="0.3">
      <c r="A173" s="2">
        <v>28</v>
      </c>
      <c r="B173" s="8">
        <f t="shared" si="4"/>
        <v>0.57460104264722789</v>
      </c>
      <c r="C173" t="str">
        <f t="shared" si="5"/>
        <v>No</v>
      </c>
    </row>
    <row r="174" spans="1:3" ht="18.75" customHeight="1" x14ac:dyDescent="0.3">
      <c r="A174" s="2">
        <v>23</v>
      </c>
      <c r="B174" s="8">
        <f t="shared" si="4"/>
        <v>-6.5918829001877732E-2</v>
      </c>
      <c r="C174" t="str">
        <f t="shared" si="5"/>
        <v>No</v>
      </c>
    </row>
    <row r="175" spans="1:3" ht="18.75" customHeight="1" x14ac:dyDescent="0.3">
      <c r="A175" s="2">
        <v>26</v>
      </c>
      <c r="B175" s="8">
        <f t="shared" si="4"/>
        <v>0.3183930939875857</v>
      </c>
      <c r="C175" t="str">
        <f t="shared" si="5"/>
        <v>No</v>
      </c>
    </row>
    <row r="176" spans="1:3" ht="18.75" customHeight="1" x14ac:dyDescent="0.3">
      <c r="A176" s="2">
        <v>22</v>
      </c>
      <c r="B176" s="8">
        <f t="shared" si="4"/>
        <v>-0.19402280333169886</v>
      </c>
      <c r="C176" t="str">
        <f t="shared" si="5"/>
        <v>No</v>
      </c>
    </row>
    <row r="177" spans="1:3" ht="18.75" customHeight="1" x14ac:dyDescent="0.3">
      <c r="A177" s="2">
        <v>25</v>
      </c>
      <c r="B177" s="8">
        <f t="shared" si="4"/>
        <v>0.19028911965776454</v>
      </c>
      <c r="C177" t="str">
        <f t="shared" si="5"/>
        <v>No</v>
      </c>
    </row>
    <row r="178" spans="1:3" ht="18.75" customHeight="1" x14ac:dyDescent="0.3">
      <c r="A178" s="2">
        <v>19</v>
      </c>
      <c r="B178" s="8">
        <f t="shared" si="4"/>
        <v>-0.57833472632116223</v>
      </c>
      <c r="C178" t="str">
        <f t="shared" si="5"/>
        <v>No</v>
      </c>
    </row>
    <row r="179" spans="1:3" ht="18.75" customHeight="1" x14ac:dyDescent="0.3">
      <c r="A179" s="2">
        <v>18</v>
      </c>
      <c r="B179" s="8">
        <f t="shared" si="4"/>
        <v>-0.70643870065098335</v>
      </c>
      <c r="C179" t="str">
        <f t="shared" si="5"/>
        <v>No</v>
      </c>
    </row>
    <row r="180" spans="1:3" ht="18.75" customHeight="1" x14ac:dyDescent="0.3">
      <c r="A180" s="2">
        <v>16</v>
      </c>
      <c r="B180" s="8">
        <f t="shared" si="4"/>
        <v>-0.96264664931062571</v>
      </c>
      <c r="C180" t="str">
        <f t="shared" si="5"/>
        <v>No</v>
      </c>
    </row>
    <row r="181" spans="1:3" ht="18.75" customHeight="1" x14ac:dyDescent="0.3">
      <c r="A181" s="2">
        <v>19</v>
      </c>
      <c r="B181" s="8">
        <f t="shared" si="4"/>
        <v>-0.57833472632116223</v>
      </c>
      <c r="C181" t="str">
        <f t="shared" si="5"/>
        <v>No</v>
      </c>
    </row>
    <row r="182" spans="1:3" ht="18.75" customHeight="1" x14ac:dyDescent="0.3">
      <c r="A182" s="2">
        <v>18</v>
      </c>
      <c r="B182" s="8">
        <f t="shared" si="4"/>
        <v>-0.70643870065098335</v>
      </c>
      <c r="C182" t="str">
        <f t="shared" si="5"/>
        <v>No</v>
      </c>
    </row>
    <row r="183" spans="1:3" ht="18.75" customHeight="1" x14ac:dyDescent="0.3">
      <c r="A183" s="2">
        <v>17</v>
      </c>
      <c r="B183" s="8">
        <f t="shared" si="4"/>
        <v>-0.83454267498080459</v>
      </c>
      <c r="C183" t="str">
        <f t="shared" si="5"/>
        <v>No</v>
      </c>
    </row>
    <row r="184" spans="1:3" ht="18.75" customHeight="1" x14ac:dyDescent="0.3">
      <c r="A184" s="2">
        <v>18</v>
      </c>
      <c r="B184" s="8">
        <f t="shared" si="4"/>
        <v>-0.70643870065098335</v>
      </c>
      <c r="C184" t="str">
        <f t="shared" si="5"/>
        <v>No</v>
      </c>
    </row>
    <row r="185" spans="1:3" ht="18.75" customHeight="1" x14ac:dyDescent="0.3">
      <c r="A185" s="2">
        <v>19</v>
      </c>
      <c r="B185" s="8">
        <f t="shared" si="4"/>
        <v>-0.57833472632116223</v>
      </c>
      <c r="C185" t="str">
        <f t="shared" si="5"/>
        <v>No</v>
      </c>
    </row>
    <row r="186" spans="1:3" ht="18.75" customHeight="1" x14ac:dyDescent="0.3">
      <c r="A186" s="2">
        <v>14</v>
      </c>
      <c r="B186" s="8">
        <f t="shared" si="4"/>
        <v>-1.2188545979702679</v>
      </c>
      <c r="C186" t="str">
        <f t="shared" si="5"/>
        <v>No</v>
      </c>
    </row>
    <row r="187" spans="1:3" ht="18.75" customHeight="1" x14ac:dyDescent="0.3">
      <c r="A187" s="2">
        <v>14</v>
      </c>
      <c r="B187" s="8">
        <f t="shared" si="4"/>
        <v>-1.2188545979702679</v>
      </c>
      <c r="C187" t="str">
        <f t="shared" si="5"/>
        <v>No</v>
      </c>
    </row>
    <row r="188" spans="1:3" ht="18.75" customHeight="1" x14ac:dyDescent="0.3">
      <c r="A188" s="2">
        <v>14</v>
      </c>
      <c r="B188" s="8">
        <f t="shared" si="4"/>
        <v>-1.2188545979702679</v>
      </c>
      <c r="C188" t="str">
        <f t="shared" si="5"/>
        <v>No</v>
      </c>
    </row>
    <row r="189" spans="1:3" ht="18.75" customHeight="1" x14ac:dyDescent="0.3">
      <c r="A189" s="2">
        <v>14</v>
      </c>
      <c r="B189" s="8">
        <f t="shared" si="4"/>
        <v>-1.2188545979702679</v>
      </c>
      <c r="C189" t="str">
        <f t="shared" si="5"/>
        <v>No</v>
      </c>
    </row>
    <row r="190" spans="1:3" ht="18.75" customHeight="1" x14ac:dyDescent="0.3">
      <c r="A190" s="2">
        <v>12</v>
      </c>
      <c r="B190" s="8">
        <f t="shared" si="4"/>
        <v>-1.4750625466299101</v>
      </c>
      <c r="C190" t="str">
        <f t="shared" si="5"/>
        <v>No</v>
      </c>
    </row>
    <row r="191" spans="1:3" ht="18.75" customHeight="1" x14ac:dyDescent="0.3">
      <c r="A191" s="2">
        <v>13</v>
      </c>
      <c r="B191" s="8">
        <f t="shared" si="4"/>
        <v>-1.346958572300089</v>
      </c>
      <c r="C191" t="str">
        <f t="shared" si="5"/>
        <v>No</v>
      </c>
    </row>
    <row r="192" spans="1:3" ht="18.75" customHeight="1" x14ac:dyDescent="0.3">
      <c r="A192" s="2">
        <v>13</v>
      </c>
      <c r="B192" s="8">
        <f t="shared" si="4"/>
        <v>-1.346958572300089</v>
      </c>
      <c r="C192" t="str">
        <f t="shared" si="5"/>
        <v>No</v>
      </c>
    </row>
    <row r="193" spans="1:3" ht="18.75" customHeight="1" x14ac:dyDescent="0.3">
      <c r="A193" s="2">
        <v>21</v>
      </c>
      <c r="B193" s="8">
        <f t="shared" si="4"/>
        <v>-0.32212677766151998</v>
      </c>
      <c r="C193" t="str">
        <f t="shared" si="5"/>
        <v>No</v>
      </c>
    </row>
    <row r="194" spans="1:3" ht="18.75" customHeight="1" x14ac:dyDescent="0.3">
      <c r="A194" s="2">
        <v>25</v>
      </c>
      <c r="B194" s="8">
        <f t="shared" ref="B194:B257" si="6">IFERROR((A194-$P$3) / $R$3, "")</f>
        <v>0.19028911965776454</v>
      </c>
      <c r="C194" t="str">
        <f t="shared" ref="C194:C257" si="7">IF(ABS(B194)&gt;2,"Yes","No")</f>
        <v>No</v>
      </c>
    </row>
    <row r="195" spans="1:3" ht="18.75" customHeight="1" x14ac:dyDescent="0.3">
      <c r="A195" s="2">
        <v>20</v>
      </c>
      <c r="B195" s="8">
        <f t="shared" si="6"/>
        <v>-0.45023075199134116</v>
      </c>
      <c r="C195" t="str">
        <f t="shared" si="7"/>
        <v>No</v>
      </c>
    </row>
    <row r="196" spans="1:3" ht="18.75" customHeight="1" x14ac:dyDescent="0.3">
      <c r="A196" s="2">
        <v>28</v>
      </c>
      <c r="B196" s="8">
        <f t="shared" si="6"/>
        <v>0.57460104264722789</v>
      </c>
      <c r="C196" t="str">
        <f t="shared" si="7"/>
        <v>No</v>
      </c>
    </row>
    <row r="197" spans="1:3" ht="18.75" customHeight="1" x14ac:dyDescent="0.3">
      <c r="A197" s="2">
        <v>22</v>
      </c>
      <c r="B197" s="8">
        <f t="shared" si="6"/>
        <v>-0.19402280333169886</v>
      </c>
      <c r="C197" t="str">
        <f t="shared" si="7"/>
        <v>No</v>
      </c>
    </row>
    <row r="198" spans="1:3" ht="18.75" customHeight="1" x14ac:dyDescent="0.3">
      <c r="A198" s="2">
        <v>11</v>
      </c>
      <c r="B198" s="8">
        <f t="shared" si="6"/>
        <v>-1.6031665209597314</v>
      </c>
      <c r="C198" t="str">
        <f t="shared" si="7"/>
        <v>No</v>
      </c>
    </row>
    <row r="199" spans="1:3" ht="18.75" customHeight="1" x14ac:dyDescent="0.3">
      <c r="A199" s="2">
        <v>13</v>
      </c>
      <c r="B199" s="8">
        <f t="shared" si="6"/>
        <v>-1.346958572300089</v>
      </c>
      <c r="C199" t="str">
        <f t="shared" si="7"/>
        <v>No</v>
      </c>
    </row>
    <row r="200" spans="1:3" ht="18.75" customHeight="1" x14ac:dyDescent="0.3">
      <c r="A200" s="2">
        <v>17</v>
      </c>
      <c r="B200" s="8">
        <f t="shared" si="6"/>
        <v>-0.83454267498080459</v>
      </c>
      <c r="C200" t="str">
        <f t="shared" si="7"/>
        <v>No</v>
      </c>
    </row>
    <row r="201" spans="1:3" ht="18.75" customHeight="1" x14ac:dyDescent="0.3">
      <c r="A201" s="2">
        <v>14</v>
      </c>
      <c r="B201" s="8">
        <f t="shared" si="6"/>
        <v>-1.2188545979702679</v>
      </c>
      <c r="C201" t="str">
        <f t="shared" si="7"/>
        <v>No</v>
      </c>
    </row>
    <row r="202" spans="1:3" ht="18.75" customHeight="1" x14ac:dyDescent="0.3">
      <c r="A202" s="2">
        <v>13</v>
      </c>
      <c r="B202" s="8">
        <f t="shared" si="6"/>
        <v>-1.346958572300089</v>
      </c>
      <c r="C202" t="str">
        <f t="shared" si="7"/>
        <v>No</v>
      </c>
    </row>
    <row r="203" spans="1:3" ht="18.75" customHeight="1" x14ac:dyDescent="0.3">
      <c r="A203" s="2">
        <v>15</v>
      </c>
      <c r="B203" s="8">
        <f t="shared" si="6"/>
        <v>-1.0907506236404467</v>
      </c>
      <c r="C203" t="str">
        <f t="shared" si="7"/>
        <v>No</v>
      </c>
    </row>
    <row r="204" spans="1:3" ht="18.75" customHeight="1" x14ac:dyDescent="0.3">
      <c r="A204" s="2">
        <v>14</v>
      </c>
      <c r="B204" s="8">
        <f t="shared" si="6"/>
        <v>-1.2188545979702679</v>
      </c>
      <c r="C204" t="str">
        <f t="shared" si="7"/>
        <v>No</v>
      </c>
    </row>
    <row r="205" spans="1:3" ht="18.75" customHeight="1" x14ac:dyDescent="0.3">
      <c r="A205" s="2">
        <v>14</v>
      </c>
      <c r="B205" s="8">
        <f t="shared" si="6"/>
        <v>-1.2188545979702679</v>
      </c>
      <c r="C205" t="str">
        <f t="shared" si="7"/>
        <v>No</v>
      </c>
    </row>
    <row r="206" spans="1:3" ht="18.75" customHeight="1" x14ac:dyDescent="0.3">
      <c r="A206" s="2">
        <v>15</v>
      </c>
      <c r="B206" s="8">
        <f t="shared" si="6"/>
        <v>-1.0907506236404467</v>
      </c>
      <c r="C206" t="str">
        <f t="shared" si="7"/>
        <v>No</v>
      </c>
    </row>
    <row r="207" spans="1:3" ht="18.75" customHeight="1" x14ac:dyDescent="0.3">
      <c r="A207" s="2">
        <v>12</v>
      </c>
      <c r="B207" s="8">
        <f t="shared" si="6"/>
        <v>-1.4750625466299101</v>
      </c>
      <c r="C207" t="str">
        <f t="shared" si="7"/>
        <v>No</v>
      </c>
    </row>
    <row r="208" spans="1:3" ht="18.75" customHeight="1" x14ac:dyDescent="0.3">
      <c r="A208" s="2">
        <v>13</v>
      </c>
      <c r="B208" s="8">
        <f t="shared" si="6"/>
        <v>-1.346958572300089</v>
      </c>
      <c r="C208" t="str">
        <f t="shared" si="7"/>
        <v>No</v>
      </c>
    </row>
    <row r="209" spans="1:3" ht="18.75" customHeight="1" x14ac:dyDescent="0.3">
      <c r="A209" s="2">
        <v>13</v>
      </c>
      <c r="B209" s="8">
        <f t="shared" si="6"/>
        <v>-1.346958572300089</v>
      </c>
      <c r="C209" t="str">
        <f t="shared" si="7"/>
        <v>No</v>
      </c>
    </row>
    <row r="210" spans="1:3" ht="18.75" customHeight="1" x14ac:dyDescent="0.3">
      <c r="A210" s="2">
        <v>13</v>
      </c>
      <c r="B210" s="8">
        <f t="shared" si="6"/>
        <v>-1.346958572300089</v>
      </c>
      <c r="C210" t="str">
        <f t="shared" si="7"/>
        <v>No</v>
      </c>
    </row>
    <row r="211" spans="1:3" ht="18.75" customHeight="1" x14ac:dyDescent="0.3">
      <c r="A211" s="2">
        <v>19</v>
      </c>
      <c r="B211" s="8">
        <f t="shared" si="6"/>
        <v>-0.57833472632116223</v>
      </c>
      <c r="C211" t="str">
        <f t="shared" si="7"/>
        <v>No</v>
      </c>
    </row>
    <row r="212" spans="1:3" ht="18.75" customHeight="1" x14ac:dyDescent="0.3">
      <c r="A212" s="2">
        <v>21</v>
      </c>
      <c r="B212" s="8">
        <f t="shared" si="6"/>
        <v>-0.32212677766151998</v>
      </c>
      <c r="C212" t="str">
        <f t="shared" si="7"/>
        <v>No</v>
      </c>
    </row>
    <row r="213" spans="1:3" ht="18.75" customHeight="1" x14ac:dyDescent="0.3">
      <c r="A213" s="2">
        <v>21</v>
      </c>
      <c r="B213" s="8">
        <f t="shared" si="6"/>
        <v>-0.32212677766151998</v>
      </c>
      <c r="C213" t="str">
        <f t="shared" si="7"/>
        <v>No</v>
      </c>
    </row>
    <row r="214" spans="1:3" ht="18.75" customHeight="1" x14ac:dyDescent="0.3">
      <c r="A214" s="2">
        <v>18</v>
      </c>
      <c r="B214" s="8">
        <f t="shared" si="6"/>
        <v>-0.70643870065098335</v>
      </c>
      <c r="C214" t="str">
        <f t="shared" si="7"/>
        <v>No</v>
      </c>
    </row>
    <row r="215" spans="1:3" ht="18.75" customHeight="1" x14ac:dyDescent="0.3">
      <c r="A215" s="2">
        <v>18</v>
      </c>
      <c r="B215" s="8">
        <f t="shared" si="6"/>
        <v>-0.70643870065098335</v>
      </c>
      <c r="C215" t="str">
        <f t="shared" si="7"/>
        <v>No</v>
      </c>
    </row>
    <row r="216" spans="1:3" ht="18.75" customHeight="1" x14ac:dyDescent="0.3">
      <c r="A216" s="2">
        <v>18</v>
      </c>
      <c r="B216" s="8">
        <f t="shared" si="6"/>
        <v>-0.70643870065098335</v>
      </c>
      <c r="C216" t="str">
        <f t="shared" si="7"/>
        <v>No</v>
      </c>
    </row>
    <row r="217" spans="1:3" ht="18.75" customHeight="1" x14ac:dyDescent="0.3">
      <c r="A217" s="2">
        <v>23</v>
      </c>
      <c r="B217" s="8">
        <f t="shared" si="6"/>
        <v>-6.5918829001877732E-2</v>
      </c>
      <c r="C217" t="str">
        <f t="shared" si="7"/>
        <v>No</v>
      </c>
    </row>
    <row r="218" spans="1:3" ht="18.75" customHeight="1" x14ac:dyDescent="0.3">
      <c r="A218" s="2">
        <v>16</v>
      </c>
      <c r="B218" s="8">
        <f t="shared" si="6"/>
        <v>-0.96264664931062571</v>
      </c>
      <c r="C218" t="str">
        <f t="shared" si="7"/>
        <v>No</v>
      </c>
    </row>
    <row r="219" spans="1:3" ht="18.75" customHeight="1" x14ac:dyDescent="0.3">
      <c r="A219" s="2">
        <v>18</v>
      </c>
      <c r="B219" s="8">
        <f t="shared" si="6"/>
        <v>-0.70643870065098335</v>
      </c>
      <c r="C219" t="str">
        <f t="shared" si="7"/>
        <v>No</v>
      </c>
    </row>
    <row r="220" spans="1:3" ht="18.75" customHeight="1" x14ac:dyDescent="0.3">
      <c r="A220" s="2">
        <v>16</v>
      </c>
      <c r="B220" s="8">
        <f t="shared" si="6"/>
        <v>-0.96264664931062571</v>
      </c>
      <c r="C220" t="str">
        <f t="shared" si="7"/>
        <v>No</v>
      </c>
    </row>
    <row r="221" spans="1:3" ht="18.75" customHeight="1" x14ac:dyDescent="0.3">
      <c r="A221" s="2">
        <v>11</v>
      </c>
      <c r="B221" s="8">
        <f t="shared" si="6"/>
        <v>-1.6031665209597314</v>
      </c>
      <c r="C221" t="str">
        <f t="shared" si="7"/>
        <v>No</v>
      </c>
    </row>
    <row r="222" spans="1:3" ht="18.75" customHeight="1" x14ac:dyDescent="0.3">
      <c r="A222" s="2">
        <v>13</v>
      </c>
      <c r="B222" s="8">
        <f t="shared" si="6"/>
        <v>-1.346958572300089</v>
      </c>
      <c r="C222" t="str">
        <f t="shared" si="7"/>
        <v>No</v>
      </c>
    </row>
    <row r="223" spans="1:3" ht="18.75" customHeight="1" x14ac:dyDescent="0.3">
      <c r="A223" s="2">
        <v>12</v>
      </c>
      <c r="B223" s="8">
        <f t="shared" si="6"/>
        <v>-1.4750625466299101</v>
      </c>
      <c r="C223" t="str">
        <f t="shared" si="7"/>
        <v>No</v>
      </c>
    </row>
    <row r="224" spans="1:3" ht="18.75" customHeight="1" x14ac:dyDescent="0.3">
      <c r="A224" s="2">
        <v>13</v>
      </c>
      <c r="B224" s="8">
        <f t="shared" si="6"/>
        <v>-1.346958572300089</v>
      </c>
      <c r="C224" t="str">
        <f t="shared" si="7"/>
        <v>No</v>
      </c>
    </row>
    <row r="225" spans="1:3" ht="18.75" customHeight="1" x14ac:dyDescent="0.3">
      <c r="A225" s="2">
        <v>15</v>
      </c>
      <c r="B225" s="8">
        <f t="shared" si="6"/>
        <v>-1.0907506236404467</v>
      </c>
      <c r="C225" t="str">
        <f t="shared" si="7"/>
        <v>No</v>
      </c>
    </row>
    <row r="226" spans="1:3" ht="18.75" customHeight="1" x14ac:dyDescent="0.3">
      <c r="A226" s="2">
        <v>13</v>
      </c>
      <c r="B226" s="8">
        <f t="shared" si="6"/>
        <v>-1.346958572300089</v>
      </c>
      <c r="C226" t="str">
        <f t="shared" si="7"/>
        <v>No</v>
      </c>
    </row>
    <row r="227" spans="1:3" ht="18.75" customHeight="1" x14ac:dyDescent="0.3">
      <c r="A227" s="2">
        <v>14</v>
      </c>
      <c r="B227" s="8">
        <f t="shared" si="6"/>
        <v>-1.2188545979702679</v>
      </c>
      <c r="C227" t="str">
        <f t="shared" si="7"/>
        <v>No</v>
      </c>
    </row>
    <row r="228" spans="1:3" ht="18.75" customHeight="1" x14ac:dyDescent="0.3">
      <c r="A228" s="2">
        <v>12</v>
      </c>
      <c r="B228" s="8">
        <f t="shared" si="6"/>
        <v>-1.4750625466299101</v>
      </c>
      <c r="C228" t="str">
        <f t="shared" si="7"/>
        <v>No</v>
      </c>
    </row>
    <row r="229" spans="1:3" ht="18.75" customHeight="1" x14ac:dyDescent="0.3">
      <c r="A229" s="2">
        <v>12</v>
      </c>
      <c r="B229" s="8">
        <f t="shared" si="6"/>
        <v>-1.4750625466299101</v>
      </c>
      <c r="C229" t="str">
        <f t="shared" si="7"/>
        <v>No</v>
      </c>
    </row>
    <row r="230" spans="1:3" ht="18.75" customHeight="1" x14ac:dyDescent="0.3">
      <c r="A230" s="2">
        <v>15</v>
      </c>
      <c r="B230" s="8">
        <f t="shared" si="6"/>
        <v>-1.0907506236404467</v>
      </c>
      <c r="C230" t="str">
        <f t="shared" si="7"/>
        <v>No</v>
      </c>
    </row>
    <row r="231" spans="1:3" ht="18.75" customHeight="1" x14ac:dyDescent="0.3">
      <c r="A231" s="2">
        <v>13</v>
      </c>
      <c r="B231" s="8">
        <f t="shared" si="6"/>
        <v>-1.346958572300089</v>
      </c>
      <c r="C231" t="str">
        <f t="shared" si="7"/>
        <v>No</v>
      </c>
    </row>
    <row r="232" spans="1:3" ht="18.75" customHeight="1" x14ac:dyDescent="0.3">
      <c r="A232" s="2">
        <v>13</v>
      </c>
      <c r="B232" s="8">
        <f t="shared" si="6"/>
        <v>-1.346958572300089</v>
      </c>
      <c r="C232" t="str">
        <f t="shared" si="7"/>
        <v>No</v>
      </c>
    </row>
    <row r="233" spans="1:3" ht="18.75" customHeight="1" x14ac:dyDescent="0.3">
      <c r="A233" s="2">
        <v>13</v>
      </c>
      <c r="B233" s="8">
        <f t="shared" si="6"/>
        <v>-1.346958572300089</v>
      </c>
      <c r="C233" t="str">
        <f t="shared" si="7"/>
        <v>No</v>
      </c>
    </row>
    <row r="234" spans="1:3" ht="18.75" customHeight="1" x14ac:dyDescent="0.3">
      <c r="A234" s="2">
        <v>15</v>
      </c>
      <c r="B234" s="8">
        <f t="shared" si="6"/>
        <v>-1.0907506236404467</v>
      </c>
      <c r="C234" t="str">
        <f t="shared" si="7"/>
        <v>No</v>
      </c>
    </row>
    <row r="235" spans="1:3" ht="18.75" customHeight="1" x14ac:dyDescent="0.3">
      <c r="A235" s="2">
        <v>14</v>
      </c>
      <c r="B235" s="8">
        <f t="shared" si="6"/>
        <v>-1.2188545979702679</v>
      </c>
      <c r="C235" t="str">
        <f t="shared" si="7"/>
        <v>No</v>
      </c>
    </row>
    <row r="236" spans="1:3" ht="18.75" customHeight="1" x14ac:dyDescent="0.3">
      <c r="A236" s="2">
        <v>12</v>
      </c>
      <c r="B236" s="8">
        <f t="shared" si="6"/>
        <v>-1.4750625466299101</v>
      </c>
      <c r="C236" t="str">
        <f t="shared" si="7"/>
        <v>No</v>
      </c>
    </row>
    <row r="237" spans="1:3" ht="18.75" customHeight="1" x14ac:dyDescent="0.3">
      <c r="A237" s="2">
        <v>14</v>
      </c>
      <c r="B237" s="8">
        <f t="shared" si="6"/>
        <v>-1.2188545979702679</v>
      </c>
      <c r="C237" t="str">
        <f t="shared" si="7"/>
        <v>No</v>
      </c>
    </row>
    <row r="238" spans="1:3" ht="18.75" customHeight="1" x14ac:dyDescent="0.3">
      <c r="A238" s="2">
        <v>13</v>
      </c>
      <c r="B238" s="8">
        <f t="shared" si="6"/>
        <v>-1.346958572300089</v>
      </c>
      <c r="C238" t="str">
        <f t="shared" si="7"/>
        <v>No</v>
      </c>
    </row>
    <row r="239" spans="1:3" ht="18.75" customHeight="1" x14ac:dyDescent="0.3">
      <c r="A239" s="2">
        <v>11</v>
      </c>
      <c r="B239" s="8">
        <f t="shared" si="6"/>
        <v>-1.6031665209597314</v>
      </c>
      <c r="C239" t="str">
        <f t="shared" si="7"/>
        <v>No</v>
      </c>
    </row>
    <row r="240" spans="1:3" ht="18.75" customHeight="1" x14ac:dyDescent="0.3">
      <c r="A240" s="2">
        <v>28</v>
      </c>
      <c r="B240" s="8">
        <f t="shared" si="6"/>
        <v>0.57460104264722789</v>
      </c>
      <c r="C240" t="str">
        <f t="shared" si="7"/>
        <v>No</v>
      </c>
    </row>
    <row r="241" spans="1:3" ht="18.75" customHeight="1" x14ac:dyDescent="0.3">
      <c r="A241" s="2">
        <v>26</v>
      </c>
      <c r="B241" s="8">
        <f t="shared" si="6"/>
        <v>0.3183930939875857</v>
      </c>
      <c r="C241" t="str">
        <f t="shared" si="7"/>
        <v>No</v>
      </c>
    </row>
    <row r="242" spans="1:3" ht="18.75" customHeight="1" x14ac:dyDescent="0.3">
      <c r="A242" s="2">
        <v>25</v>
      </c>
      <c r="B242" s="8">
        <f t="shared" si="6"/>
        <v>0.19028911965776454</v>
      </c>
      <c r="C242" t="str">
        <f t="shared" si="7"/>
        <v>No</v>
      </c>
    </row>
    <row r="243" spans="1:3" ht="18.75" customHeight="1" x14ac:dyDescent="0.3">
      <c r="A243" s="2">
        <v>19</v>
      </c>
      <c r="B243" s="8">
        <f t="shared" si="6"/>
        <v>-0.57833472632116223</v>
      </c>
      <c r="C243" t="str">
        <f t="shared" si="7"/>
        <v>No</v>
      </c>
    </row>
    <row r="244" spans="1:3" ht="18.75" customHeight="1" x14ac:dyDescent="0.3">
      <c r="A244" s="2">
        <v>20</v>
      </c>
      <c r="B244" s="8">
        <f t="shared" si="6"/>
        <v>-0.45023075199134116</v>
      </c>
      <c r="C244" t="str">
        <f t="shared" si="7"/>
        <v>No</v>
      </c>
    </row>
    <row r="245" spans="1:3" ht="18.75" customHeight="1" x14ac:dyDescent="0.3">
      <c r="A245" s="2">
        <v>16</v>
      </c>
      <c r="B245" s="8">
        <f t="shared" si="6"/>
        <v>-0.96264664931062571</v>
      </c>
      <c r="C245" t="str">
        <f t="shared" si="7"/>
        <v>No</v>
      </c>
    </row>
    <row r="246" spans="1:3" ht="18.75" customHeight="1" x14ac:dyDescent="0.3">
      <c r="A246" s="2">
        <v>15</v>
      </c>
      <c r="B246" s="8">
        <f t="shared" si="6"/>
        <v>-1.0907506236404467</v>
      </c>
      <c r="C246" t="str">
        <f t="shared" si="7"/>
        <v>No</v>
      </c>
    </row>
    <row r="247" spans="1:3" ht="18.75" customHeight="1" x14ac:dyDescent="0.3">
      <c r="A247" s="2">
        <v>18</v>
      </c>
      <c r="B247" s="8">
        <f t="shared" si="6"/>
        <v>-0.70643870065098335</v>
      </c>
      <c r="C247" t="str">
        <f t="shared" si="7"/>
        <v>No</v>
      </c>
    </row>
    <row r="248" spans="1:3" ht="18.75" customHeight="1" x14ac:dyDescent="0.3">
      <c r="A248" s="2">
        <v>16</v>
      </c>
      <c r="B248" s="8">
        <f t="shared" si="6"/>
        <v>-0.96264664931062571</v>
      </c>
      <c r="C248" t="str">
        <f t="shared" si="7"/>
        <v>No</v>
      </c>
    </row>
    <row r="249" spans="1:3" ht="18.75" customHeight="1" x14ac:dyDescent="0.3">
      <c r="A249" s="2">
        <v>21</v>
      </c>
      <c r="B249" s="8">
        <f t="shared" si="6"/>
        <v>-0.32212677766151998</v>
      </c>
      <c r="C249" t="str">
        <f t="shared" si="7"/>
        <v>No</v>
      </c>
    </row>
    <row r="250" spans="1:3" ht="18.75" customHeight="1" x14ac:dyDescent="0.3">
      <c r="A250" s="2">
        <v>14</v>
      </c>
      <c r="B250" s="8">
        <f t="shared" si="6"/>
        <v>-1.2188545979702679</v>
      </c>
      <c r="C250" t="str">
        <f t="shared" si="7"/>
        <v>No</v>
      </c>
    </row>
    <row r="251" spans="1:3" ht="18.75" customHeight="1" x14ac:dyDescent="0.3">
      <c r="A251" s="2">
        <v>16</v>
      </c>
      <c r="B251" s="8">
        <f t="shared" si="6"/>
        <v>-0.96264664931062571</v>
      </c>
      <c r="C251" t="str">
        <f t="shared" si="7"/>
        <v>No</v>
      </c>
    </row>
    <row r="252" spans="1:3" ht="18.75" customHeight="1" x14ac:dyDescent="0.3">
      <c r="A252" s="2">
        <v>14</v>
      </c>
      <c r="B252" s="8">
        <f t="shared" si="6"/>
        <v>-1.2188545979702679</v>
      </c>
      <c r="C252" t="str">
        <f t="shared" si="7"/>
        <v>No</v>
      </c>
    </row>
    <row r="253" spans="1:3" ht="18.75" customHeight="1" x14ac:dyDescent="0.3">
      <c r="A253" s="2">
        <v>13</v>
      </c>
      <c r="B253" s="8">
        <f t="shared" si="6"/>
        <v>-1.346958572300089</v>
      </c>
      <c r="C253" t="str">
        <f t="shared" si="7"/>
        <v>No</v>
      </c>
    </row>
    <row r="254" spans="1:3" ht="18.75" customHeight="1" x14ac:dyDescent="0.3">
      <c r="A254" s="2">
        <v>14</v>
      </c>
      <c r="B254" s="8">
        <f t="shared" si="6"/>
        <v>-1.2188545979702679</v>
      </c>
      <c r="C254" t="str">
        <f t="shared" si="7"/>
        <v>No</v>
      </c>
    </row>
    <row r="255" spans="1:3" ht="18.75" customHeight="1" x14ac:dyDescent="0.3">
      <c r="A255" s="2">
        <v>23</v>
      </c>
      <c r="B255" s="8">
        <f t="shared" si="6"/>
        <v>-6.5918829001877732E-2</v>
      </c>
      <c r="C255" t="str">
        <f t="shared" si="7"/>
        <v>No</v>
      </c>
    </row>
    <row r="256" spans="1:3" ht="18.75" customHeight="1" x14ac:dyDescent="0.3">
      <c r="A256" s="2">
        <v>23</v>
      </c>
      <c r="B256" s="8">
        <f t="shared" si="6"/>
        <v>-6.5918829001877732E-2</v>
      </c>
      <c r="C256" t="str">
        <f t="shared" si="7"/>
        <v>No</v>
      </c>
    </row>
    <row r="257" spans="1:3" ht="18.75" customHeight="1" x14ac:dyDescent="0.3">
      <c r="A257" s="2">
        <v>21</v>
      </c>
      <c r="B257" s="8">
        <f t="shared" si="6"/>
        <v>-0.32212677766151998</v>
      </c>
      <c r="C257" t="str">
        <f t="shared" si="7"/>
        <v>No</v>
      </c>
    </row>
    <row r="258" spans="1:3" ht="18.75" customHeight="1" x14ac:dyDescent="0.3">
      <c r="A258" s="2">
        <v>20</v>
      </c>
      <c r="B258" s="8">
        <f t="shared" ref="B258:B321" si="8">IFERROR((A258-$P$3) / $R$3, "")</f>
        <v>-0.45023075199134116</v>
      </c>
      <c r="C258" t="str">
        <f t="shared" ref="C258:C321" si="9">IF(ABS(B258)&gt;2,"Yes","No")</f>
        <v>No</v>
      </c>
    </row>
    <row r="259" spans="1:3" ht="18.75" customHeight="1" x14ac:dyDescent="0.3">
      <c r="A259" s="2">
        <v>18</v>
      </c>
      <c r="B259" s="8">
        <f t="shared" si="8"/>
        <v>-0.70643870065098335</v>
      </c>
      <c r="C259" t="str">
        <f t="shared" si="9"/>
        <v>No</v>
      </c>
    </row>
    <row r="260" spans="1:3" ht="18.75" customHeight="1" x14ac:dyDescent="0.3">
      <c r="A260" s="2">
        <v>18</v>
      </c>
      <c r="B260" s="8">
        <f t="shared" si="8"/>
        <v>-0.70643870065098335</v>
      </c>
      <c r="C260" t="str">
        <f t="shared" si="9"/>
        <v>No</v>
      </c>
    </row>
    <row r="261" spans="1:3" ht="18.75" customHeight="1" x14ac:dyDescent="0.3">
      <c r="A261" s="2">
        <v>15</v>
      </c>
      <c r="B261" s="8">
        <f t="shared" si="8"/>
        <v>-1.0907506236404467</v>
      </c>
      <c r="C261" t="str">
        <f t="shared" si="9"/>
        <v>No</v>
      </c>
    </row>
    <row r="262" spans="1:3" ht="18.75" customHeight="1" x14ac:dyDescent="0.3">
      <c r="A262" s="2">
        <v>19</v>
      </c>
      <c r="B262" s="8">
        <f t="shared" si="8"/>
        <v>-0.57833472632116223</v>
      </c>
      <c r="C262" t="str">
        <f t="shared" si="9"/>
        <v>No</v>
      </c>
    </row>
    <row r="263" spans="1:3" ht="18.75" customHeight="1" x14ac:dyDescent="0.3">
      <c r="A263" s="2">
        <v>17</v>
      </c>
      <c r="B263" s="8">
        <f t="shared" si="8"/>
        <v>-0.83454267498080459</v>
      </c>
      <c r="C263" t="str">
        <f t="shared" si="9"/>
        <v>No</v>
      </c>
    </row>
    <row r="264" spans="1:3" ht="18.75" customHeight="1" x14ac:dyDescent="0.3">
      <c r="A264" s="2">
        <v>19</v>
      </c>
      <c r="B264" s="8">
        <f t="shared" si="8"/>
        <v>-0.57833472632116223</v>
      </c>
      <c r="C264" t="str">
        <f t="shared" si="9"/>
        <v>No</v>
      </c>
    </row>
    <row r="265" spans="1:3" ht="18.75" customHeight="1" x14ac:dyDescent="0.3">
      <c r="A265" s="2">
        <v>16</v>
      </c>
      <c r="B265" s="8">
        <f t="shared" si="8"/>
        <v>-0.96264664931062571</v>
      </c>
      <c r="C265" t="str">
        <f t="shared" si="9"/>
        <v>No</v>
      </c>
    </row>
    <row r="266" spans="1:3" ht="18.75" customHeight="1" x14ac:dyDescent="0.3">
      <c r="A266" s="2">
        <v>18</v>
      </c>
      <c r="B266" s="8">
        <f t="shared" si="8"/>
        <v>-0.70643870065098335</v>
      </c>
      <c r="C266" t="str">
        <f t="shared" si="9"/>
        <v>No</v>
      </c>
    </row>
    <row r="267" spans="1:3" ht="18.75" customHeight="1" x14ac:dyDescent="0.3">
      <c r="A267" s="2">
        <v>15</v>
      </c>
      <c r="B267" s="8">
        <f t="shared" si="8"/>
        <v>-1.0907506236404467</v>
      </c>
      <c r="C267" t="str">
        <f t="shared" si="9"/>
        <v>No</v>
      </c>
    </row>
    <row r="268" spans="1:3" ht="18.75" customHeight="1" x14ac:dyDescent="0.3">
      <c r="A268" s="2">
        <v>15</v>
      </c>
      <c r="B268" s="8">
        <f t="shared" si="8"/>
        <v>-1.0907506236404467</v>
      </c>
      <c r="C268" t="str">
        <f t="shared" si="9"/>
        <v>No</v>
      </c>
    </row>
    <row r="269" spans="1:3" ht="18.75" customHeight="1" x14ac:dyDescent="0.3">
      <c r="A269" s="2">
        <v>13</v>
      </c>
      <c r="B269" s="8">
        <f t="shared" si="8"/>
        <v>-1.346958572300089</v>
      </c>
      <c r="C269" t="str">
        <f t="shared" si="9"/>
        <v>No</v>
      </c>
    </row>
    <row r="270" spans="1:3" ht="18.75" customHeight="1" x14ac:dyDescent="0.3">
      <c r="A270" s="2">
        <v>16</v>
      </c>
      <c r="B270" s="8">
        <f t="shared" si="8"/>
        <v>-0.96264664931062571</v>
      </c>
      <c r="C270" t="str">
        <f t="shared" si="9"/>
        <v>No</v>
      </c>
    </row>
    <row r="271" spans="1:3" ht="18.75" customHeight="1" x14ac:dyDescent="0.3">
      <c r="A271" s="2">
        <v>20</v>
      </c>
      <c r="B271" s="8">
        <f t="shared" si="8"/>
        <v>-0.45023075199134116</v>
      </c>
      <c r="C271" t="str">
        <f t="shared" si="9"/>
        <v>No</v>
      </c>
    </row>
    <row r="272" spans="1:3" ht="18.75" customHeight="1" x14ac:dyDescent="0.3">
      <c r="A272" s="2">
        <v>16</v>
      </c>
      <c r="B272" s="8">
        <f t="shared" si="8"/>
        <v>-0.96264664931062571</v>
      </c>
      <c r="C272" t="str">
        <f t="shared" si="9"/>
        <v>No</v>
      </c>
    </row>
    <row r="273" spans="1:3" ht="18.75" customHeight="1" x14ac:dyDescent="0.3">
      <c r="A273" s="2">
        <v>15</v>
      </c>
      <c r="B273" s="8">
        <f t="shared" si="8"/>
        <v>-1.0907506236404467</v>
      </c>
      <c r="C273" t="str">
        <f t="shared" si="9"/>
        <v>No</v>
      </c>
    </row>
    <row r="274" spans="1:3" ht="18.75" customHeight="1" x14ac:dyDescent="0.3">
      <c r="A274" s="2">
        <v>14</v>
      </c>
      <c r="B274" s="8">
        <f t="shared" si="8"/>
        <v>-1.2188545979702679</v>
      </c>
      <c r="C274" t="str">
        <f t="shared" si="9"/>
        <v>No</v>
      </c>
    </row>
    <row r="275" spans="1:3" ht="18.75" customHeight="1" x14ac:dyDescent="0.3">
      <c r="A275" s="2">
        <v>25</v>
      </c>
      <c r="B275" s="8">
        <f t="shared" si="8"/>
        <v>0.19028911965776454</v>
      </c>
      <c r="C275" t="str">
        <f t="shared" si="9"/>
        <v>No</v>
      </c>
    </row>
    <row r="276" spans="1:3" ht="18.75" customHeight="1" x14ac:dyDescent="0.3">
      <c r="A276" s="2">
        <v>26</v>
      </c>
      <c r="B276" s="8">
        <f t="shared" si="8"/>
        <v>0.3183930939875857</v>
      </c>
      <c r="C276" t="str">
        <f t="shared" si="9"/>
        <v>No</v>
      </c>
    </row>
    <row r="277" spans="1:3" ht="18.75" customHeight="1" x14ac:dyDescent="0.3">
      <c r="A277" s="8">
        <v>26.5</v>
      </c>
      <c r="B277" s="8">
        <f t="shared" si="8"/>
        <v>0.38244508115249626</v>
      </c>
      <c r="C277" t="str">
        <f t="shared" si="9"/>
        <v>No</v>
      </c>
    </row>
    <row r="278" spans="1:3" ht="18.75" customHeight="1" x14ac:dyDescent="0.3">
      <c r="A278" s="8">
        <v>24.5</v>
      </c>
      <c r="B278" s="8">
        <f t="shared" si="8"/>
        <v>0.12623713249285398</v>
      </c>
      <c r="C278" t="str">
        <f t="shared" si="9"/>
        <v>No</v>
      </c>
    </row>
    <row r="279" spans="1:3" ht="18.75" customHeight="1" x14ac:dyDescent="0.3">
      <c r="A279" s="2">
        <v>29</v>
      </c>
      <c r="B279" s="8">
        <f t="shared" si="8"/>
        <v>0.70270501697704912</v>
      </c>
      <c r="C279" t="str">
        <f t="shared" si="9"/>
        <v>No</v>
      </c>
    </row>
    <row r="280" spans="1:3" ht="18.75" customHeight="1" x14ac:dyDescent="0.3">
      <c r="A280" s="2">
        <v>22</v>
      </c>
      <c r="B280" s="8">
        <f t="shared" si="8"/>
        <v>-0.19402280333169886</v>
      </c>
      <c r="C280" t="str">
        <f t="shared" si="9"/>
        <v>No</v>
      </c>
    </row>
    <row r="281" spans="1:3" ht="18.75" customHeight="1" x14ac:dyDescent="0.3">
      <c r="A281" s="2">
        <v>22</v>
      </c>
      <c r="B281" s="8">
        <f t="shared" si="8"/>
        <v>-0.19402280333169886</v>
      </c>
      <c r="C281" t="str">
        <f t="shared" si="9"/>
        <v>No</v>
      </c>
    </row>
    <row r="282" spans="1:3" ht="18.75" customHeight="1" x14ac:dyDescent="0.3">
      <c r="A282" s="8">
        <v>18.5</v>
      </c>
      <c r="B282" s="8">
        <f t="shared" si="8"/>
        <v>-0.64238671348607279</v>
      </c>
      <c r="C282" t="str">
        <f t="shared" si="9"/>
        <v>No</v>
      </c>
    </row>
    <row r="283" spans="1:3" ht="18.75" customHeight="1" x14ac:dyDescent="0.3">
      <c r="A283" s="8">
        <v>17.5</v>
      </c>
      <c r="B283" s="8">
        <f t="shared" si="8"/>
        <v>-0.77049068781589392</v>
      </c>
      <c r="C283" t="str">
        <f t="shared" si="9"/>
        <v>No</v>
      </c>
    </row>
    <row r="284" spans="1:3" ht="18.75" customHeight="1" x14ac:dyDescent="0.3">
      <c r="A284" s="8">
        <v>22.5</v>
      </c>
      <c r="B284" s="8">
        <f t="shared" si="8"/>
        <v>-0.12997081616678829</v>
      </c>
      <c r="C284" t="str">
        <f t="shared" si="9"/>
        <v>No</v>
      </c>
    </row>
    <row r="285" spans="1:3" ht="18.75" customHeight="1" x14ac:dyDescent="0.3">
      <c r="A285" s="2">
        <v>20</v>
      </c>
      <c r="B285" s="8">
        <f t="shared" si="8"/>
        <v>-0.45023075199134116</v>
      </c>
      <c r="C285" t="str">
        <f t="shared" si="9"/>
        <v>No</v>
      </c>
    </row>
    <row r="286" spans="1:3" ht="18.75" customHeight="1" x14ac:dyDescent="0.3">
      <c r="A286" s="2">
        <v>24</v>
      </c>
      <c r="B286" s="8">
        <f t="shared" si="8"/>
        <v>6.2185145327943406E-2</v>
      </c>
      <c r="C286" t="str">
        <f t="shared" si="9"/>
        <v>No</v>
      </c>
    </row>
    <row r="287" spans="1:3" ht="18.75" customHeight="1" x14ac:dyDescent="0.3">
      <c r="A287" s="2">
        <v>18</v>
      </c>
      <c r="B287" s="8">
        <f t="shared" si="8"/>
        <v>-0.70643870065098335</v>
      </c>
      <c r="C287" t="str">
        <f t="shared" si="9"/>
        <v>No</v>
      </c>
    </row>
    <row r="288" spans="1:3" ht="18.75" customHeight="1" x14ac:dyDescent="0.3">
      <c r="A288" s="8">
        <v>16.5</v>
      </c>
      <c r="B288" s="8">
        <f t="shared" si="8"/>
        <v>-0.89859466214571515</v>
      </c>
      <c r="C288" t="str">
        <f t="shared" si="9"/>
        <v>No</v>
      </c>
    </row>
    <row r="289" spans="1:3" ht="18.75" customHeight="1" x14ac:dyDescent="0.3">
      <c r="A289" s="2">
        <v>13</v>
      </c>
      <c r="B289" s="8">
        <f t="shared" si="8"/>
        <v>-1.346958572300089</v>
      </c>
      <c r="C289" t="str">
        <f t="shared" si="9"/>
        <v>No</v>
      </c>
    </row>
    <row r="290" spans="1:3" ht="18.75" customHeight="1" x14ac:dyDescent="0.3">
      <c r="A290" s="2">
        <v>13</v>
      </c>
      <c r="B290" s="8">
        <f t="shared" si="8"/>
        <v>-1.346958572300089</v>
      </c>
      <c r="C290" t="str">
        <f t="shared" si="9"/>
        <v>No</v>
      </c>
    </row>
    <row r="291" spans="1:3" ht="18.75" customHeight="1" x14ac:dyDescent="0.3">
      <c r="A291" s="8">
        <v>14.5</v>
      </c>
      <c r="B291" s="8">
        <f t="shared" si="8"/>
        <v>-1.1548026108053573</v>
      </c>
      <c r="C291" t="str">
        <f t="shared" si="9"/>
        <v>No</v>
      </c>
    </row>
    <row r="292" spans="1:3" ht="18.75" customHeight="1" x14ac:dyDescent="0.3">
      <c r="A292" s="2">
        <v>13</v>
      </c>
      <c r="B292" s="8">
        <f t="shared" si="8"/>
        <v>-1.346958572300089</v>
      </c>
      <c r="C292" t="str">
        <f t="shared" si="9"/>
        <v>No</v>
      </c>
    </row>
    <row r="293" spans="1:3" ht="18.75" customHeight="1" x14ac:dyDescent="0.3">
      <c r="A293" s="2">
        <v>16</v>
      </c>
      <c r="B293" s="8">
        <f t="shared" si="8"/>
        <v>-0.96264664931062571</v>
      </c>
      <c r="C293" t="str">
        <f t="shared" si="9"/>
        <v>No</v>
      </c>
    </row>
    <row r="294" spans="1:3" ht="18.75" customHeight="1" x14ac:dyDescent="0.3">
      <c r="A294" s="2">
        <v>13</v>
      </c>
      <c r="B294" s="8">
        <f t="shared" si="8"/>
        <v>-1.346958572300089</v>
      </c>
      <c r="C294" t="str">
        <f t="shared" si="9"/>
        <v>No</v>
      </c>
    </row>
    <row r="295" spans="1:3" ht="18.75" customHeight="1" x14ac:dyDescent="0.3">
      <c r="A295" s="8">
        <v>17.5</v>
      </c>
      <c r="B295" s="8">
        <f t="shared" si="8"/>
        <v>-0.77049068781589392</v>
      </c>
      <c r="C295" t="str">
        <f t="shared" si="9"/>
        <v>No</v>
      </c>
    </row>
    <row r="296" spans="1:3" ht="18.75" customHeight="1" x14ac:dyDescent="0.3">
      <c r="A296" s="8">
        <v>15.5</v>
      </c>
      <c r="B296" s="8">
        <f t="shared" si="8"/>
        <v>-1.0266986364755362</v>
      </c>
      <c r="C296" t="str">
        <f t="shared" si="9"/>
        <v>No</v>
      </c>
    </row>
    <row r="297" spans="1:3" ht="18.75" customHeight="1" x14ac:dyDescent="0.3">
      <c r="A297" s="8">
        <v>25.5</v>
      </c>
      <c r="B297" s="8">
        <f t="shared" si="8"/>
        <v>0.25434110682267508</v>
      </c>
      <c r="C297" t="str">
        <f t="shared" si="9"/>
        <v>No</v>
      </c>
    </row>
    <row r="298" spans="1:3" ht="18.75" customHeight="1" x14ac:dyDescent="0.3">
      <c r="A298" s="8">
        <v>33.5</v>
      </c>
      <c r="B298" s="8">
        <f t="shared" si="8"/>
        <v>1.2791729014612441</v>
      </c>
      <c r="C298" t="str">
        <f t="shared" si="9"/>
        <v>No</v>
      </c>
    </row>
    <row r="299" spans="1:3" ht="18.75" customHeight="1" x14ac:dyDescent="0.3">
      <c r="A299" s="2">
        <v>30</v>
      </c>
      <c r="B299" s="8">
        <f t="shared" si="8"/>
        <v>0.83080899130687025</v>
      </c>
      <c r="C299" t="str">
        <f t="shared" si="9"/>
        <v>No</v>
      </c>
    </row>
    <row r="300" spans="1:3" ht="18.75" customHeight="1" x14ac:dyDescent="0.3">
      <c r="A300" s="8">
        <v>25.5</v>
      </c>
      <c r="B300" s="8">
        <f t="shared" si="8"/>
        <v>0.25434110682267508</v>
      </c>
      <c r="C300" t="str">
        <f t="shared" si="9"/>
        <v>No</v>
      </c>
    </row>
    <row r="301" spans="1:3" ht="18.75" customHeight="1" x14ac:dyDescent="0.3">
      <c r="A301" s="8">
        <v>24.5</v>
      </c>
      <c r="B301" s="8">
        <f t="shared" si="8"/>
        <v>0.12623713249285398</v>
      </c>
      <c r="C301" t="str">
        <f t="shared" si="9"/>
        <v>No</v>
      </c>
    </row>
    <row r="302" spans="1:3" ht="18.75" customHeight="1" x14ac:dyDescent="0.3">
      <c r="A302" s="8">
        <v>30.5</v>
      </c>
      <c r="B302" s="8">
        <f t="shared" si="8"/>
        <v>0.89486097847178081</v>
      </c>
      <c r="C302" t="str">
        <f t="shared" si="9"/>
        <v>No</v>
      </c>
    </row>
    <row r="303" spans="1:3" ht="18.75" customHeight="1" x14ac:dyDescent="0.3">
      <c r="A303" s="8">
        <v>17.5</v>
      </c>
      <c r="B303" s="8">
        <f t="shared" si="8"/>
        <v>-0.77049068781589392</v>
      </c>
      <c r="C303" t="str">
        <f t="shared" si="9"/>
        <v>No</v>
      </c>
    </row>
    <row r="304" spans="1:3" ht="18.75" customHeight="1" x14ac:dyDescent="0.3">
      <c r="A304" s="8">
        <v>20.5</v>
      </c>
      <c r="B304" s="8">
        <f t="shared" si="8"/>
        <v>-0.38617876482643054</v>
      </c>
      <c r="C304" t="str">
        <f t="shared" si="9"/>
        <v>No</v>
      </c>
    </row>
    <row r="305" spans="1:3" ht="18.75" customHeight="1" x14ac:dyDescent="0.3">
      <c r="A305" s="8">
        <v>18.5</v>
      </c>
      <c r="B305" s="8">
        <f t="shared" si="8"/>
        <v>-0.64238671348607279</v>
      </c>
      <c r="C305" t="str">
        <f t="shared" si="9"/>
        <v>No</v>
      </c>
    </row>
    <row r="306" spans="1:3" ht="18.75" customHeight="1" x14ac:dyDescent="0.3">
      <c r="A306" s="2">
        <v>19</v>
      </c>
      <c r="B306" s="8">
        <f t="shared" si="8"/>
        <v>-0.57833472632116223</v>
      </c>
      <c r="C306" t="str">
        <f t="shared" si="9"/>
        <v>No</v>
      </c>
    </row>
    <row r="307" spans="1:3" ht="18.75" customHeight="1" x14ac:dyDescent="0.3">
      <c r="A307" s="8">
        <v>15.5</v>
      </c>
      <c r="B307" s="8">
        <f t="shared" si="8"/>
        <v>-1.0266986364755362</v>
      </c>
      <c r="C307" t="str">
        <f t="shared" si="9"/>
        <v>No</v>
      </c>
    </row>
    <row r="308" spans="1:3" ht="18.75" customHeight="1" x14ac:dyDescent="0.3">
      <c r="A308" s="2">
        <v>16</v>
      </c>
      <c r="B308" s="8">
        <f t="shared" si="8"/>
        <v>-0.96264664931062571</v>
      </c>
      <c r="C308" t="str">
        <f t="shared" si="9"/>
        <v>No</v>
      </c>
    </row>
    <row r="309" spans="1:3" ht="18.75" customHeight="1" x14ac:dyDescent="0.3">
      <c r="A309" s="8">
        <v>15.5</v>
      </c>
      <c r="B309" s="8">
        <f t="shared" si="8"/>
        <v>-1.0266986364755362</v>
      </c>
      <c r="C309" t="str">
        <f t="shared" si="9"/>
        <v>No</v>
      </c>
    </row>
    <row r="310" spans="1:3" ht="18.75" customHeight="1" x14ac:dyDescent="0.3">
      <c r="A310" s="8">
        <v>17.5</v>
      </c>
      <c r="B310" s="8">
        <f t="shared" si="8"/>
        <v>-0.77049068781589392</v>
      </c>
      <c r="C310" t="str">
        <f t="shared" si="9"/>
        <v>No</v>
      </c>
    </row>
    <row r="311" spans="1:3" ht="18.75" customHeight="1" x14ac:dyDescent="0.3">
      <c r="A311" s="8">
        <v>15.5</v>
      </c>
      <c r="B311" s="8">
        <f t="shared" si="8"/>
        <v>-1.0266986364755362</v>
      </c>
      <c r="C311" t="str">
        <f t="shared" si="9"/>
        <v>No</v>
      </c>
    </row>
    <row r="312" spans="1:3" ht="18.75" customHeight="1" x14ac:dyDescent="0.3">
      <c r="A312" s="2">
        <v>16</v>
      </c>
      <c r="B312" s="8">
        <f t="shared" si="8"/>
        <v>-0.96264664931062571</v>
      </c>
      <c r="C312" t="str">
        <f t="shared" si="9"/>
        <v>No</v>
      </c>
    </row>
    <row r="313" spans="1:3" ht="18.75" customHeight="1" x14ac:dyDescent="0.3">
      <c r="A313" s="2">
        <v>15</v>
      </c>
      <c r="B313" s="8">
        <f t="shared" si="8"/>
        <v>-1.0907506236404467</v>
      </c>
      <c r="C313" t="str">
        <f t="shared" si="9"/>
        <v>No</v>
      </c>
    </row>
    <row r="314" spans="1:3" ht="18.75" customHeight="1" x14ac:dyDescent="0.3">
      <c r="A314" s="2">
        <v>17</v>
      </c>
      <c r="B314" s="8">
        <f t="shared" si="8"/>
        <v>-0.83454267498080459</v>
      </c>
      <c r="C314" t="str">
        <f t="shared" si="9"/>
        <v>No</v>
      </c>
    </row>
    <row r="315" spans="1:3" ht="18.75" customHeight="1" x14ac:dyDescent="0.3">
      <c r="A315" s="8">
        <v>23.2</v>
      </c>
      <c r="B315" s="8">
        <f t="shared" si="8"/>
        <v>-4.0298034135913596E-2</v>
      </c>
      <c r="C315" t="str">
        <f t="shared" si="9"/>
        <v>No</v>
      </c>
    </row>
    <row r="316" spans="1:3" ht="18.75" customHeight="1" x14ac:dyDescent="0.3">
      <c r="A316" s="8">
        <v>36.1</v>
      </c>
      <c r="B316" s="8">
        <f t="shared" si="8"/>
        <v>1.6122432347187794</v>
      </c>
      <c r="C316" t="str">
        <f t="shared" si="9"/>
        <v>No</v>
      </c>
    </row>
    <row r="317" spans="1:3" ht="18.75" customHeight="1" x14ac:dyDescent="0.3">
      <c r="A317" s="8">
        <v>30.9</v>
      </c>
      <c r="B317" s="8">
        <f t="shared" si="8"/>
        <v>0.94610256820370908</v>
      </c>
      <c r="C317" t="str">
        <f t="shared" si="9"/>
        <v>No</v>
      </c>
    </row>
    <row r="318" spans="1:3" ht="18.75" customHeight="1" x14ac:dyDescent="0.3">
      <c r="A318" s="8">
        <v>25.1</v>
      </c>
      <c r="B318" s="8">
        <f t="shared" si="8"/>
        <v>0.20309951709074683</v>
      </c>
      <c r="C318" t="str">
        <f t="shared" si="9"/>
        <v>No</v>
      </c>
    </row>
    <row r="319" spans="1:3" ht="18.75" customHeight="1" x14ac:dyDescent="0.3">
      <c r="A319" s="2">
        <v>30</v>
      </c>
      <c r="B319" s="8">
        <f t="shared" si="8"/>
        <v>0.83080899130687025</v>
      </c>
      <c r="C319" t="str">
        <f t="shared" si="9"/>
        <v>No</v>
      </c>
    </row>
    <row r="320" spans="1:3" ht="18.75" customHeight="1" x14ac:dyDescent="0.3">
      <c r="A320" s="8">
        <v>23.8</v>
      </c>
      <c r="B320" s="8">
        <f t="shared" si="8"/>
        <v>3.656435046197927E-2</v>
      </c>
      <c r="C320" t="str">
        <f t="shared" si="9"/>
        <v>No</v>
      </c>
    </row>
    <row r="321" spans="1:3" ht="18.75" customHeight="1" x14ac:dyDescent="0.3">
      <c r="A321" s="8">
        <v>17.7</v>
      </c>
      <c r="B321" s="8">
        <f t="shared" si="8"/>
        <v>-0.74486989294992978</v>
      </c>
      <c r="C321" t="str">
        <f t="shared" si="9"/>
        <v>No</v>
      </c>
    </row>
    <row r="322" spans="1:3" ht="18.75" customHeight="1" x14ac:dyDescent="0.3">
      <c r="A322" s="8">
        <v>18.100000000000001</v>
      </c>
      <c r="B322" s="8">
        <f t="shared" ref="B322:B385" si="10">IFERROR((A322-$P$3) / $R$3, "")</f>
        <v>-0.69362830321800106</v>
      </c>
      <c r="C322" t="str">
        <f t="shared" ref="C322:C385" si="11">IF(ABS(B322)&gt;2,"Yes","No")</f>
        <v>No</v>
      </c>
    </row>
    <row r="323" spans="1:3" ht="18.75" customHeight="1" x14ac:dyDescent="0.3">
      <c r="A323" s="8">
        <v>20.6</v>
      </c>
      <c r="B323" s="8">
        <f t="shared" si="10"/>
        <v>-0.37336836739344825</v>
      </c>
      <c r="C323" t="str">
        <f t="shared" si="11"/>
        <v>No</v>
      </c>
    </row>
    <row r="324" spans="1:3" ht="18.75" customHeight="1" x14ac:dyDescent="0.3">
      <c r="A324" s="8">
        <v>18.600000000000001</v>
      </c>
      <c r="B324" s="8">
        <f t="shared" si="10"/>
        <v>-0.6295763160530905</v>
      </c>
      <c r="C324" t="str">
        <f t="shared" si="11"/>
        <v>No</v>
      </c>
    </row>
    <row r="325" spans="1:3" ht="18.75" customHeight="1" x14ac:dyDescent="0.3">
      <c r="A325" s="8">
        <v>20.5</v>
      </c>
      <c r="B325" s="8">
        <f t="shared" si="10"/>
        <v>-0.38617876482643054</v>
      </c>
      <c r="C325" t="str">
        <f t="shared" si="11"/>
        <v>No</v>
      </c>
    </row>
    <row r="326" spans="1:3" ht="18.75" customHeight="1" x14ac:dyDescent="0.3">
      <c r="A326" s="8">
        <v>19.2</v>
      </c>
      <c r="B326" s="8">
        <f t="shared" si="10"/>
        <v>-0.55271393145519809</v>
      </c>
      <c r="C326" t="str">
        <f t="shared" si="11"/>
        <v>No</v>
      </c>
    </row>
    <row r="327" spans="1:3" ht="18.75" customHeight="1" x14ac:dyDescent="0.3">
      <c r="A327" s="8">
        <v>20.5</v>
      </c>
      <c r="B327" s="8">
        <f t="shared" si="10"/>
        <v>-0.38617876482643054</v>
      </c>
      <c r="C327" t="str">
        <f t="shared" si="11"/>
        <v>No</v>
      </c>
    </row>
    <row r="328" spans="1:3" ht="18.75" customHeight="1" x14ac:dyDescent="0.3">
      <c r="A328" s="8">
        <v>20.2</v>
      </c>
      <c r="B328" s="8">
        <f t="shared" si="10"/>
        <v>-0.42460995712537702</v>
      </c>
      <c r="C328" t="str">
        <f t="shared" si="11"/>
        <v>No</v>
      </c>
    </row>
    <row r="329" spans="1:3" ht="18.75" customHeight="1" x14ac:dyDescent="0.3">
      <c r="A329" s="8">
        <v>19.399999999999999</v>
      </c>
      <c r="B329" s="8">
        <f t="shared" si="10"/>
        <v>-0.52709313658923396</v>
      </c>
      <c r="C329" t="str">
        <f t="shared" si="11"/>
        <v>No</v>
      </c>
    </row>
    <row r="330" spans="1:3" ht="18.75" customHeight="1" x14ac:dyDescent="0.3">
      <c r="A330" s="8">
        <v>20.8</v>
      </c>
      <c r="B330" s="8">
        <f t="shared" si="10"/>
        <v>-0.34774757252748412</v>
      </c>
      <c r="C330" t="str">
        <f t="shared" si="11"/>
        <v>No</v>
      </c>
    </row>
    <row r="331" spans="1:3" ht="18.75" customHeight="1" x14ac:dyDescent="0.3">
      <c r="A331" s="8">
        <v>18.100000000000001</v>
      </c>
      <c r="B331" s="8">
        <f t="shared" si="10"/>
        <v>-0.69362830321800106</v>
      </c>
      <c r="C331" t="str">
        <f t="shared" si="11"/>
        <v>No</v>
      </c>
    </row>
    <row r="332" spans="1:3" ht="18.75" customHeight="1" x14ac:dyDescent="0.3">
      <c r="A332" s="8">
        <v>19.2</v>
      </c>
      <c r="B332" s="8">
        <f t="shared" si="10"/>
        <v>-0.55271393145519809</v>
      </c>
      <c r="C332" t="str">
        <f t="shared" si="11"/>
        <v>No</v>
      </c>
    </row>
    <row r="333" spans="1:3" ht="18.75" customHeight="1" x14ac:dyDescent="0.3">
      <c r="A333" s="8">
        <v>20.2</v>
      </c>
      <c r="B333" s="8">
        <f t="shared" si="10"/>
        <v>-0.42460995712537702</v>
      </c>
      <c r="C333" t="str">
        <f t="shared" si="11"/>
        <v>No</v>
      </c>
    </row>
    <row r="334" spans="1:3" ht="18.75" customHeight="1" x14ac:dyDescent="0.3">
      <c r="A334" s="8">
        <v>19.399999999999999</v>
      </c>
      <c r="B334" s="8">
        <f t="shared" si="10"/>
        <v>-0.52709313658923396</v>
      </c>
      <c r="C334" t="str">
        <f t="shared" si="11"/>
        <v>No</v>
      </c>
    </row>
    <row r="335" spans="1:3" ht="18.75" customHeight="1" x14ac:dyDescent="0.3">
      <c r="A335" s="8">
        <v>17.5</v>
      </c>
      <c r="B335" s="8">
        <f t="shared" si="10"/>
        <v>-0.77049068781589392</v>
      </c>
      <c r="C335" t="str">
        <f t="shared" si="11"/>
        <v>No</v>
      </c>
    </row>
    <row r="336" spans="1:3" ht="18.75" customHeight="1" x14ac:dyDescent="0.3">
      <c r="A336" s="8">
        <v>19.899999999999999</v>
      </c>
      <c r="B336" s="8">
        <f t="shared" si="10"/>
        <v>-0.46304114942432345</v>
      </c>
      <c r="C336" t="str">
        <f t="shared" si="11"/>
        <v>No</v>
      </c>
    </row>
    <row r="337" spans="1:3" ht="18.75" customHeight="1" x14ac:dyDescent="0.3">
      <c r="A337" s="8">
        <v>35.700000000000003</v>
      </c>
      <c r="B337" s="8">
        <f t="shared" si="10"/>
        <v>1.5610016449868511</v>
      </c>
      <c r="C337" t="str">
        <f t="shared" si="11"/>
        <v>No</v>
      </c>
    </row>
    <row r="338" spans="1:3" ht="18.75" customHeight="1" x14ac:dyDescent="0.3">
      <c r="A338" s="8">
        <v>33.5</v>
      </c>
      <c r="B338" s="8">
        <f t="shared" si="10"/>
        <v>1.2791729014612441</v>
      </c>
      <c r="C338" t="str">
        <f t="shared" si="11"/>
        <v>No</v>
      </c>
    </row>
    <row r="339" spans="1:3" ht="18.75" customHeight="1" x14ac:dyDescent="0.3">
      <c r="A339" s="8">
        <v>28.4</v>
      </c>
      <c r="B339" s="8">
        <f t="shared" si="10"/>
        <v>0.62584263237915616</v>
      </c>
      <c r="C339" t="str">
        <f t="shared" si="11"/>
        <v>No</v>
      </c>
    </row>
    <row r="340" spans="1:3" ht="18.75" customHeight="1" x14ac:dyDescent="0.3">
      <c r="A340" s="8">
        <v>34.5</v>
      </c>
      <c r="B340" s="8">
        <f t="shared" si="10"/>
        <v>1.4072768757910654</v>
      </c>
      <c r="C340" t="str">
        <f t="shared" si="11"/>
        <v>No</v>
      </c>
    </row>
    <row r="341" spans="1:3" ht="18.75" customHeight="1" x14ac:dyDescent="0.3">
      <c r="A341" s="8">
        <v>34.200000000000003</v>
      </c>
      <c r="B341" s="8">
        <f t="shared" si="10"/>
        <v>1.3688456834921194</v>
      </c>
      <c r="C341" t="str">
        <f t="shared" si="11"/>
        <v>No</v>
      </c>
    </row>
    <row r="342" spans="1:3" ht="18.75" customHeight="1" x14ac:dyDescent="0.3">
      <c r="A342" s="8">
        <v>22.3</v>
      </c>
      <c r="B342" s="8">
        <f t="shared" si="10"/>
        <v>-0.15559161103275243</v>
      </c>
      <c r="C342" t="str">
        <f t="shared" si="11"/>
        <v>No</v>
      </c>
    </row>
    <row r="343" spans="1:3" ht="18.75" customHeight="1" x14ac:dyDescent="0.3">
      <c r="A343" s="8">
        <v>27.4</v>
      </c>
      <c r="B343" s="8">
        <f t="shared" si="10"/>
        <v>0.49773865804933509</v>
      </c>
      <c r="C343" t="str">
        <f t="shared" si="11"/>
        <v>No</v>
      </c>
    </row>
    <row r="344" spans="1:3" ht="18.75" customHeight="1" x14ac:dyDescent="0.3">
      <c r="A344" s="8">
        <v>28.8</v>
      </c>
      <c r="B344" s="8">
        <f t="shared" si="10"/>
        <v>0.67708422211108499</v>
      </c>
      <c r="C344" t="str">
        <f t="shared" si="11"/>
        <v>No</v>
      </c>
    </row>
    <row r="345" spans="1:3" ht="18.75" customHeight="1" x14ac:dyDescent="0.3">
      <c r="A345" s="8">
        <v>26.8</v>
      </c>
      <c r="B345" s="8">
        <f t="shared" si="10"/>
        <v>0.42087627345144268</v>
      </c>
      <c r="C345" t="str">
        <f t="shared" si="11"/>
        <v>No</v>
      </c>
    </row>
    <row r="346" spans="1:3" ht="18.75" customHeight="1" x14ac:dyDescent="0.3">
      <c r="A346" s="8">
        <v>21.5</v>
      </c>
      <c r="B346" s="8">
        <f t="shared" si="10"/>
        <v>-0.25807479049660942</v>
      </c>
      <c r="C346" t="str">
        <f t="shared" si="11"/>
        <v>No</v>
      </c>
    </row>
    <row r="347" spans="1:3" ht="18.75" customHeight="1" x14ac:dyDescent="0.3">
      <c r="A347" s="8">
        <v>20.6</v>
      </c>
      <c r="B347" s="8">
        <f t="shared" si="10"/>
        <v>-0.37336836739344825</v>
      </c>
      <c r="C347" t="str">
        <f t="shared" si="11"/>
        <v>No</v>
      </c>
    </row>
    <row r="348" spans="1:3" ht="18.75" customHeight="1" x14ac:dyDescent="0.3">
      <c r="A348" s="8">
        <v>19.8</v>
      </c>
      <c r="B348" s="8">
        <f t="shared" si="10"/>
        <v>-0.4758515468573053</v>
      </c>
      <c r="C348" t="str">
        <f t="shared" si="11"/>
        <v>No</v>
      </c>
    </row>
    <row r="349" spans="1:3" ht="18.75" customHeight="1" x14ac:dyDescent="0.3">
      <c r="A349" s="8">
        <v>20.2</v>
      </c>
      <c r="B349" s="8">
        <f t="shared" si="10"/>
        <v>-0.42460995712537702</v>
      </c>
      <c r="C349" t="str">
        <f t="shared" si="11"/>
        <v>No</v>
      </c>
    </row>
    <row r="350" spans="1:3" ht="18.75" customHeight="1" x14ac:dyDescent="0.3">
      <c r="A350" s="8">
        <v>18.5</v>
      </c>
      <c r="B350" s="8">
        <f t="shared" si="10"/>
        <v>-0.64238671348607279</v>
      </c>
      <c r="C350" t="str">
        <f t="shared" si="11"/>
        <v>No</v>
      </c>
    </row>
    <row r="351" spans="1:3" ht="18.75" customHeight="1" x14ac:dyDescent="0.3">
      <c r="A351" s="8">
        <v>16.899999999999999</v>
      </c>
      <c r="B351" s="8">
        <f t="shared" si="10"/>
        <v>-0.84735307241378688</v>
      </c>
      <c r="C351" t="str">
        <f t="shared" si="11"/>
        <v>No</v>
      </c>
    </row>
    <row r="352" spans="1:3" ht="18.75" customHeight="1" x14ac:dyDescent="0.3">
      <c r="A352" s="8">
        <v>18.2</v>
      </c>
      <c r="B352" s="8">
        <f t="shared" si="10"/>
        <v>-0.68081790578501922</v>
      </c>
      <c r="C352" t="str">
        <f t="shared" si="11"/>
        <v>No</v>
      </c>
    </row>
    <row r="353" spans="1:3" ht="18.75" customHeight="1" x14ac:dyDescent="0.3">
      <c r="A353" s="8">
        <v>15.5</v>
      </c>
      <c r="B353" s="8">
        <f t="shared" si="10"/>
        <v>-1.0266986364755362</v>
      </c>
      <c r="C353" t="str">
        <f t="shared" si="11"/>
        <v>No</v>
      </c>
    </row>
    <row r="354" spans="1:3" ht="18.75" customHeight="1" x14ac:dyDescent="0.3">
      <c r="A354" s="8">
        <v>16.5</v>
      </c>
      <c r="B354" s="8">
        <f t="shared" si="10"/>
        <v>-0.89859466214571515</v>
      </c>
      <c r="C354" t="str">
        <f t="shared" si="11"/>
        <v>No</v>
      </c>
    </row>
    <row r="355" spans="1:3" ht="18.75" customHeight="1" x14ac:dyDescent="0.3">
      <c r="A355" s="8">
        <v>19.2</v>
      </c>
      <c r="B355" s="8">
        <f t="shared" si="10"/>
        <v>-0.55271393145519809</v>
      </c>
      <c r="C355" t="str">
        <f t="shared" si="11"/>
        <v>No</v>
      </c>
    </row>
    <row r="356" spans="1:3" ht="18.75" customHeight="1" x14ac:dyDescent="0.3">
      <c r="A356" s="8">
        <v>17.600000000000001</v>
      </c>
      <c r="B356" s="8">
        <f t="shared" si="10"/>
        <v>-0.75768029038291163</v>
      </c>
      <c r="C356" t="str">
        <f t="shared" si="11"/>
        <v>No</v>
      </c>
    </row>
    <row r="357" spans="1:3" ht="18.75" customHeight="1" x14ac:dyDescent="0.3">
      <c r="A357" s="2">
        <v>17</v>
      </c>
      <c r="B357" s="8">
        <f t="shared" si="10"/>
        <v>-0.83454267498080459</v>
      </c>
      <c r="C357" t="str">
        <f t="shared" si="11"/>
        <v>No</v>
      </c>
    </row>
    <row r="358" spans="1:3" ht="18.75" customHeight="1" x14ac:dyDescent="0.3">
      <c r="A358" s="2">
        <v>23</v>
      </c>
      <c r="B358" s="8">
        <f t="shared" si="10"/>
        <v>-6.5918829001877732E-2</v>
      </c>
      <c r="C358" t="str">
        <f t="shared" si="11"/>
        <v>No</v>
      </c>
    </row>
    <row r="359" spans="1:3" ht="18.75" customHeight="1" x14ac:dyDescent="0.3">
      <c r="A359" s="8">
        <v>23.9</v>
      </c>
      <c r="B359" s="8">
        <f t="shared" si="10"/>
        <v>4.9374747894961109E-2</v>
      </c>
      <c r="C359" t="str">
        <f t="shared" si="11"/>
        <v>No</v>
      </c>
    </row>
    <row r="360" spans="1:3" ht="18.75" customHeight="1" x14ac:dyDescent="0.3">
      <c r="A360" s="8">
        <v>27.9</v>
      </c>
      <c r="B360" s="8">
        <f t="shared" si="10"/>
        <v>0.5617906452142456</v>
      </c>
      <c r="C360" t="str">
        <f t="shared" si="11"/>
        <v>No</v>
      </c>
    </row>
    <row r="361" spans="1:3" ht="18.75" customHeight="1" x14ac:dyDescent="0.3">
      <c r="A361" s="2">
        <v>28</v>
      </c>
      <c r="B361" s="8">
        <f t="shared" si="10"/>
        <v>0.57460104264722789</v>
      </c>
      <c r="C361" t="str">
        <f t="shared" si="11"/>
        <v>No</v>
      </c>
    </row>
    <row r="362" spans="1:3" ht="18.75" customHeight="1" x14ac:dyDescent="0.3">
      <c r="A362" s="8">
        <v>32.1</v>
      </c>
      <c r="B362" s="8">
        <f t="shared" si="10"/>
        <v>1.0998273373994947</v>
      </c>
      <c r="C362" t="str">
        <f t="shared" si="11"/>
        <v>No</v>
      </c>
    </row>
    <row r="363" spans="1:3" ht="18.75" customHeight="1" x14ac:dyDescent="0.3">
      <c r="A363" s="8">
        <v>26.4</v>
      </c>
      <c r="B363" s="8">
        <f t="shared" si="10"/>
        <v>0.36963468371951397</v>
      </c>
      <c r="C363" t="str">
        <f t="shared" si="11"/>
        <v>No</v>
      </c>
    </row>
    <row r="364" spans="1:3" ht="18.75" customHeight="1" x14ac:dyDescent="0.3">
      <c r="A364" s="8">
        <v>24.3</v>
      </c>
      <c r="B364" s="8">
        <f t="shared" si="10"/>
        <v>0.10061633762688983</v>
      </c>
      <c r="C364" t="str">
        <f t="shared" si="11"/>
        <v>No</v>
      </c>
    </row>
    <row r="365" spans="1:3" ht="18.75" customHeight="1" x14ac:dyDescent="0.3">
      <c r="A365" s="8">
        <v>23.6</v>
      </c>
      <c r="B365" s="8">
        <f t="shared" si="10"/>
        <v>1.0943555596015132E-2</v>
      </c>
      <c r="C365" t="str">
        <f t="shared" si="11"/>
        <v>No</v>
      </c>
    </row>
    <row r="366" spans="1:3" ht="18.75" customHeight="1" x14ac:dyDescent="0.3">
      <c r="A366" s="8">
        <v>19.100000000000001</v>
      </c>
      <c r="B366" s="8">
        <f t="shared" si="10"/>
        <v>-0.56552432888817994</v>
      </c>
      <c r="C366" t="str">
        <f t="shared" si="11"/>
        <v>No</v>
      </c>
    </row>
    <row r="367" spans="1:3" ht="18.75" customHeight="1" x14ac:dyDescent="0.3">
      <c r="A367" s="2">
        <v>30</v>
      </c>
      <c r="B367" s="8">
        <f t="shared" si="10"/>
        <v>0.83080899130687025</v>
      </c>
      <c r="C367" t="str">
        <f t="shared" si="11"/>
        <v>No</v>
      </c>
    </row>
    <row r="368" spans="1:3" ht="18.75" customHeight="1" x14ac:dyDescent="0.3">
      <c r="A368" s="8">
        <v>25.8</v>
      </c>
      <c r="B368" s="8">
        <f t="shared" si="10"/>
        <v>0.29277229912162156</v>
      </c>
      <c r="C368" t="str">
        <f t="shared" si="11"/>
        <v>No</v>
      </c>
    </row>
    <row r="369" spans="1:3" ht="18.75" customHeight="1" x14ac:dyDescent="0.3">
      <c r="A369" s="2">
        <v>39</v>
      </c>
      <c r="B369" s="8">
        <f t="shared" si="10"/>
        <v>1.9837447602752605</v>
      </c>
      <c r="C369" t="str">
        <f t="shared" si="11"/>
        <v>No</v>
      </c>
    </row>
    <row r="370" spans="1:3" ht="18.75" customHeight="1" x14ac:dyDescent="0.3">
      <c r="A370" s="8">
        <v>27.2</v>
      </c>
      <c r="B370" s="8">
        <f t="shared" si="10"/>
        <v>0.47211786318337096</v>
      </c>
      <c r="C370" t="str">
        <f t="shared" si="11"/>
        <v>No</v>
      </c>
    </row>
    <row r="371" spans="1:3" ht="18.75" customHeight="1" x14ac:dyDescent="0.3">
      <c r="A371" s="8">
        <v>26.6</v>
      </c>
      <c r="B371" s="8">
        <f t="shared" si="10"/>
        <v>0.39525547858547855</v>
      </c>
      <c r="C371" t="str">
        <f t="shared" si="11"/>
        <v>No</v>
      </c>
    </row>
    <row r="372" spans="1:3" ht="18.75" customHeight="1" x14ac:dyDescent="0.3">
      <c r="A372" s="8">
        <v>34.4</v>
      </c>
      <c r="B372" s="8">
        <f t="shared" si="10"/>
        <v>1.3944664783580829</v>
      </c>
      <c r="C372" t="str">
        <f t="shared" si="11"/>
        <v>No</v>
      </c>
    </row>
    <row r="373" spans="1:3" ht="18.75" customHeight="1" x14ac:dyDescent="0.3">
      <c r="A373" s="8">
        <v>34.700000000000003</v>
      </c>
      <c r="B373" s="8">
        <f t="shared" si="10"/>
        <v>1.43289767065703</v>
      </c>
      <c r="C373" t="str">
        <f t="shared" si="11"/>
        <v>No</v>
      </c>
    </row>
    <row r="374" spans="1:3" ht="18.75" customHeight="1" x14ac:dyDescent="0.3">
      <c r="A374" s="8">
        <v>29.9</v>
      </c>
      <c r="B374" s="8">
        <f t="shared" si="10"/>
        <v>0.81799859387388796</v>
      </c>
      <c r="C374" t="str">
        <f t="shared" si="11"/>
        <v>No</v>
      </c>
    </row>
    <row r="375" spans="1:3" ht="18.75" customHeight="1" x14ac:dyDescent="0.3">
      <c r="A375" s="8">
        <v>23.5</v>
      </c>
      <c r="B375" s="8">
        <f t="shared" si="10"/>
        <v>-1.8668418369671639E-3</v>
      </c>
      <c r="C375" t="str">
        <f t="shared" si="11"/>
        <v>No</v>
      </c>
    </row>
    <row r="376" spans="1:3" ht="18.75" customHeight="1" x14ac:dyDescent="0.3">
      <c r="A376" s="8">
        <v>22.4</v>
      </c>
      <c r="B376" s="8">
        <f t="shared" si="10"/>
        <v>-0.14278121359977058</v>
      </c>
      <c r="C376" t="str">
        <f t="shared" si="11"/>
        <v>No</v>
      </c>
    </row>
    <row r="377" spans="1:3" ht="18.75" customHeight="1" x14ac:dyDescent="0.3">
      <c r="A377" s="8">
        <v>20.2</v>
      </c>
      <c r="B377" s="8">
        <f t="shared" si="10"/>
        <v>-0.42460995712537702</v>
      </c>
      <c r="C377" t="str">
        <f t="shared" si="11"/>
        <v>No</v>
      </c>
    </row>
    <row r="378" spans="1:3" ht="18.75" customHeight="1" x14ac:dyDescent="0.3">
      <c r="A378" s="8">
        <v>17.600000000000001</v>
      </c>
      <c r="B378" s="8">
        <f t="shared" si="10"/>
        <v>-0.75768029038291163</v>
      </c>
      <c r="C378" t="str">
        <f t="shared" si="11"/>
        <v>No</v>
      </c>
    </row>
    <row r="379" spans="1:3" ht="18.75" customHeight="1" x14ac:dyDescent="0.3">
      <c r="A379" s="8">
        <v>26.6</v>
      </c>
      <c r="B379" s="8">
        <f t="shared" si="10"/>
        <v>0.39525547858547855</v>
      </c>
      <c r="C379" t="str">
        <f t="shared" si="11"/>
        <v>No</v>
      </c>
    </row>
    <row r="380" spans="1:3" ht="18.75" customHeight="1" x14ac:dyDescent="0.3">
      <c r="A380" s="2">
        <v>34</v>
      </c>
      <c r="B380" s="8">
        <f t="shared" si="10"/>
        <v>1.3432248886261546</v>
      </c>
      <c r="C380" t="str">
        <f t="shared" si="11"/>
        <v>No</v>
      </c>
    </row>
    <row r="381" spans="1:3" ht="18.75" customHeight="1" x14ac:dyDescent="0.3">
      <c r="A381" s="2">
        <v>32</v>
      </c>
      <c r="B381" s="8">
        <f t="shared" si="10"/>
        <v>1.0870169399665124</v>
      </c>
      <c r="C381" t="str">
        <f t="shared" si="11"/>
        <v>No</v>
      </c>
    </row>
    <row r="382" spans="1:3" ht="18.75" customHeight="1" x14ac:dyDescent="0.3">
      <c r="A382" s="2">
        <v>26</v>
      </c>
      <c r="B382" s="8">
        <f t="shared" si="10"/>
        <v>0.3183930939875857</v>
      </c>
      <c r="C382" t="str">
        <f t="shared" si="11"/>
        <v>No</v>
      </c>
    </row>
    <row r="383" spans="1:3" ht="18.75" customHeight="1" x14ac:dyDescent="0.3">
      <c r="A383" s="2">
        <v>36</v>
      </c>
      <c r="B383" s="8">
        <f t="shared" si="10"/>
        <v>1.5994328372857971</v>
      </c>
      <c r="C383" t="str">
        <f t="shared" si="11"/>
        <v>No</v>
      </c>
    </row>
    <row r="384" spans="1:3" ht="18.75" customHeight="1" x14ac:dyDescent="0.3">
      <c r="A384" s="2">
        <v>28</v>
      </c>
      <c r="B384" s="8">
        <f t="shared" si="10"/>
        <v>0.57460104264722789</v>
      </c>
      <c r="C384" t="str">
        <f t="shared" si="11"/>
        <v>No</v>
      </c>
    </row>
    <row r="385" spans="1:3" ht="18.75" customHeight="1" x14ac:dyDescent="0.3">
      <c r="A385" s="2">
        <v>27</v>
      </c>
      <c r="B385" s="8">
        <f t="shared" si="10"/>
        <v>0.44649706831740682</v>
      </c>
      <c r="C385" t="str">
        <f t="shared" si="11"/>
        <v>No</v>
      </c>
    </row>
    <row r="386" spans="1:3" ht="18.75" customHeight="1" x14ac:dyDescent="0.3">
      <c r="A386" s="2">
        <v>29</v>
      </c>
      <c r="B386" s="8">
        <f t="shared" ref="B386:B399" si="12">IFERROR((A386-$P$3) / $R$3, "")</f>
        <v>0.70270501697704912</v>
      </c>
      <c r="C386" t="str">
        <f t="shared" ref="C386:C399" si="13">IF(ABS(B386)&gt;2,"Yes","No")</f>
        <v>No</v>
      </c>
    </row>
    <row r="387" spans="1:3" ht="18.75" customHeight="1" x14ac:dyDescent="0.3">
      <c r="A387" s="2">
        <v>31</v>
      </c>
      <c r="B387" s="8">
        <f t="shared" si="12"/>
        <v>0.95891296563669137</v>
      </c>
      <c r="C387" t="str">
        <f t="shared" si="13"/>
        <v>No</v>
      </c>
    </row>
    <row r="388" spans="1:3" ht="18.75" customHeight="1" x14ac:dyDescent="0.3">
      <c r="A388" s="2">
        <v>36</v>
      </c>
      <c r="B388" s="8">
        <f t="shared" si="12"/>
        <v>1.5994328372857971</v>
      </c>
      <c r="C388" t="str">
        <f t="shared" si="13"/>
        <v>No</v>
      </c>
    </row>
    <row r="389" spans="1:3" ht="18.75" customHeight="1" x14ac:dyDescent="0.3">
      <c r="A389" s="2">
        <v>27</v>
      </c>
      <c r="B389" s="8">
        <f t="shared" si="12"/>
        <v>0.44649706831740682</v>
      </c>
      <c r="C389" t="str">
        <f t="shared" si="13"/>
        <v>No</v>
      </c>
    </row>
    <row r="390" spans="1:3" ht="18.75" customHeight="1" x14ac:dyDescent="0.3">
      <c r="A390" s="2">
        <v>24</v>
      </c>
      <c r="B390" s="8">
        <f t="shared" si="12"/>
        <v>6.2185145327943406E-2</v>
      </c>
      <c r="C390" t="str">
        <f t="shared" si="13"/>
        <v>No</v>
      </c>
    </row>
    <row r="391" spans="1:3" ht="18.75" customHeight="1" x14ac:dyDescent="0.3">
      <c r="A391" s="2">
        <v>27</v>
      </c>
      <c r="B391" s="8">
        <f t="shared" si="12"/>
        <v>0.44649706831740682</v>
      </c>
      <c r="C391" t="str">
        <f t="shared" si="13"/>
        <v>No</v>
      </c>
    </row>
    <row r="392" spans="1:3" ht="18.75" customHeight="1" x14ac:dyDescent="0.3">
      <c r="A392" s="2">
        <v>27</v>
      </c>
      <c r="B392" s="8">
        <f t="shared" si="12"/>
        <v>0.44649706831740682</v>
      </c>
      <c r="C392" t="str">
        <f t="shared" si="13"/>
        <v>No</v>
      </c>
    </row>
    <row r="393" spans="1:3" ht="18.75" customHeight="1" x14ac:dyDescent="0.3">
      <c r="A393" s="2">
        <v>31</v>
      </c>
      <c r="B393" s="8">
        <f t="shared" si="12"/>
        <v>0.95891296563669137</v>
      </c>
      <c r="C393" t="str">
        <f t="shared" si="13"/>
        <v>No</v>
      </c>
    </row>
    <row r="394" spans="1:3" ht="18.75" customHeight="1" x14ac:dyDescent="0.3">
      <c r="A394" s="2">
        <v>28</v>
      </c>
      <c r="B394" s="8">
        <f t="shared" si="12"/>
        <v>0.57460104264722789</v>
      </c>
      <c r="C394" t="str">
        <f t="shared" si="13"/>
        <v>No</v>
      </c>
    </row>
    <row r="395" spans="1:3" ht="18.75" customHeight="1" x14ac:dyDescent="0.3">
      <c r="A395" s="2">
        <v>38</v>
      </c>
      <c r="B395" s="8">
        <f t="shared" si="12"/>
        <v>1.8556407859454394</v>
      </c>
      <c r="C395" t="str">
        <f t="shared" si="13"/>
        <v>No</v>
      </c>
    </row>
    <row r="396" spans="1:3" ht="18.75" customHeight="1" x14ac:dyDescent="0.3">
      <c r="A396" s="2">
        <v>23</v>
      </c>
      <c r="B396" s="8">
        <f t="shared" si="12"/>
        <v>-6.5918829001877732E-2</v>
      </c>
      <c r="C396" t="str">
        <f t="shared" si="13"/>
        <v>No</v>
      </c>
    </row>
    <row r="397" spans="1:3" ht="18.75" customHeight="1" x14ac:dyDescent="0.3">
      <c r="A397" s="2">
        <v>22</v>
      </c>
      <c r="B397" s="8">
        <f t="shared" si="12"/>
        <v>-0.19402280333169886</v>
      </c>
      <c r="C397" t="str">
        <f t="shared" si="13"/>
        <v>No</v>
      </c>
    </row>
    <row r="398" spans="1:3" ht="18.75" customHeight="1" x14ac:dyDescent="0.3">
      <c r="A398" s="2">
        <v>25</v>
      </c>
      <c r="B398" s="8">
        <f t="shared" si="12"/>
        <v>0.19028911965776454</v>
      </c>
      <c r="C398" t="str">
        <f t="shared" si="13"/>
        <v>No</v>
      </c>
    </row>
    <row r="399" spans="1:3" ht="18.75" customHeight="1" x14ac:dyDescent="0.3">
      <c r="A399" s="2">
        <v>38</v>
      </c>
      <c r="B399" s="8">
        <f t="shared" si="12"/>
        <v>1.8556407859454394</v>
      </c>
      <c r="C399" t="str">
        <f t="shared" si="13"/>
        <v>No</v>
      </c>
    </row>
    <row r="400" spans="1:3" ht="18.75" customHeight="1" x14ac:dyDescent="0.3"/>
    <row r="401" spans="1:1" ht="18.75" customHeight="1" x14ac:dyDescent="0.3"/>
    <row r="402" spans="1:1" ht="18.75" customHeight="1" x14ac:dyDescent="0.3"/>
    <row r="403" spans="1:1" ht="18.75" customHeight="1" x14ac:dyDescent="0.3">
      <c r="A403" s="4" t="s">
        <v>37</v>
      </c>
    </row>
    <row r="404" spans="1:1" ht="18.75" customHeight="1" x14ac:dyDescent="0.3">
      <c r="A404" s="8">
        <v>7.2909915748541804E-2</v>
      </c>
    </row>
    <row r="405" spans="1:1" ht="18.75" customHeight="1" x14ac:dyDescent="0.3">
      <c r="A405" s="8">
        <v>5.3763440860215055E-2</v>
      </c>
    </row>
    <row r="406" spans="1:1" ht="18.75" customHeight="1" x14ac:dyDescent="0.3">
      <c r="A406" s="8">
        <v>5.0847457627118647E-2</v>
      </c>
    </row>
    <row r="407" spans="1:1" ht="18.75" customHeight="1" x14ac:dyDescent="0.3">
      <c r="A407" s="8">
        <v>5.0581915846016116E-2</v>
      </c>
    </row>
    <row r="408" spans="1:1" ht="18.75" customHeight="1" x14ac:dyDescent="0.3">
      <c r="A408" s="8">
        <v>5.0528249885163065E-2</v>
      </c>
    </row>
    <row r="409" spans="1:1" ht="18.75" customHeight="1" x14ac:dyDescent="0.3">
      <c r="A409" s="8">
        <v>4.9860853432282005E-2</v>
      </c>
    </row>
    <row r="410" spans="1:1" ht="18.75" customHeight="1" x14ac:dyDescent="0.3">
      <c r="A410" s="8">
        <v>4.9350649350649353E-2</v>
      </c>
    </row>
    <row r="411" spans="1:1" ht="18.75" customHeight="1" x14ac:dyDescent="0.3">
      <c r="A411" s="8">
        <v>4.9126637554585149E-2</v>
      </c>
    </row>
    <row r="412" spans="1:1" ht="18.75" customHeight="1" x14ac:dyDescent="0.3">
      <c r="A412" s="8">
        <v>4.7895500725689405E-2</v>
      </c>
    </row>
    <row r="413" spans="1:1" ht="18.75" customHeight="1" x14ac:dyDescent="0.3">
      <c r="A413" s="8">
        <v>4.7923322683706068E-2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413"/>
  <sheetViews>
    <sheetView workbookViewId="0"/>
  </sheetViews>
  <sheetFormatPr defaultRowHeight="14.4" x14ac:dyDescent="0.3"/>
  <cols>
    <col min="1" max="1" width="13.5546875" style="4" bestFit="1" customWidth="1"/>
    <col min="2" max="2" width="12.88671875" style="6" bestFit="1" customWidth="1"/>
    <col min="3" max="15" width="13.5546875" bestFit="1" customWidth="1"/>
    <col min="16" max="16" width="19.33203125" style="5" bestFit="1" customWidth="1"/>
    <col min="17" max="17" width="58.5546875" bestFit="1" customWidth="1"/>
  </cols>
  <sheetData>
    <row r="1" spans="1:17" s="10" customFormat="1" ht="18.75" customHeight="1" x14ac:dyDescent="0.3">
      <c r="A1" s="13" t="s">
        <v>33</v>
      </c>
      <c r="B1" s="12" t="s">
        <v>35</v>
      </c>
      <c r="P1" s="32" t="s">
        <v>441</v>
      </c>
      <c r="Q1" s="10" t="s">
        <v>442</v>
      </c>
    </row>
    <row r="2" spans="1:17" ht="18.75" customHeight="1" x14ac:dyDescent="0.3">
      <c r="A2" s="2">
        <v>26</v>
      </c>
      <c r="B2" s="2">
        <v>121</v>
      </c>
      <c r="P2" s="8">
        <f>CORREL(A2:A399,B2:B399)</f>
        <v>-0.804202824805898</v>
      </c>
      <c r="Q2" t="s">
        <v>443</v>
      </c>
    </row>
    <row r="3" spans="1:17" ht="18.75" customHeight="1" x14ac:dyDescent="0.3">
      <c r="A3" s="2">
        <v>25</v>
      </c>
      <c r="B3" s="2">
        <v>104</v>
      </c>
      <c r="Q3" t="s">
        <v>444</v>
      </c>
    </row>
    <row r="4" spans="1:17" ht="18.75" customHeight="1" x14ac:dyDescent="0.3">
      <c r="A4" s="2">
        <v>24</v>
      </c>
      <c r="B4" s="2">
        <v>107</v>
      </c>
      <c r="Q4" t="s">
        <v>445</v>
      </c>
    </row>
    <row r="5" spans="1:17" ht="18.75" customHeight="1" x14ac:dyDescent="0.3">
      <c r="A5" s="2">
        <v>25</v>
      </c>
      <c r="B5" s="2">
        <v>110</v>
      </c>
    </row>
    <row r="6" spans="1:17" ht="18.75" customHeight="1" x14ac:dyDescent="0.3">
      <c r="A6" s="2">
        <v>26</v>
      </c>
      <c r="B6" s="2">
        <v>97</v>
      </c>
    </row>
    <row r="7" spans="1:17" ht="18.75" customHeight="1" x14ac:dyDescent="0.3">
      <c r="A7" s="2">
        <v>28</v>
      </c>
      <c r="B7" s="2">
        <v>116</v>
      </c>
    </row>
    <row r="8" spans="1:17" ht="18.75" customHeight="1" x14ac:dyDescent="0.3">
      <c r="A8" s="2">
        <v>30</v>
      </c>
      <c r="B8" s="2">
        <v>88</v>
      </c>
    </row>
    <row r="9" spans="1:17" ht="18.75" customHeight="1" x14ac:dyDescent="0.3">
      <c r="A9" s="2">
        <v>30</v>
      </c>
      <c r="B9" s="2">
        <v>79</v>
      </c>
    </row>
    <row r="10" spans="1:17" ht="18.75" customHeight="1" x14ac:dyDescent="0.3">
      <c r="A10" s="2">
        <v>27</v>
      </c>
      <c r="B10" s="2">
        <v>97</v>
      </c>
    </row>
    <row r="11" spans="1:17" ht="18.75" customHeight="1" x14ac:dyDescent="0.3">
      <c r="A11" s="2">
        <v>18</v>
      </c>
      <c r="B11" s="2">
        <v>121</v>
      </c>
    </row>
    <row r="12" spans="1:17" ht="18.75" customHeight="1" x14ac:dyDescent="0.3">
      <c r="A12" s="2">
        <v>26</v>
      </c>
      <c r="B12" s="2">
        <v>96</v>
      </c>
    </row>
    <row r="13" spans="1:17" ht="18.75" customHeight="1" x14ac:dyDescent="0.3">
      <c r="A13" s="2">
        <v>22</v>
      </c>
      <c r="B13" s="2">
        <v>121</v>
      </c>
    </row>
    <row r="14" spans="1:17" ht="18.75" customHeight="1" x14ac:dyDescent="0.3">
      <c r="A14" s="2">
        <v>21</v>
      </c>
      <c r="B14" s="2">
        <v>120</v>
      </c>
    </row>
    <row r="15" spans="1:17" ht="18.75" customHeight="1" x14ac:dyDescent="0.3">
      <c r="A15" s="2">
        <v>23</v>
      </c>
      <c r="B15" s="2">
        <v>97</v>
      </c>
    </row>
    <row r="16" spans="1:17" ht="18.75" customHeight="1" x14ac:dyDescent="0.3">
      <c r="A16" s="2">
        <v>24</v>
      </c>
      <c r="B16" s="2">
        <v>121</v>
      </c>
    </row>
    <row r="17" spans="1:2" ht="18.75" customHeight="1" x14ac:dyDescent="0.3">
      <c r="A17" s="2">
        <v>26</v>
      </c>
      <c r="B17" s="2">
        <v>98</v>
      </c>
    </row>
    <row r="18" spans="1:2" ht="18.75" customHeight="1" x14ac:dyDescent="0.3">
      <c r="A18" s="2">
        <v>19</v>
      </c>
      <c r="B18" s="2">
        <v>121</v>
      </c>
    </row>
    <row r="19" spans="1:2" ht="18.75" customHeight="1" x14ac:dyDescent="0.3">
      <c r="A19" s="2">
        <v>20</v>
      </c>
      <c r="B19" s="2">
        <v>114</v>
      </c>
    </row>
    <row r="20" spans="1:2" ht="18.75" customHeight="1" x14ac:dyDescent="0.3">
      <c r="A20" s="2">
        <v>24</v>
      </c>
      <c r="B20" s="2">
        <v>116</v>
      </c>
    </row>
    <row r="21" spans="1:2" ht="18.75" customHeight="1" x14ac:dyDescent="0.3">
      <c r="A21" s="2">
        <v>29</v>
      </c>
      <c r="B21" s="2">
        <v>68</v>
      </c>
    </row>
    <row r="22" spans="1:2" ht="18.75" customHeight="1" x14ac:dyDescent="0.3">
      <c r="A22" s="2">
        <v>26</v>
      </c>
      <c r="B22" s="2">
        <v>97</v>
      </c>
    </row>
    <row r="23" spans="1:2" ht="18.75" customHeight="1" x14ac:dyDescent="0.3">
      <c r="A23" s="2">
        <v>29</v>
      </c>
      <c r="B23" s="2">
        <v>98</v>
      </c>
    </row>
    <row r="24" spans="1:2" ht="18.75" customHeight="1" x14ac:dyDescent="0.3">
      <c r="A24" s="2">
        <v>24</v>
      </c>
      <c r="B24" s="2">
        <v>90</v>
      </c>
    </row>
    <row r="25" spans="1:2" ht="18.75" customHeight="1" x14ac:dyDescent="0.3">
      <c r="A25" s="2">
        <v>26</v>
      </c>
      <c r="B25" s="2">
        <v>79</v>
      </c>
    </row>
    <row r="26" spans="1:2" ht="18.75" customHeight="1" x14ac:dyDescent="0.3">
      <c r="A26" s="2">
        <v>26</v>
      </c>
      <c r="B26" s="2">
        <v>97</v>
      </c>
    </row>
    <row r="27" spans="1:2" ht="18.75" customHeight="1" x14ac:dyDescent="0.3">
      <c r="A27" s="2">
        <v>31</v>
      </c>
      <c r="B27" s="2">
        <v>79</v>
      </c>
    </row>
    <row r="28" spans="1:2" ht="18.75" customHeight="1" x14ac:dyDescent="0.3">
      <c r="A28" s="2">
        <v>26</v>
      </c>
      <c r="B28" s="2">
        <v>116</v>
      </c>
    </row>
    <row r="29" spans="1:2" ht="18.75" customHeight="1" x14ac:dyDescent="0.3">
      <c r="A29" s="2">
        <v>25</v>
      </c>
      <c r="B29" s="2">
        <v>121</v>
      </c>
    </row>
    <row r="30" spans="1:2" ht="18.75" customHeight="1" x14ac:dyDescent="0.3">
      <c r="A30" s="2">
        <v>29</v>
      </c>
      <c r="B30" s="2">
        <v>90</v>
      </c>
    </row>
    <row r="31" spans="1:2" ht="18.75" customHeight="1" x14ac:dyDescent="0.3">
      <c r="A31" s="2">
        <v>23</v>
      </c>
      <c r="B31" s="2">
        <v>115</v>
      </c>
    </row>
    <row r="32" spans="1:2" ht="18.75" customHeight="1" x14ac:dyDescent="0.3">
      <c r="A32" s="2">
        <v>22</v>
      </c>
      <c r="B32" s="2">
        <v>121</v>
      </c>
    </row>
    <row r="33" spans="1:2" ht="18.75" customHeight="1" x14ac:dyDescent="0.3">
      <c r="A33" s="2">
        <v>25</v>
      </c>
      <c r="B33" s="2">
        <v>90</v>
      </c>
    </row>
    <row r="34" spans="1:2" ht="18.75" customHeight="1" x14ac:dyDescent="0.3">
      <c r="A34" s="2">
        <v>23</v>
      </c>
      <c r="B34" s="2">
        <v>120</v>
      </c>
    </row>
    <row r="35" spans="1:2" ht="18.75" customHeight="1" x14ac:dyDescent="0.3">
      <c r="A35" s="8">
        <v>29.5</v>
      </c>
      <c r="B35" s="2">
        <v>97</v>
      </c>
    </row>
    <row r="36" spans="1:2" ht="18.75" customHeight="1" x14ac:dyDescent="0.3">
      <c r="A36" s="2">
        <v>27</v>
      </c>
      <c r="B36" s="2">
        <v>101</v>
      </c>
    </row>
    <row r="37" spans="1:2" ht="18.75" customHeight="1" x14ac:dyDescent="0.3">
      <c r="A37" s="2">
        <v>25</v>
      </c>
      <c r="B37" s="2">
        <v>116</v>
      </c>
    </row>
    <row r="38" spans="1:2" ht="18.75" customHeight="1" x14ac:dyDescent="0.3">
      <c r="A38" s="2">
        <v>29</v>
      </c>
      <c r="B38" s="2">
        <v>90</v>
      </c>
    </row>
    <row r="39" spans="1:2" ht="18.75" customHeight="1" x14ac:dyDescent="0.3">
      <c r="A39" s="2">
        <v>28</v>
      </c>
      <c r="B39" s="2">
        <v>107</v>
      </c>
    </row>
    <row r="40" spans="1:2" ht="18.75" customHeight="1" x14ac:dyDescent="0.3">
      <c r="A40" s="2">
        <v>20</v>
      </c>
      <c r="B40" s="2">
        <v>130</v>
      </c>
    </row>
    <row r="41" spans="1:2" ht="18.75" customHeight="1" x14ac:dyDescent="0.3">
      <c r="A41" s="2">
        <v>19</v>
      </c>
      <c r="B41" s="2">
        <v>120</v>
      </c>
    </row>
    <row r="42" spans="1:2" ht="18.75" customHeight="1" x14ac:dyDescent="0.3">
      <c r="A42" s="8">
        <v>16.5</v>
      </c>
      <c r="B42" s="2">
        <v>168</v>
      </c>
    </row>
    <row r="43" spans="1:2" ht="18.75" customHeight="1" x14ac:dyDescent="0.3">
      <c r="A43" s="8">
        <v>21.5</v>
      </c>
      <c r="B43" s="2">
        <v>121</v>
      </c>
    </row>
    <row r="44" spans="1:2" ht="18.75" customHeight="1" x14ac:dyDescent="0.3">
      <c r="A44" s="2">
        <v>29</v>
      </c>
      <c r="B44" s="2">
        <v>97</v>
      </c>
    </row>
    <row r="45" spans="1:2" ht="18.75" customHeight="1" x14ac:dyDescent="0.3">
      <c r="A45" s="8">
        <v>30.5</v>
      </c>
      <c r="B45" s="2">
        <v>97</v>
      </c>
    </row>
    <row r="46" spans="1:2" ht="18.75" customHeight="1" x14ac:dyDescent="0.3">
      <c r="A46" s="2">
        <v>36</v>
      </c>
      <c r="B46" s="2">
        <v>79</v>
      </c>
    </row>
    <row r="47" spans="1:2" ht="18.75" customHeight="1" x14ac:dyDescent="0.3">
      <c r="A47" s="8">
        <v>21.6</v>
      </c>
      <c r="B47" s="2">
        <v>121</v>
      </c>
    </row>
    <row r="48" spans="1:2" ht="18.75" customHeight="1" x14ac:dyDescent="0.3">
      <c r="A48" s="8">
        <v>31.5</v>
      </c>
      <c r="B48" s="2">
        <v>89</v>
      </c>
    </row>
    <row r="49" spans="1:2" ht="18.75" customHeight="1" x14ac:dyDescent="0.3">
      <c r="A49" s="8">
        <v>43.1</v>
      </c>
      <c r="B49" s="2">
        <v>90</v>
      </c>
    </row>
    <row r="50" spans="1:2" ht="18.75" customHeight="1" x14ac:dyDescent="0.3">
      <c r="A50" s="8">
        <v>20.3</v>
      </c>
      <c r="B50" s="2">
        <v>131</v>
      </c>
    </row>
    <row r="51" spans="1:2" ht="18.75" customHeight="1" x14ac:dyDescent="0.3">
      <c r="A51" s="2">
        <v>17</v>
      </c>
      <c r="B51" s="2">
        <v>163</v>
      </c>
    </row>
    <row r="52" spans="1:2" ht="18.75" customHeight="1" x14ac:dyDescent="0.3">
      <c r="A52" s="8">
        <v>16.2</v>
      </c>
      <c r="B52" s="2">
        <v>163</v>
      </c>
    </row>
    <row r="53" spans="1:2" ht="18.75" customHeight="1" x14ac:dyDescent="0.3">
      <c r="A53" s="8">
        <v>31.9</v>
      </c>
      <c r="B53" s="2">
        <v>89</v>
      </c>
    </row>
    <row r="54" spans="1:2" ht="18.75" customHeight="1" x14ac:dyDescent="0.3">
      <c r="A54" s="8">
        <v>37.299999999999997</v>
      </c>
      <c r="B54" s="2">
        <v>91</v>
      </c>
    </row>
    <row r="55" spans="1:2" ht="18.75" customHeight="1" x14ac:dyDescent="0.3">
      <c r="A55" s="8">
        <v>27.2</v>
      </c>
      <c r="B55" s="2">
        <v>141</v>
      </c>
    </row>
    <row r="56" spans="1:2" ht="18.75" customHeight="1" x14ac:dyDescent="0.3">
      <c r="A56" s="8">
        <v>25.4</v>
      </c>
      <c r="B56" s="2">
        <v>183</v>
      </c>
    </row>
    <row r="57" spans="1:2" ht="18.75" customHeight="1" x14ac:dyDescent="0.3">
      <c r="A57" s="8">
        <v>34.299999999999997</v>
      </c>
      <c r="B57" s="2">
        <v>97</v>
      </c>
    </row>
    <row r="58" spans="1:2" ht="18.75" customHeight="1" x14ac:dyDescent="0.3">
      <c r="A58" s="8">
        <v>41.5</v>
      </c>
      <c r="B58" s="2">
        <v>98</v>
      </c>
    </row>
    <row r="59" spans="1:2" ht="18.75" customHeight="1" x14ac:dyDescent="0.3">
      <c r="A59" s="2">
        <v>35</v>
      </c>
      <c r="B59" s="2">
        <v>122</v>
      </c>
    </row>
    <row r="60" spans="1:2" ht="18.75" customHeight="1" x14ac:dyDescent="0.3">
      <c r="A60" s="8">
        <v>29.8</v>
      </c>
      <c r="B60" s="2">
        <v>89</v>
      </c>
    </row>
    <row r="61" spans="1:2" ht="18.75" customHeight="1" x14ac:dyDescent="0.3">
      <c r="A61" s="8">
        <v>44.3</v>
      </c>
      <c r="B61" s="2">
        <v>90</v>
      </c>
    </row>
    <row r="62" spans="1:2" ht="18.75" customHeight="1" x14ac:dyDescent="0.3">
      <c r="A62" s="2">
        <v>30</v>
      </c>
      <c r="B62" s="2">
        <v>146</v>
      </c>
    </row>
    <row r="63" spans="1:2" ht="18.75" customHeight="1" x14ac:dyDescent="0.3">
      <c r="A63" s="8">
        <v>43.4</v>
      </c>
      <c r="B63" s="2">
        <v>90</v>
      </c>
    </row>
    <row r="64" spans="1:2" ht="18.75" customHeight="1" x14ac:dyDescent="0.3">
      <c r="A64" s="8">
        <v>40.9</v>
      </c>
      <c r="B64" s="2">
        <v>85</v>
      </c>
    </row>
    <row r="65" spans="1:2" ht="18.75" customHeight="1" x14ac:dyDescent="0.3">
      <c r="A65" s="8">
        <v>36.4</v>
      </c>
      <c r="B65" s="2">
        <v>121</v>
      </c>
    </row>
    <row r="66" spans="1:2" ht="18.75" customHeight="1" x14ac:dyDescent="0.3">
      <c r="A66" s="2">
        <v>33</v>
      </c>
      <c r="B66" s="2">
        <v>105</v>
      </c>
    </row>
    <row r="67" spans="1:2" ht="18.75" customHeight="1" x14ac:dyDescent="0.3">
      <c r="A67" s="8">
        <v>28.1</v>
      </c>
      <c r="B67" s="2">
        <v>141</v>
      </c>
    </row>
    <row r="68" spans="1:2" ht="18.75" customHeight="1" x14ac:dyDescent="0.3">
      <c r="A68" s="8">
        <v>34.5</v>
      </c>
      <c r="B68" s="2">
        <v>100</v>
      </c>
    </row>
    <row r="69" spans="1:2" ht="18.75" customHeight="1" x14ac:dyDescent="0.3">
      <c r="A69" s="8">
        <v>30.7</v>
      </c>
      <c r="B69" s="2">
        <v>145</v>
      </c>
    </row>
    <row r="70" spans="1:2" ht="18.75" customHeight="1" x14ac:dyDescent="0.3">
      <c r="A70" s="2">
        <v>36</v>
      </c>
      <c r="B70" s="2">
        <v>105</v>
      </c>
    </row>
    <row r="71" spans="1:2" ht="18.75" customHeight="1" x14ac:dyDescent="0.3">
      <c r="A71" s="2">
        <v>44</v>
      </c>
      <c r="B71" s="2">
        <v>97</v>
      </c>
    </row>
    <row r="72" spans="1:2" ht="18.75" customHeight="1" x14ac:dyDescent="0.3">
      <c r="A72" s="2">
        <v>27</v>
      </c>
      <c r="B72" s="2">
        <v>97</v>
      </c>
    </row>
    <row r="73" spans="1:2" ht="18.75" customHeight="1" x14ac:dyDescent="0.3">
      <c r="A73" s="2">
        <v>24</v>
      </c>
      <c r="B73" s="2">
        <v>113</v>
      </c>
    </row>
    <row r="74" spans="1:2" ht="18.75" customHeight="1" x14ac:dyDescent="0.3">
      <c r="A74" s="2">
        <v>35</v>
      </c>
      <c r="B74" s="2">
        <v>72</v>
      </c>
    </row>
    <row r="75" spans="1:2" ht="18.75" customHeight="1" x14ac:dyDescent="0.3">
      <c r="A75" s="2">
        <v>25</v>
      </c>
      <c r="B75" s="2">
        <v>113</v>
      </c>
    </row>
    <row r="76" spans="1:2" ht="18.75" customHeight="1" x14ac:dyDescent="0.3">
      <c r="A76" s="2">
        <v>27</v>
      </c>
      <c r="B76" s="2">
        <v>97</v>
      </c>
    </row>
    <row r="77" spans="1:2" ht="18.75" customHeight="1" x14ac:dyDescent="0.3">
      <c r="A77" s="2">
        <v>31</v>
      </c>
      <c r="B77" s="2">
        <v>71</v>
      </c>
    </row>
    <row r="78" spans="1:2" ht="18.75" customHeight="1" x14ac:dyDescent="0.3">
      <c r="A78" s="2">
        <v>19</v>
      </c>
      <c r="B78" s="2">
        <v>70</v>
      </c>
    </row>
    <row r="79" spans="1:2" ht="18.75" customHeight="1" x14ac:dyDescent="0.3">
      <c r="A79" s="2">
        <v>27</v>
      </c>
      <c r="B79" s="2">
        <v>97</v>
      </c>
    </row>
    <row r="80" spans="1:2" ht="18.75" customHeight="1" x14ac:dyDescent="0.3">
      <c r="A80" s="2">
        <v>24</v>
      </c>
      <c r="B80" s="2">
        <v>113</v>
      </c>
    </row>
    <row r="81" spans="1:2" ht="18.75" customHeight="1" x14ac:dyDescent="0.3">
      <c r="A81" s="2">
        <v>28</v>
      </c>
      <c r="B81" s="2">
        <v>97</v>
      </c>
    </row>
    <row r="82" spans="1:2" ht="18.75" customHeight="1" x14ac:dyDescent="0.3">
      <c r="A82" s="2">
        <v>23</v>
      </c>
      <c r="B82" s="2">
        <v>120</v>
      </c>
    </row>
    <row r="83" spans="1:2" ht="18.75" customHeight="1" x14ac:dyDescent="0.3">
      <c r="A83" s="2">
        <v>18</v>
      </c>
      <c r="B83" s="2">
        <v>70</v>
      </c>
    </row>
    <row r="84" spans="1:2" ht="18.75" customHeight="1" x14ac:dyDescent="0.3">
      <c r="A84" s="2">
        <v>22</v>
      </c>
      <c r="B84" s="2">
        <v>108</v>
      </c>
    </row>
    <row r="85" spans="1:2" ht="18.75" customHeight="1" x14ac:dyDescent="0.3">
      <c r="A85" s="2">
        <v>20</v>
      </c>
      <c r="B85" s="2">
        <v>97</v>
      </c>
    </row>
    <row r="86" spans="1:2" ht="18.75" customHeight="1" x14ac:dyDescent="0.3">
      <c r="A86" s="2">
        <v>20</v>
      </c>
      <c r="B86" s="2">
        <v>156</v>
      </c>
    </row>
    <row r="87" spans="1:2" ht="18.75" customHeight="1" x14ac:dyDescent="0.3">
      <c r="A87" s="2">
        <v>24</v>
      </c>
      <c r="B87" s="2">
        <v>120</v>
      </c>
    </row>
    <row r="88" spans="1:2" ht="18.75" customHeight="1" x14ac:dyDescent="0.3">
      <c r="A88" s="2">
        <v>26</v>
      </c>
      <c r="B88" s="2">
        <v>108</v>
      </c>
    </row>
    <row r="89" spans="1:2" ht="18.75" customHeight="1" x14ac:dyDescent="0.3">
      <c r="A89" s="2">
        <v>32</v>
      </c>
      <c r="B89" s="2">
        <v>71</v>
      </c>
    </row>
    <row r="90" spans="1:2" ht="18.75" customHeight="1" x14ac:dyDescent="0.3">
      <c r="A90" s="2">
        <v>31</v>
      </c>
      <c r="B90" s="2">
        <v>79</v>
      </c>
    </row>
    <row r="91" spans="1:2" ht="18.75" customHeight="1" x14ac:dyDescent="0.3">
      <c r="A91" s="2">
        <v>31</v>
      </c>
      <c r="B91" s="2">
        <v>76</v>
      </c>
    </row>
    <row r="92" spans="1:2" ht="18.75" customHeight="1" x14ac:dyDescent="0.3">
      <c r="A92" s="2">
        <v>32</v>
      </c>
      <c r="B92" s="2">
        <v>83</v>
      </c>
    </row>
    <row r="93" spans="1:2" ht="18.75" customHeight="1" x14ac:dyDescent="0.3">
      <c r="A93" s="2">
        <v>24</v>
      </c>
      <c r="B93" s="2">
        <v>119</v>
      </c>
    </row>
    <row r="94" spans="1:2" ht="18.75" customHeight="1" x14ac:dyDescent="0.3">
      <c r="A94" s="2">
        <v>24</v>
      </c>
      <c r="B94" s="2">
        <v>134</v>
      </c>
    </row>
    <row r="95" spans="1:2" ht="18.75" customHeight="1" x14ac:dyDescent="0.3">
      <c r="A95" s="2">
        <v>29</v>
      </c>
      <c r="B95" s="2">
        <v>97</v>
      </c>
    </row>
    <row r="96" spans="1:2" ht="18.75" customHeight="1" x14ac:dyDescent="0.3">
      <c r="A96" s="2">
        <v>33</v>
      </c>
      <c r="B96" s="2">
        <v>91</v>
      </c>
    </row>
    <row r="97" spans="1:2" ht="18.75" customHeight="1" x14ac:dyDescent="0.3">
      <c r="A97" s="2">
        <v>32</v>
      </c>
      <c r="B97" s="2">
        <v>85</v>
      </c>
    </row>
    <row r="98" spans="1:2" ht="18.75" customHeight="1" x14ac:dyDescent="0.3">
      <c r="A98" s="2">
        <v>28</v>
      </c>
      <c r="B98" s="2">
        <v>97</v>
      </c>
    </row>
    <row r="99" spans="1:2" ht="18.75" customHeight="1" x14ac:dyDescent="0.3">
      <c r="A99" s="2">
        <v>33</v>
      </c>
      <c r="B99" s="2">
        <v>91</v>
      </c>
    </row>
    <row r="100" spans="1:2" ht="18.75" customHeight="1" x14ac:dyDescent="0.3">
      <c r="A100" s="2">
        <v>19</v>
      </c>
      <c r="B100" s="2">
        <v>156</v>
      </c>
    </row>
    <row r="101" spans="1:2" ht="18.75" customHeight="1" x14ac:dyDescent="0.3">
      <c r="A101" s="8">
        <v>21.5</v>
      </c>
      <c r="B101" s="2">
        <v>80</v>
      </c>
    </row>
    <row r="102" spans="1:2" ht="18.75" customHeight="1" x14ac:dyDescent="0.3">
      <c r="A102" s="8">
        <v>33.5</v>
      </c>
      <c r="B102" s="2">
        <v>85</v>
      </c>
    </row>
    <row r="103" spans="1:2" ht="18.75" customHeight="1" x14ac:dyDescent="0.3">
      <c r="A103" s="2">
        <v>30</v>
      </c>
      <c r="B103" s="2">
        <v>97</v>
      </c>
    </row>
    <row r="104" spans="1:2" ht="18.75" customHeight="1" x14ac:dyDescent="0.3">
      <c r="A104" s="8">
        <v>31.5</v>
      </c>
      <c r="B104" s="2">
        <v>98</v>
      </c>
    </row>
    <row r="105" spans="1:2" ht="18.75" customHeight="1" x14ac:dyDescent="0.3">
      <c r="A105" s="2">
        <v>26</v>
      </c>
      <c r="B105" s="2">
        <v>97</v>
      </c>
    </row>
    <row r="106" spans="1:2" ht="18.75" customHeight="1" x14ac:dyDescent="0.3">
      <c r="A106" s="2">
        <v>22</v>
      </c>
      <c r="B106" s="2">
        <v>146</v>
      </c>
    </row>
    <row r="107" spans="1:2" ht="18.75" customHeight="1" x14ac:dyDescent="0.3">
      <c r="A107" s="8">
        <v>27.2</v>
      </c>
      <c r="B107" s="2">
        <v>119</v>
      </c>
    </row>
    <row r="108" spans="1:2" ht="18.75" customHeight="1" x14ac:dyDescent="0.3">
      <c r="A108" s="8">
        <v>23.9</v>
      </c>
      <c r="B108" s="2">
        <v>119</v>
      </c>
    </row>
    <row r="109" spans="1:2" ht="18.75" customHeight="1" x14ac:dyDescent="0.3">
      <c r="A109" s="8">
        <v>21.1</v>
      </c>
      <c r="B109" s="2">
        <v>134</v>
      </c>
    </row>
    <row r="110" spans="1:2" ht="18.75" customHeight="1" x14ac:dyDescent="0.3">
      <c r="A110" s="8">
        <v>27.5</v>
      </c>
      <c r="B110" s="2">
        <v>134</v>
      </c>
    </row>
    <row r="111" spans="1:2" ht="18.75" customHeight="1" x14ac:dyDescent="0.3">
      <c r="A111" s="8">
        <v>39.4</v>
      </c>
      <c r="B111" s="2">
        <v>85</v>
      </c>
    </row>
    <row r="112" spans="1:2" ht="18.75" customHeight="1" x14ac:dyDescent="0.3">
      <c r="A112" s="8">
        <v>36.1</v>
      </c>
      <c r="B112" s="2">
        <v>91</v>
      </c>
    </row>
    <row r="113" spans="1:2" ht="18.75" customHeight="1" x14ac:dyDescent="0.3">
      <c r="A113" s="8">
        <v>29.5</v>
      </c>
      <c r="B113" s="2">
        <v>98</v>
      </c>
    </row>
    <row r="114" spans="1:2" ht="18.75" customHeight="1" x14ac:dyDescent="0.3">
      <c r="A114" s="8">
        <v>32.799999999999997</v>
      </c>
      <c r="B114" s="2">
        <v>78</v>
      </c>
    </row>
    <row r="115" spans="1:2" ht="18.75" customHeight="1" x14ac:dyDescent="0.3">
      <c r="A115" s="8">
        <v>34.1</v>
      </c>
      <c r="B115" s="2">
        <v>86</v>
      </c>
    </row>
    <row r="116" spans="1:2" ht="18.75" customHeight="1" x14ac:dyDescent="0.3">
      <c r="A116" s="8">
        <v>31.8</v>
      </c>
      <c r="B116" s="2">
        <v>85</v>
      </c>
    </row>
    <row r="117" spans="1:2" ht="18.75" customHeight="1" x14ac:dyDescent="0.3">
      <c r="A117" s="8">
        <v>23.7</v>
      </c>
      <c r="B117" s="2">
        <v>70</v>
      </c>
    </row>
    <row r="118" spans="1:2" ht="18.75" customHeight="1" x14ac:dyDescent="0.3">
      <c r="A118" s="2">
        <v>37</v>
      </c>
      <c r="B118" s="2">
        <v>119</v>
      </c>
    </row>
    <row r="119" spans="1:2" ht="18.75" customHeight="1" x14ac:dyDescent="0.3">
      <c r="A119" s="8">
        <v>44.6</v>
      </c>
      <c r="B119" s="2">
        <v>91</v>
      </c>
    </row>
    <row r="120" spans="1:2" ht="18.75" customHeight="1" x14ac:dyDescent="0.3">
      <c r="A120" s="8">
        <v>29.8</v>
      </c>
      <c r="B120" s="2">
        <v>134</v>
      </c>
    </row>
    <row r="121" spans="1:2" ht="18.75" customHeight="1" x14ac:dyDescent="0.3">
      <c r="A121" s="8">
        <v>32.200000000000003</v>
      </c>
      <c r="B121" s="2">
        <v>108</v>
      </c>
    </row>
    <row r="122" spans="1:2" ht="18.75" customHeight="1" x14ac:dyDescent="0.3">
      <c r="A122" s="8">
        <v>37.200000000000003</v>
      </c>
      <c r="B122" s="2">
        <v>86</v>
      </c>
    </row>
    <row r="123" spans="1:2" ht="18.75" customHeight="1" x14ac:dyDescent="0.3">
      <c r="A123" s="8">
        <v>32.4</v>
      </c>
      <c r="B123" s="2">
        <v>107</v>
      </c>
    </row>
    <row r="124" spans="1:2" ht="18.75" customHeight="1" x14ac:dyDescent="0.3">
      <c r="A124" s="8">
        <v>33.799999999999997</v>
      </c>
      <c r="B124" s="2">
        <v>97</v>
      </c>
    </row>
    <row r="125" spans="1:2" ht="18.75" customHeight="1" x14ac:dyDescent="0.3">
      <c r="A125" s="8">
        <v>40.799999999999997</v>
      </c>
      <c r="B125" s="2">
        <v>85</v>
      </c>
    </row>
    <row r="126" spans="1:2" ht="18.75" customHeight="1" x14ac:dyDescent="0.3">
      <c r="A126" s="8">
        <v>46.6</v>
      </c>
      <c r="B126" s="2">
        <v>86</v>
      </c>
    </row>
    <row r="127" spans="1:2" ht="18.75" customHeight="1" x14ac:dyDescent="0.3">
      <c r="A127" s="8">
        <v>38.1</v>
      </c>
      <c r="B127" s="2">
        <v>89</v>
      </c>
    </row>
    <row r="128" spans="1:2" ht="18.75" customHeight="1" x14ac:dyDescent="0.3">
      <c r="A128" s="8">
        <v>31.3</v>
      </c>
      <c r="B128" s="2">
        <v>120</v>
      </c>
    </row>
    <row r="129" spans="1:2" ht="18.75" customHeight="1" x14ac:dyDescent="0.3">
      <c r="A129" s="8">
        <v>32.700000000000003</v>
      </c>
      <c r="B129" s="2">
        <v>168</v>
      </c>
    </row>
    <row r="130" spans="1:2" ht="18.75" customHeight="1" x14ac:dyDescent="0.3">
      <c r="A130" s="8">
        <v>32.9</v>
      </c>
      <c r="B130" s="2">
        <v>119</v>
      </c>
    </row>
    <row r="131" spans="1:2" ht="18.75" customHeight="1" x14ac:dyDescent="0.3">
      <c r="A131" s="8">
        <v>34.1</v>
      </c>
      <c r="B131" s="2">
        <v>91</v>
      </c>
    </row>
    <row r="132" spans="1:2" ht="18.75" customHeight="1" x14ac:dyDescent="0.3">
      <c r="A132" s="8">
        <v>35.1</v>
      </c>
      <c r="B132" s="2">
        <v>81</v>
      </c>
    </row>
    <row r="133" spans="1:2" ht="18.75" customHeight="1" x14ac:dyDescent="0.3">
      <c r="A133" s="8">
        <v>33.700000000000003</v>
      </c>
      <c r="B133" s="2">
        <v>107</v>
      </c>
    </row>
    <row r="134" spans="1:2" ht="18.75" customHeight="1" x14ac:dyDescent="0.3">
      <c r="A134" s="8">
        <v>39.1</v>
      </c>
      <c r="B134" s="2">
        <v>79</v>
      </c>
    </row>
    <row r="135" spans="1:2" ht="18.75" customHeight="1" x14ac:dyDescent="0.3">
      <c r="A135" s="2">
        <v>37</v>
      </c>
      <c r="B135" s="2">
        <v>85</v>
      </c>
    </row>
    <row r="136" spans="1:2" ht="18.75" customHeight="1" x14ac:dyDescent="0.3">
      <c r="A136" s="8">
        <v>32.299999999999997</v>
      </c>
      <c r="B136" s="2">
        <v>97</v>
      </c>
    </row>
    <row r="137" spans="1:2" ht="18.75" customHeight="1" x14ac:dyDescent="0.3">
      <c r="A137" s="8">
        <v>32.4</v>
      </c>
      <c r="B137" s="2">
        <v>108</v>
      </c>
    </row>
    <row r="138" spans="1:2" ht="18.75" customHeight="1" x14ac:dyDescent="0.3">
      <c r="A138" s="8">
        <v>37.700000000000003</v>
      </c>
      <c r="B138" s="2">
        <v>89</v>
      </c>
    </row>
    <row r="139" spans="1:2" ht="18.75" customHeight="1" x14ac:dyDescent="0.3">
      <c r="A139" s="8">
        <v>31.6</v>
      </c>
      <c r="B139" s="2">
        <v>120</v>
      </c>
    </row>
    <row r="140" spans="1:2" ht="18.75" customHeight="1" x14ac:dyDescent="0.3">
      <c r="A140" s="8">
        <v>24.2</v>
      </c>
      <c r="B140" s="2">
        <v>146</v>
      </c>
    </row>
    <row r="141" spans="1:2" ht="18.75" customHeight="1" x14ac:dyDescent="0.3">
      <c r="A141" s="8">
        <v>25.4</v>
      </c>
      <c r="B141" s="2">
        <v>168</v>
      </c>
    </row>
    <row r="142" spans="1:2" ht="18.75" customHeight="1" x14ac:dyDescent="0.3">
      <c r="A142" s="2">
        <v>36</v>
      </c>
      <c r="B142" s="2">
        <v>120</v>
      </c>
    </row>
    <row r="143" spans="1:2" ht="18.75" customHeight="1" x14ac:dyDescent="0.3">
      <c r="A143" s="2">
        <v>32</v>
      </c>
      <c r="B143" s="2">
        <v>144</v>
      </c>
    </row>
    <row r="144" spans="1:2" ht="18.75" customHeight="1" x14ac:dyDescent="0.3">
      <c r="A144" s="2">
        <v>31</v>
      </c>
      <c r="B144" s="2">
        <v>91</v>
      </c>
    </row>
    <row r="145" spans="1:2" ht="18.75" customHeight="1" x14ac:dyDescent="0.3">
      <c r="A145" s="2">
        <v>38</v>
      </c>
      <c r="B145" s="2">
        <v>91</v>
      </c>
    </row>
    <row r="146" spans="1:2" ht="18.75" customHeight="1" x14ac:dyDescent="0.3">
      <c r="A146" s="2">
        <v>32</v>
      </c>
      <c r="B146" s="2">
        <v>91</v>
      </c>
    </row>
    <row r="147" spans="1:2" ht="18.75" customHeight="1" x14ac:dyDescent="0.3">
      <c r="A147" s="2">
        <v>36</v>
      </c>
      <c r="B147" s="2">
        <v>107</v>
      </c>
    </row>
    <row r="148" spans="1:2" ht="18.75" customHeight="1" x14ac:dyDescent="0.3">
      <c r="A148" s="2">
        <v>38</v>
      </c>
      <c r="B148" s="2">
        <v>91</v>
      </c>
    </row>
    <row r="149" spans="1:2" ht="18.75" customHeight="1" x14ac:dyDescent="0.3">
      <c r="A149" s="2">
        <v>37</v>
      </c>
      <c r="B149" s="2">
        <v>91</v>
      </c>
    </row>
    <row r="150" spans="1:2" ht="18.75" customHeight="1" x14ac:dyDescent="0.3">
      <c r="A150" s="2">
        <v>34</v>
      </c>
      <c r="B150" s="2">
        <v>108</v>
      </c>
    </row>
    <row r="151" spans="1:2" ht="18.75" customHeight="1" x14ac:dyDescent="0.3">
      <c r="A151" s="2">
        <v>18</v>
      </c>
      <c r="B151" s="2">
        <v>199</v>
      </c>
    </row>
    <row r="152" spans="1:2" ht="18.75" customHeight="1" x14ac:dyDescent="0.3">
      <c r="A152" s="2">
        <v>21</v>
      </c>
      <c r="B152" s="2">
        <v>199</v>
      </c>
    </row>
    <row r="153" spans="1:2" ht="18.75" customHeight="1" x14ac:dyDescent="0.3">
      <c r="A153" s="2">
        <v>22</v>
      </c>
      <c r="B153" s="2">
        <v>198</v>
      </c>
    </row>
    <row r="154" spans="1:2" ht="18.75" customHeight="1" x14ac:dyDescent="0.3">
      <c r="A154" s="2">
        <v>21</v>
      </c>
      <c r="B154" s="2">
        <v>200</v>
      </c>
    </row>
    <row r="155" spans="1:2" ht="18.75" customHeight="1" x14ac:dyDescent="0.3">
      <c r="A155" s="2">
        <v>14</v>
      </c>
      <c r="B155" s="2">
        <v>455</v>
      </c>
    </row>
    <row r="156" spans="1:2" ht="18.75" customHeight="1" x14ac:dyDescent="0.3">
      <c r="A156" s="2">
        <v>14</v>
      </c>
      <c r="B156" s="2">
        <v>455</v>
      </c>
    </row>
    <row r="157" spans="1:2" ht="18.75" customHeight="1" x14ac:dyDescent="0.3">
      <c r="A157" s="2">
        <v>14</v>
      </c>
      <c r="B157" s="2">
        <v>454</v>
      </c>
    </row>
    <row r="158" spans="1:2" ht="18.75" customHeight="1" x14ac:dyDescent="0.3">
      <c r="A158" s="2">
        <v>14</v>
      </c>
      <c r="B158" s="2">
        <v>440</v>
      </c>
    </row>
    <row r="159" spans="1:2" ht="18.75" customHeight="1" x14ac:dyDescent="0.3">
      <c r="A159" s="2">
        <v>15</v>
      </c>
      <c r="B159" s="2">
        <v>390</v>
      </c>
    </row>
    <row r="160" spans="1:2" ht="18.75" customHeight="1" x14ac:dyDescent="0.3">
      <c r="A160" s="2">
        <v>11</v>
      </c>
      <c r="B160" s="2">
        <v>318</v>
      </c>
    </row>
    <row r="161" spans="1:2" ht="18.75" customHeight="1" x14ac:dyDescent="0.3">
      <c r="A161" s="2">
        <v>15</v>
      </c>
      <c r="B161" s="2">
        <v>383</v>
      </c>
    </row>
    <row r="162" spans="1:2" ht="18.75" customHeight="1" x14ac:dyDescent="0.3">
      <c r="A162" s="2">
        <v>10</v>
      </c>
      <c r="B162" s="2">
        <v>360</v>
      </c>
    </row>
    <row r="163" spans="1:2" ht="18.75" customHeight="1" x14ac:dyDescent="0.3">
      <c r="A163" s="2">
        <v>10</v>
      </c>
      <c r="B163" s="2">
        <v>307</v>
      </c>
    </row>
    <row r="164" spans="1:2" ht="18.75" customHeight="1" x14ac:dyDescent="0.3">
      <c r="A164" s="2">
        <v>15</v>
      </c>
      <c r="B164" s="2">
        <v>429</v>
      </c>
    </row>
    <row r="165" spans="1:2" ht="18.75" customHeight="1" x14ac:dyDescent="0.3">
      <c r="A165" s="2">
        <v>15</v>
      </c>
      <c r="B165" s="2">
        <v>350</v>
      </c>
    </row>
    <row r="166" spans="1:2" ht="18.75" customHeight="1" x14ac:dyDescent="0.3">
      <c r="A166" s="2">
        <v>14</v>
      </c>
      <c r="B166" s="2">
        <v>340</v>
      </c>
    </row>
    <row r="167" spans="1:2" ht="18.75" customHeight="1" x14ac:dyDescent="0.3">
      <c r="A167" s="2">
        <v>16</v>
      </c>
      <c r="B167" s="2">
        <v>304</v>
      </c>
    </row>
    <row r="168" spans="1:2" ht="18.75" customHeight="1" x14ac:dyDescent="0.3">
      <c r="A168" s="2">
        <v>18</v>
      </c>
      <c r="B168" s="2">
        <v>318</v>
      </c>
    </row>
    <row r="169" spans="1:2" ht="18.75" customHeight="1" x14ac:dyDescent="0.3">
      <c r="A169" s="2">
        <v>9</v>
      </c>
      <c r="B169" s="2">
        <v>304</v>
      </c>
    </row>
    <row r="170" spans="1:2" ht="18.75" customHeight="1" x14ac:dyDescent="0.3">
      <c r="A170" s="2">
        <v>17</v>
      </c>
      <c r="B170" s="2">
        <v>302</v>
      </c>
    </row>
    <row r="171" spans="1:2" ht="18.75" customHeight="1" x14ac:dyDescent="0.3">
      <c r="A171" s="2">
        <v>15</v>
      </c>
      <c r="B171" s="2">
        <v>400</v>
      </c>
    </row>
    <row r="172" spans="1:2" ht="18.75" customHeight="1" x14ac:dyDescent="0.3">
      <c r="A172" s="2">
        <v>18</v>
      </c>
      <c r="B172" s="2">
        <v>307</v>
      </c>
    </row>
    <row r="173" spans="1:2" ht="18.75" customHeight="1" x14ac:dyDescent="0.3">
      <c r="A173" s="2">
        <v>28</v>
      </c>
      <c r="B173" s="2">
        <v>140</v>
      </c>
    </row>
    <row r="174" spans="1:2" ht="18.75" customHeight="1" x14ac:dyDescent="0.3">
      <c r="A174" s="2">
        <v>23</v>
      </c>
      <c r="B174" s="2">
        <v>122</v>
      </c>
    </row>
    <row r="175" spans="1:2" ht="18.75" customHeight="1" x14ac:dyDescent="0.3">
      <c r="A175" s="2">
        <v>26</v>
      </c>
      <c r="B175" s="2">
        <v>91</v>
      </c>
    </row>
    <row r="176" spans="1:2" ht="18.75" customHeight="1" x14ac:dyDescent="0.3">
      <c r="A176" s="2">
        <v>22</v>
      </c>
      <c r="B176" s="2">
        <v>140</v>
      </c>
    </row>
    <row r="177" spans="1:2" ht="18.75" customHeight="1" x14ac:dyDescent="0.3">
      <c r="A177" s="2">
        <v>25</v>
      </c>
      <c r="B177" s="2">
        <v>98</v>
      </c>
    </row>
    <row r="178" spans="1:2" ht="18.75" customHeight="1" x14ac:dyDescent="0.3">
      <c r="A178" s="2">
        <v>19</v>
      </c>
      <c r="B178" s="2">
        <v>232</v>
      </c>
    </row>
    <row r="179" spans="1:2" ht="18.75" customHeight="1" x14ac:dyDescent="0.3">
      <c r="A179" s="2">
        <v>18</v>
      </c>
      <c r="B179" s="2">
        <v>258</v>
      </c>
    </row>
    <row r="180" spans="1:2" ht="18.75" customHeight="1" x14ac:dyDescent="0.3">
      <c r="A180" s="2">
        <v>16</v>
      </c>
      <c r="B180" s="2">
        <v>225</v>
      </c>
    </row>
    <row r="181" spans="1:2" ht="18.75" customHeight="1" x14ac:dyDescent="0.3">
      <c r="A181" s="2">
        <v>19</v>
      </c>
      <c r="B181" s="2">
        <v>250</v>
      </c>
    </row>
    <row r="182" spans="1:2" ht="18.75" customHeight="1" x14ac:dyDescent="0.3">
      <c r="A182" s="2">
        <v>18</v>
      </c>
      <c r="B182" s="2">
        <v>232</v>
      </c>
    </row>
    <row r="183" spans="1:2" ht="18.75" customHeight="1" x14ac:dyDescent="0.3">
      <c r="A183" s="2">
        <v>17</v>
      </c>
      <c r="B183" s="2">
        <v>250</v>
      </c>
    </row>
    <row r="184" spans="1:2" ht="18.75" customHeight="1" x14ac:dyDescent="0.3">
      <c r="A184" s="2">
        <v>18</v>
      </c>
      <c r="B184" s="2">
        <v>250</v>
      </c>
    </row>
    <row r="185" spans="1:2" ht="18.75" customHeight="1" x14ac:dyDescent="0.3">
      <c r="A185" s="2">
        <v>19</v>
      </c>
      <c r="B185" s="2">
        <v>250</v>
      </c>
    </row>
    <row r="186" spans="1:2" ht="18.75" customHeight="1" x14ac:dyDescent="0.3">
      <c r="A186" s="2">
        <v>14</v>
      </c>
      <c r="B186" s="2">
        <v>350</v>
      </c>
    </row>
    <row r="187" spans="1:2" ht="18.75" customHeight="1" x14ac:dyDescent="0.3">
      <c r="A187" s="2">
        <v>14</v>
      </c>
      <c r="B187" s="2">
        <v>400</v>
      </c>
    </row>
    <row r="188" spans="1:2" ht="18.75" customHeight="1" x14ac:dyDescent="0.3">
      <c r="A188" s="2">
        <v>14</v>
      </c>
      <c r="B188" s="2">
        <v>351</v>
      </c>
    </row>
    <row r="189" spans="1:2" ht="18.75" customHeight="1" x14ac:dyDescent="0.3">
      <c r="A189" s="2">
        <v>14</v>
      </c>
      <c r="B189" s="2">
        <v>318</v>
      </c>
    </row>
    <row r="190" spans="1:2" ht="18.75" customHeight="1" x14ac:dyDescent="0.3">
      <c r="A190" s="2">
        <v>12</v>
      </c>
      <c r="B190" s="2">
        <v>383</v>
      </c>
    </row>
    <row r="191" spans="1:2" ht="18.75" customHeight="1" x14ac:dyDescent="0.3">
      <c r="A191" s="2">
        <v>13</v>
      </c>
      <c r="B191" s="2">
        <v>400</v>
      </c>
    </row>
    <row r="192" spans="1:2" ht="18.75" customHeight="1" x14ac:dyDescent="0.3">
      <c r="A192" s="2">
        <v>13</v>
      </c>
      <c r="B192" s="2">
        <v>400</v>
      </c>
    </row>
    <row r="193" spans="1:2" ht="18.75" customHeight="1" x14ac:dyDescent="0.3">
      <c r="A193" s="2">
        <v>21</v>
      </c>
      <c r="B193" s="2">
        <v>122</v>
      </c>
    </row>
    <row r="194" spans="1:2" ht="18.75" customHeight="1" x14ac:dyDescent="0.3">
      <c r="A194" s="2">
        <v>25</v>
      </c>
      <c r="B194" s="8">
        <v>97.5</v>
      </c>
    </row>
    <row r="195" spans="1:2" ht="18.75" customHeight="1" x14ac:dyDescent="0.3">
      <c r="A195" s="2">
        <v>20</v>
      </c>
      <c r="B195" s="2">
        <v>140</v>
      </c>
    </row>
    <row r="196" spans="1:2" ht="18.75" customHeight="1" x14ac:dyDescent="0.3">
      <c r="A196" s="2">
        <v>28</v>
      </c>
      <c r="B196" s="2">
        <v>98</v>
      </c>
    </row>
    <row r="197" spans="1:2" ht="18.75" customHeight="1" x14ac:dyDescent="0.3">
      <c r="A197" s="2">
        <v>22</v>
      </c>
      <c r="B197" s="2">
        <v>122</v>
      </c>
    </row>
    <row r="198" spans="1:2" ht="18.75" customHeight="1" x14ac:dyDescent="0.3">
      <c r="A198" s="2">
        <v>11</v>
      </c>
      <c r="B198" s="2">
        <v>429</v>
      </c>
    </row>
    <row r="199" spans="1:2" ht="18.75" customHeight="1" x14ac:dyDescent="0.3">
      <c r="A199" s="2">
        <v>13</v>
      </c>
      <c r="B199" s="2">
        <v>400</v>
      </c>
    </row>
    <row r="200" spans="1:2" ht="18.75" customHeight="1" x14ac:dyDescent="0.3">
      <c r="A200" s="2">
        <v>17</v>
      </c>
      <c r="B200" s="2">
        <v>304</v>
      </c>
    </row>
    <row r="201" spans="1:2" ht="18.75" customHeight="1" x14ac:dyDescent="0.3">
      <c r="A201" s="2">
        <v>14</v>
      </c>
      <c r="B201" s="2">
        <v>400</v>
      </c>
    </row>
    <row r="202" spans="1:2" ht="18.75" customHeight="1" x14ac:dyDescent="0.3">
      <c r="A202" s="2">
        <v>13</v>
      </c>
      <c r="B202" s="2">
        <v>350</v>
      </c>
    </row>
    <row r="203" spans="1:2" ht="18.75" customHeight="1" x14ac:dyDescent="0.3">
      <c r="A203" s="2">
        <v>15</v>
      </c>
      <c r="B203" s="2">
        <v>304</v>
      </c>
    </row>
    <row r="204" spans="1:2" ht="18.75" customHeight="1" x14ac:dyDescent="0.3">
      <c r="A204" s="2">
        <v>14</v>
      </c>
      <c r="B204" s="2">
        <v>351</v>
      </c>
    </row>
    <row r="205" spans="1:2" ht="18.75" customHeight="1" x14ac:dyDescent="0.3">
      <c r="A205" s="2">
        <v>14</v>
      </c>
      <c r="B205" s="2">
        <v>318</v>
      </c>
    </row>
    <row r="206" spans="1:2" ht="18.75" customHeight="1" x14ac:dyDescent="0.3">
      <c r="A206" s="2">
        <v>15</v>
      </c>
      <c r="B206" s="2">
        <v>318</v>
      </c>
    </row>
    <row r="207" spans="1:2" ht="18.75" customHeight="1" x14ac:dyDescent="0.3">
      <c r="A207" s="2">
        <v>12</v>
      </c>
      <c r="B207" s="2">
        <v>350</v>
      </c>
    </row>
    <row r="208" spans="1:2" ht="18.75" customHeight="1" x14ac:dyDescent="0.3">
      <c r="A208" s="2">
        <v>13</v>
      </c>
      <c r="B208" s="2">
        <v>350</v>
      </c>
    </row>
    <row r="209" spans="1:2" ht="18.75" customHeight="1" x14ac:dyDescent="0.3">
      <c r="A209" s="2">
        <v>13</v>
      </c>
      <c r="B209" s="2">
        <v>302</v>
      </c>
    </row>
    <row r="210" spans="1:2" ht="18.75" customHeight="1" x14ac:dyDescent="0.3">
      <c r="A210" s="2">
        <v>13</v>
      </c>
      <c r="B210" s="2">
        <v>307</v>
      </c>
    </row>
    <row r="211" spans="1:2" ht="18.75" customHeight="1" x14ac:dyDescent="0.3">
      <c r="A211" s="2">
        <v>19</v>
      </c>
      <c r="B211" s="2">
        <v>122</v>
      </c>
    </row>
    <row r="212" spans="1:2" ht="18.75" customHeight="1" x14ac:dyDescent="0.3">
      <c r="A212" s="2">
        <v>21</v>
      </c>
      <c r="B212" s="2">
        <v>140</v>
      </c>
    </row>
    <row r="213" spans="1:2" ht="18.75" customHeight="1" x14ac:dyDescent="0.3">
      <c r="A213" s="2">
        <v>21</v>
      </c>
      <c r="B213" s="2">
        <v>155</v>
      </c>
    </row>
    <row r="214" spans="1:2" ht="18.75" customHeight="1" x14ac:dyDescent="0.3">
      <c r="A214" s="2">
        <v>18</v>
      </c>
      <c r="B214" s="2">
        <v>232</v>
      </c>
    </row>
    <row r="215" spans="1:2" ht="18.75" customHeight="1" x14ac:dyDescent="0.3">
      <c r="A215" s="2">
        <v>18</v>
      </c>
      <c r="B215" s="2">
        <v>232</v>
      </c>
    </row>
    <row r="216" spans="1:2" ht="18.75" customHeight="1" x14ac:dyDescent="0.3">
      <c r="A216" s="2">
        <v>18</v>
      </c>
      <c r="B216" s="2">
        <v>225</v>
      </c>
    </row>
    <row r="217" spans="1:2" ht="18.75" customHeight="1" x14ac:dyDescent="0.3">
      <c r="A217" s="2">
        <v>23</v>
      </c>
      <c r="B217" s="2">
        <v>198</v>
      </c>
    </row>
    <row r="218" spans="1:2" ht="18.75" customHeight="1" x14ac:dyDescent="0.3">
      <c r="A218" s="2">
        <v>16</v>
      </c>
      <c r="B218" s="2">
        <v>250</v>
      </c>
    </row>
    <row r="219" spans="1:2" ht="18.75" customHeight="1" x14ac:dyDescent="0.3">
      <c r="A219" s="2">
        <v>18</v>
      </c>
      <c r="B219" s="2">
        <v>250</v>
      </c>
    </row>
    <row r="220" spans="1:2" ht="18.75" customHeight="1" x14ac:dyDescent="0.3">
      <c r="A220" s="2">
        <v>16</v>
      </c>
      <c r="B220" s="2">
        <v>400</v>
      </c>
    </row>
    <row r="221" spans="1:2" ht="18.75" customHeight="1" x14ac:dyDescent="0.3">
      <c r="A221" s="2">
        <v>11</v>
      </c>
      <c r="B221" s="2">
        <v>350</v>
      </c>
    </row>
    <row r="222" spans="1:2" ht="18.75" customHeight="1" x14ac:dyDescent="0.3">
      <c r="A222" s="2">
        <v>13</v>
      </c>
      <c r="B222" s="2">
        <v>360</v>
      </c>
    </row>
    <row r="223" spans="1:2" ht="18.75" customHeight="1" x14ac:dyDescent="0.3">
      <c r="A223" s="2">
        <v>12</v>
      </c>
      <c r="B223" s="2">
        <v>455</v>
      </c>
    </row>
    <row r="224" spans="1:2" ht="18.75" customHeight="1" x14ac:dyDescent="0.3">
      <c r="A224" s="2">
        <v>13</v>
      </c>
      <c r="B224" s="2">
        <v>440</v>
      </c>
    </row>
    <row r="225" spans="1:2" ht="18.75" customHeight="1" x14ac:dyDescent="0.3">
      <c r="A225" s="2">
        <v>15</v>
      </c>
      <c r="B225" s="2">
        <v>318</v>
      </c>
    </row>
    <row r="226" spans="1:2" ht="18.75" customHeight="1" x14ac:dyDescent="0.3">
      <c r="A226" s="2">
        <v>13</v>
      </c>
      <c r="B226" s="2">
        <v>350</v>
      </c>
    </row>
    <row r="227" spans="1:2" ht="18.75" customHeight="1" x14ac:dyDescent="0.3">
      <c r="A227" s="2">
        <v>14</v>
      </c>
      <c r="B227" s="2">
        <v>304</v>
      </c>
    </row>
    <row r="228" spans="1:2" ht="18.75" customHeight="1" x14ac:dyDescent="0.3">
      <c r="A228" s="2">
        <v>12</v>
      </c>
      <c r="B228" s="2">
        <v>429</v>
      </c>
    </row>
    <row r="229" spans="1:2" ht="18.75" customHeight="1" x14ac:dyDescent="0.3">
      <c r="A229" s="2">
        <v>12</v>
      </c>
      <c r="B229" s="2">
        <v>350</v>
      </c>
    </row>
    <row r="230" spans="1:2" ht="18.75" customHeight="1" x14ac:dyDescent="0.3">
      <c r="A230" s="2">
        <v>15</v>
      </c>
      <c r="B230" s="2">
        <v>318</v>
      </c>
    </row>
    <row r="231" spans="1:2" ht="18.75" customHeight="1" x14ac:dyDescent="0.3">
      <c r="A231" s="2">
        <v>13</v>
      </c>
      <c r="B231" s="2">
        <v>360</v>
      </c>
    </row>
    <row r="232" spans="1:2" ht="18.75" customHeight="1" x14ac:dyDescent="0.3">
      <c r="A232" s="2">
        <v>13</v>
      </c>
      <c r="B232" s="2">
        <v>350</v>
      </c>
    </row>
    <row r="233" spans="1:2" ht="18.75" customHeight="1" x14ac:dyDescent="0.3">
      <c r="A233" s="2">
        <v>13</v>
      </c>
      <c r="B233" s="2">
        <v>351</v>
      </c>
    </row>
    <row r="234" spans="1:2" ht="18.75" customHeight="1" x14ac:dyDescent="0.3">
      <c r="A234" s="2">
        <v>15</v>
      </c>
      <c r="B234" s="2">
        <v>350</v>
      </c>
    </row>
    <row r="235" spans="1:2" ht="18.75" customHeight="1" x14ac:dyDescent="0.3">
      <c r="A235" s="2">
        <v>14</v>
      </c>
      <c r="B235" s="2">
        <v>318</v>
      </c>
    </row>
    <row r="236" spans="1:2" ht="18.75" customHeight="1" x14ac:dyDescent="0.3">
      <c r="A236" s="2">
        <v>12</v>
      </c>
      <c r="B236" s="2">
        <v>400</v>
      </c>
    </row>
    <row r="237" spans="1:2" ht="18.75" customHeight="1" x14ac:dyDescent="0.3">
      <c r="A237" s="2">
        <v>14</v>
      </c>
      <c r="B237" s="2">
        <v>302</v>
      </c>
    </row>
    <row r="238" spans="1:2" ht="18.75" customHeight="1" x14ac:dyDescent="0.3">
      <c r="A238" s="2">
        <v>13</v>
      </c>
      <c r="B238" s="2">
        <v>400</v>
      </c>
    </row>
    <row r="239" spans="1:2" ht="18.75" customHeight="1" x14ac:dyDescent="0.3">
      <c r="A239" s="2">
        <v>11</v>
      </c>
      <c r="B239" s="2">
        <v>400</v>
      </c>
    </row>
    <row r="240" spans="1:2" ht="18.75" customHeight="1" x14ac:dyDescent="0.3">
      <c r="A240" s="2">
        <v>28</v>
      </c>
      <c r="B240" s="2">
        <v>90</v>
      </c>
    </row>
    <row r="241" spans="1:2" ht="18.75" customHeight="1" x14ac:dyDescent="0.3">
      <c r="A241" s="2">
        <v>26</v>
      </c>
      <c r="B241" s="2">
        <v>122</v>
      </c>
    </row>
    <row r="242" spans="1:2" ht="18.75" customHeight="1" x14ac:dyDescent="0.3">
      <c r="A242" s="2">
        <v>25</v>
      </c>
      <c r="B242" s="2">
        <v>140</v>
      </c>
    </row>
    <row r="243" spans="1:2" ht="18.75" customHeight="1" x14ac:dyDescent="0.3">
      <c r="A243" s="2">
        <v>19</v>
      </c>
      <c r="B243" s="2">
        <v>232</v>
      </c>
    </row>
    <row r="244" spans="1:2" ht="18.75" customHeight="1" x14ac:dyDescent="0.3">
      <c r="A244" s="2">
        <v>20</v>
      </c>
      <c r="B244" s="2">
        <v>198</v>
      </c>
    </row>
    <row r="245" spans="1:2" ht="18.75" customHeight="1" x14ac:dyDescent="0.3">
      <c r="A245" s="2">
        <v>16</v>
      </c>
      <c r="B245" s="2">
        <v>258</v>
      </c>
    </row>
    <row r="246" spans="1:2" ht="18.75" customHeight="1" x14ac:dyDescent="0.3">
      <c r="A246" s="2">
        <v>15</v>
      </c>
      <c r="B246" s="2">
        <v>250</v>
      </c>
    </row>
    <row r="247" spans="1:2" ht="18.75" customHeight="1" x14ac:dyDescent="0.3">
      <c r="A247" s="2">
        <v>18</v>
      </c>
      <c r="B247" s="2">
        <v>225</v>
      </c>
    </row>
    <row r="248" spans="1:2" ht="18.75" customHeight="1" x14ac:dyDescent="0.3">
      <c r="A248" s="2">
        <v>16</v>
      </c>
      <c r="B248" s="2">
        <v>250</v>
      </c>
    </row>
    <row r="249" spans="1:2" ht="18.75" customHeight="1" x14ac:dyDescent="0.3">
      <c r="A249" s="2">
        <v>21</v>
      </c>
      <c r="B249" s="2">
        <v>200</v>
      </c>
    </row>
    <row r="250" spans="1:2" ht="18.75" customHeight="1" x14ac:dyDescent="0.3">
      <c r="A250" s="2">
        <v>14</v>
      </c>
      <c r="B250" s="2">
        <v>304</v>
      </c>
    </row>
    <row r="251" spans="1:2" ht="18.75" customHeight="1" x14ac:dyDescent="0.3">
      <c r="A251" s="2">
        <v>16</v>
      </c>
      <c r="B251" s="2">
        <v>302</v>
      </c>
    </row>
    <row r="252" spans="1:2" ht="18.75" customHeight="1" x14ac:dyDescent="0.3">
      <c r="A252" s="2">
        <v>14</v>
      </c>
      <c r="B252" s="2">
        <v>318</v>
      </c>
    </row>
    <row r="253" spans="1:2" ht="18.75" customHeight="1" x14ac:dyDescent="0.3">
      <c r="A253" s="2">
        <v>13</v>
      </c>
      <c r="B253" s="2">
        <v>350</v>
      </c>
    </row>
    <row r="254" spans="1:2" ht="18.75" customHeight="1" x14ac:dyDescent="0.3">
      <c r="A254" s="2">
        <v>14</v>
      </c>
      <c r="B254" s="2">
        <v>302</v>
      </c>
    </row>
    <row r="255" spans="1:2" ht="18.75" customHeight="1" x14ac:dyDescent="0.3">
      <c r="A255" s="2">
        <v>23</v>
      </c>
      <c r="B255" s="2">
        <v>140</v>
      </c>
    </row>
    <row r="256" spans="1:2" ht="18.75" customHeight="1" x14ac:dyDescent="0.3">
      <c r="A256" s="2">
        <v>23</v>
      </c>
      <c r="B256" s="2">
        <v>140</v>
      </c>
    </row>
    <row r="257" spans="1:2" ht="18.75" customHeight="1" x14ac:dyDescent="0.3">
      <c r="A257" s="2">
        <v>21</v>
      </c>
      <c r="B257" s="2">
        <v>231</v>
      </c>
    </row>
    <row r="258" spans="1:2" ht="18.75" customHeight="1" x14ac:dyDescent="0.3">
      <c r="A258" s="2">
        <v>20</v>
      </c>
      <c r="B258" s="2">
        <v>232</v>
      </c>
    </row>
    <row r="259" spans="1:2" ht="18.75" customHeight="1" x14ac:dyDescent="0.3">
      <c r="A259" s="2">
        <v>18</v>
      </c>
      <c r="B259" s="2">
        <v>171</v>
      </c>
    </row>
    <row r="260" spans="1:2" ht="18.75" customHeight="1" x14ac:dyDescent="0.3">
      <c r="A260" s="2">
        <v>18</v>
      </c>
      <c r="B260" s="2">
        <v>250</v>
      </c>
    </row>
    <row r="261" spans="1:2" ht="18.75" customHeight="1" x14ac:dyDescent="0.3">
      <c r="A261" s="2">
        <v>15</v>
      </c>
      <c r="B261" s="2">
        <v>258</v>
      </c>
    </row>
    <row r="262" spans="1:2" ht="18.75" customHeight="1" x14ac:dyDescent="0.3">
      <c r="A262" s="2">
        <v>19</v>
      </c>
      <c r="B262" s="2">
        <v>225</v>
      </c>
    </row>
    <row r="263" spans="1:2" ht="18.75" customHeight="1" x14ac:dyDescent="0.3">
      <c r="A263" s="2">
        <v>17</v>
      </c>
      <c r="B263" s="2">
        <v>231</v>
      </c>
    </row>
    <row r="264" spans="1:2" ht="18.75" customHeight="1" x14ac:dyDescent="0.3">
      <c r="A264" s="2">
        <v>19</v>
      </c>
      <c r="B264" s="2">
        <v>232</v>
      </c>
    </row>
    <row r="265" spans="1:2" ht="18.75" customHeight="1" x14ac:dyDescent="0.3">
      <c r="A265" s="2">
        <v>16</v>
      </c>
      <c r="B265" s="2">
        <v>250</v>
      </c>
    </row>
    <row r="266" spans="1:2" ht="18.75" customHeight="1" x14ac:dyDescent="0.3">
      <c r="A266" s="2">
        <v>18</v>
      </c>
      <c r="B266" s="2">
        <v>225</v>
      </c>
    </row>
    <row r="267" spans="1:2" ht="18.75" customHeight="1" x14ac:dyDescent="0.3">
      <c r="A267" s="2">
        <v>15</v>
      </c>
      <c r="B267" s="2">
        <v>250</v>
      </c>
    </row>
    <row r="268" spans="1:2" ht="18.75" customHeight="1" x14ac:dyDescent="0.3">
      <c r="A268" s="2">
        <v>15</v>
      </c>
      <c r="B268" s="2">
        <v>250</v>
      </c>
    </row>
    <row r="269" spans="1:2" ht="18.75" customHeight="1" x14ac:dyDescent="0.3">
      <c r="A269" s="2">
        <v>13</v>
      </c>
      <c r="B269" s="2">
        <v>302</v>
      </c>
    </row>
    <row r="270" spans="1:2" ht="18.75" customHeight="1" x14ac:dyDescent="0.3">
      <c r="A270" s="2">
        <v>16</v>
      </c>
      <c r="B270" s="2">
        <v>400</v>
      </c>
    </row>
    <row r="271" spans="1:2" ht="18.75" customHeight="1" x14ac:dyDescent="0.3">
      <c r="A271" s="2">
        <v>20</v>
      </c>
      <c r="B271" s="2">
        <v>262</v>
      </c>
    </row>
    <row r="272" spans="1:2" ht="18.75" customHeight="1" x14ac:dyDescent="0.3">
      <c r="A272" s="2">
        <v>16</v>
      </c>
      <c r="B272" s="2">
        <v>318</v>
      </c>
    </row>
    <row r="273" spans="1:2" ht="18.75" customHeight="1" x14ac:dyDescent="0.3">
      <c r="A273" s="2">
        <v>15</v>
      </c>
      <c r="B273" s="2">
        <v>350</v>
      </c>
    </row>
    <row r="274" spans="1:2" ht="18.75" customHeight="1" x14ac:dyDescent="0.3">
      <c r="A274" s="2">
        <v>14</v>
      </c>
      <c r="B274" s="2">
        <v>351</v>
      </c>
    </row>
    <row r="275" spans="1:2" ht="18.75" customHeight="1" x14ac:dyDescent="0.3">
      <c r="A275" s="2">
        <v>25</v>
      </c>
      <c r="B275" s="2">
        <v>140</v>
      </c>
    </row>
    <row r="276" spans="1:2" ht="18.75" customHeight="1" x14ac:dyDescent="0.3">
      <c r="A276" s="2">
        <v>26</v>
      </c>
      <c r="B276" s="2">
        <v>98</v>
      </c>
    </row>
    <row r="277" spans="1:2" ht="18.75" customHeight="1" x14ac:dyDescent="0.3">
      <c r="A277" s="8">
        <v>26.5</v>
      </c>
      <c r="B277" s="2">
        <v>140</v>
      </c>
    </row>
    <row r="278" spans="1:2" ht="18.75" customHeight="1" x14ac:dyDescent="0.3">
      <c r="A278" s="8">
        <v>24.5</v>
      </c>
      <c r="B278" s="2">
        <v>98</v>
      </c>
    </row>
    <row r="279" spans="1:2" ht="18.75" customHeight="1" x14ac:dyDescent="0.3">
      <c r="A279" s="2">
        <v>29</v>
      </c>
      <c r="B279" s="2">
        <v>85</v>
      </c>
    </row>
    <row r="280" spans="1:2" ht="18.75" customHeight="1" x14ac:dyDescent="0.3">
      <c r="A280" s="2">
        <v>22</v>
      </c>
      <c r="B280" s="2">
        <v>250</v>
      </c>
    </row>
    <row r="281" spans="1:2" ht="18.75" customHeight="1" x14ac:dyDescent="0.3">
      <c r="A281" s="2">
        <v>22</v>
      </c>
      <c r="B281" s="2">
        <v>225</v>
      </c>
    </row>
    <row r="282" spans="1:2" ht="18.75" customHeight="1" x14ac:dyDescent="0.3">
      <c r="A282" s="8">
        <v>18.5</v>
      </c>
      <c r="B282" s="2">
        <v>250</v>
      </c>
    </row>
    <row r="283" spans="1:2" ht="18.75" customHeight="1" x14ac:dyDescent="0.3">
      <c r="A283" s="8">
        <v>17.5</v>
      </c>
      <c r="B283" s="2">
        <v>258</v>
      </c>
    </row>
    <row r="284" spans="1:2" ht="18.75" customHeight="1" x14ac:dyDescent="0.3">
      <c r="A284" s="8">
        <v>22.5</v>
      </c>
      <c r="B284" s="2">
        <v>232</v>
      </c>
    </row>
    <row r="285" spans="1:2" ht="18.75" customHeight="1" x14ac:dyDescent="0.3">
      <c r="A285" s="2">
        <v>20</v>
      </c>
      <c r="B285" s="2">
        <v>225</v>
      </c>
    </row>
    <row r="286" spans="1:2" ht="18.75" customHeight="1" x14ac:dyDescent="0.3">
      <c r="A286" s="2">
        <v>24</v>
      </c>
      <c r="B286" s="2">
        <v>200</v>
      </c>
    </row>
    <row r="287" spans="1:2" ht="18.75" customHeight="1" x14ac:dyDescent="0.3">
      <c r="A287" s="2">
        <v>18</v>
      </c>
      <c r="B287" s="2">
        <v>250</v>
      </c>
    </row>
    <row r="288" spans="1:2" ht="18.75" customHeight="1" x14ac:dyDescent="0.3">
      <c r="A288" s="8">
        <v>16.5</v>
      </c>
      <c r="B288" s="2">
        <v>350</v>
      </c>
    </row>
    <row r="289" spans="1:2" ht="18.75" customHeight="1" x14ac:dyDescent="0.3">
      <c r="A289" s="2">
        <v>13</v>
      </c>
      <c r="B289" s="2">
        <v>318</v>
      </c>
    </row>
    <row r="290" spans="1:2" ht="18.75" customHeight="1" x14ac:dyDescent="0.3">
      <c r="A290" s="2">
        <v>13</v>
      </c>
      <c r="B290" s="2">
        <v>318</v>
      </c>
    </row>
    <row r="291" spans="1:2" ht="18.75" customHeight="1" x14ac:dyDescent="0.3">
      <c r="A291" s="8">
        <v>14.5</v>
      </c>
      <c r="B291" s="2">
        <v>351</v>
      </c>
    </row>
    <row r="292" spans="1:2" ht="18.75" customHeight="1" x14ac:dyDescent="0.3">
      <c r="A292" s="2">
        <v>13</v>
      </c>
      <c r="B292" s="2">
        <v>350</v>
      </c>
    </row>
    <row r="293" spans="1:2" ht="18.75" customHeight="1" x14ac:dyDescent="0.3">
      <c r="A293" s="2">
        <v>16</v>
      </c>
      <c r="B293" s="2">
        <v>318</v>
      </c>
    </row>
    <row r="294" spans="1:2" ht="18.75" customHeight="1" x14ac:dyDescent="0.3">
      <c r="A294" s="2">
        <v>13</v>
      </c>
      <c r="B294" s="2">
        <v>302</v>
      </c>
    </row>
    <row r="295" spans="1:2" ht="18.75" customHeight="1" x14ac:dyDescent="0.3">
      <c r="A295" s="8">
        <v>17.5</v>
      </c>
      <c r="B295" s="2">
        <v>305</v>
      </c>
    </row>
    <row r="296" spans="1:2" ht="18.75" customHeight="1" x14ac:dyDescent="0.3">
      <c r="A296" s="8">
        <v>15.5</v>
      </c>
      <c r="B296" s="2">
        <v>304</v>
      </c>
    </row>
    <row r="297" spans="1:2" ht="18.75" customHeight="1" x14ac:dyDescent="0.3">
      <c r="A297" s="8">
        <v>25.5</v>
      </c>
      <c r="B297" s="2">
        <v>122</v>
      </c>
    </row>
    <row r="298" spans="1:2" ht="18.75" customHeight="1" x14ac:dyDescent="0.3">
      <c r="A298" s="8">
        <v>33.5</v>
      </c>
      <c r="B298" s="2">
        <v>98</v>
      </c>
    </row>
    <row r="299" spans="1:2" ht="18.75" customHeight="1" x14ac:dyDescent="0.3">
      <c r="A299" s="2">
        <v>30</v>
      </c>
      <c r="B299" s="2">
        <v>111</v>
      </c>
    </row>
    <row r="300" spans="1:2" ht="18.75" customHeight="1" x14ac:dyDescent="0.3">
      <c r="A300" s="8">
        <v>25.5</v>
      </c>
      <c r="B300" s="2">
        <v>140</v>
      </c>
    </row>
    <row r="301" spans="1:2" ht="18.75" customHeight="1" x14ac:dyDescent="0.3">
      <c r="A301" s="8">
        <v>24.5</v>
      </c>
      <c r="B301" s="2">
        <v>151</v>
      </c>
    </row>
    <row r="302" spans="1:2" ht="18.75" customHeight="1" x14ac:dyDescent="0.3">
      <c r="A302" s="8">
        <v>30.5</v>
      </c>
      <c r="B302" s="2">
        <v>98</v>
      </c>
    </row>
    <row r="303" spans="1:2" ht="18.75" customHeight="1" x14ac:dyDescent="0.3">
      <c r="A303" s="8">
        <v>17.5</v>
      </c>
      <c r="B303" s="2">
        <v>250</v>
      </c>
    </row>
    <row r="304" spans="1:2" ht="18.75" customHeight="1" x14ac:dyDescent="0.3">
      <c r="A304" s="8">
        <v>20.5</v>
      </c>
      <c r="B304" s="2">
        <v>231</v>
      </c>
    </row>
    <row r="305" spans="1:2" ht="18.75" customHeight="1" x14ac:dyDescent="0.3">
      <c r="A305" s="8">
        <v>18.5</v>
      </c>
      <c r="B305" s="2">
        <v>250</v>
      </c>
    </row>
    <row r="306" spans="1:2" ht="18.75" customHeight="1" x14ac:dyDescent="0.3">
      <c r="A306" s="2">
        <v>19</v>
      </c>
      <c r="B306" s="2">
        <v>225</v>
      </c>
    </row>
    <row r="307" spans="1:2" ht="18.75" customHeight="1" x14ac:dyDescent="0.3">
      <c r="A307" s="8">
        <v>15.5</v>
      </c>
      <c r="B307" s="2">
        <v>400</v>
      </c>
    </row>
    <row r="308" spans="1:2" ht="18.75" customHeight="1" x14ac:dyDescent="0.3">
      <c r="A308" s="2">
        <v>16</v>
      </c>
      <c r="B308" s="2">
        <v>400</v>
      </c>
    </row>
    <row r="309" spans="1:2" ht="18.75" customHeight="1" x14ac:dyDescent="0.3">
      <c r="A309" s="8">
        <v>15.5</v>
      </c>
      <c r="B309" s="2">
        <v>350</v>
      </c>
    </row>
    <row r="310" spans="1:2" ht="18.75" customHeight="1" x14ac:dyDescent="0.3">
      <c r="A310" s="8">
        <v>17.5</v>
      </c>
      <c r="B310" s="2">
        <v>305</v>
      </c>
    </row>
    <row r="311" spans="1:2" ht="18.75" customHeight="1" x14ac:dyDescent="0.3">
      <c r="A311" s="8">
        <v>15.5</v>
      </c>
      <c r="B311" s="2">
        <v>318</v>
      </c>
    </row>
    <row r="312" spans="1:2" ht="18.75" customHeight="1" x14ac:dyDescent="0.3">
      <c r="A312" s="2">
        <v>16</v>
      </c>
      <c r="B312" s="2">
        <v>351</v>
      </c>
    </row>
    <row r="313" spans="1:2" ht="18.75" customHeight="1" x14ac:dyDescent="0.3">
      <c r="A313" s="2">
        <v>15</v>
      </c>
      <c r="B313" s="2">
        <v>302</v>
      </c>
    </row>
    <row r="314" spans="1:2" ht="18.75" customHeight="1" x14ac:dyDescent="0.3">
      <c r="A314" s="2">
        <v>17</v>
      </c>
      <c r="B314" s="2">
        <v>260</v>
      </c>
    </row>
    <row r="315" spans="1:2" ht="18.75" customHeight="1" x14ac:dyDescent="0.3">
      <c r="A315" s="8">
        <v>23.2</v>
      </c>
      <c r="B315" s="2">
        <v>156</v>
      </c>
    </row>
    <row r="316" spans="1:2" ht="18.75" customHeight="1" x14ac:dyDescent="0.3">
      <c r="A316" s="8">
        <v>36.1</v>
      </c>
      <c r="B316" s="2">
        <v>98</v>
      </c>
    </row>
    <row r="317" spans="1:2" ht="18.75" customHeight="1" x14ac:dyDescent="0.3">
      <c r="A317" s="8">
        <v>30.9</v>
      </c>
      <c r="B317" s="2">
        <v>105</v>
      </c>
    </row>
    <row r="318" spans="1:2" ht="18.75" customHeight="1" x14ac:dyDescent="0.3">
      <c r="A318" s="8">
        <v>25.1</v>
      </c>
      <c r="B318" s="2">
        <v>140</v>
      </c>
    </row>
    <row r="319" spans="1:2" ht="18.75" customHeight="1" x14ac:dyDescent="0.3">
      <c r="A319" s="2">
        <v>30</v>
      </c>
      <c r="B319" s="2">
        <v>98</v>
      </c>
    </row>
    <row r="320" spans="1:2" ht="18.75" customHeight="1" x14ac:dyDescent="0.3">
      <c r="A320" s="8">
        <v>23.8</v>
      </c>
      <c r="B320" s="2">
        <v>151</v>
      </c>
    </row>
    <row r="321" spans="1:2" ht="18.75" customHeight="1" x14ac:dyDescent="0.3">
      <c r="A321" s="8">
        <v>17.7</v>
      </c>
      <c r="B321" s="2">
        <v>231</v>
      </c>
    </row>
    <row r="322" spans="1:2" ht="18.75" customHeight="1" x14ac:dyDescent="0.3">
      <c r="A322" s="8">
        <v>18.100000000000001</v>
      </c>
      <c r="B322" s="2">
        <v>258</v>
      </c>
    </row>
    <row r="323" spans="1:2" ht="18.75" customHeight="1" x14ac:dyDescent="0.3">
      <c r="A323" s="8">
        <v>20.6</v>
      </c>
      <c r="B323" s="2">
        <v>231</v>
      </c>
    </row>
    <row r="324" spans="1:2" ht="18.75" customHeight="1" x14ac:dyDescent="0.3">
      <c r="A324" s="8">
        <v>18.600000000000001</v>
      </c>
      <c r="B324" s="2">
        <v>225</v>
      </c>
    </row>
    <row r="325" spans="1:2" ht="18.75" customHeight="1" x14ac:dyDescent="0.3">
      <c r="A325" s="8">
        <v>20.5</v>
      </c>
      <c r="B325" s="2">
        <v>200</v>
      </c>
    </row>
    <row r="326" spans="1:2" ht="18.75" customHeight="1" x14ac:dyDescent="0.3">
      <c r="A326" s="8">
        <v>19.2</v>
      </c>
      <c r="B326" s="2">
        <v>231</v>
      </c>
    </row>
    <row r="327" spans="1:2" ht="18.75" customHeight="1" x14ac:dyDescent="0.3">
      <c r="A327" s="8">
        <v>20.5</v>
      </c>
      <c r="B327" s="2">
        <v>225</v>
      </c>
    </row>
    <row r="328" spans="1:2" ht="18.75" customHeight="1" x14ac:dyDescent="0.3">
      <c r="A328" s="8">
        <v>20.2</v>
      </c>
      <c r="B328" s="2">
        <v>200</v>
      </c>
    </row>
    <row r="329" spans="1:2" ht="18.75" customHeight="1" x14ac:dyDescent="0.3">
      <c r="A329" s="8">
        <v>19.399999999999999</v>
      </c>
      <c r="B329" s="2">
        <v>232</v>
      </c>
    </row>
    <row r="330" spans="1:2" ht="18.75" customHeight="1" x14ac:dyDescent="0.3">
      <c r="A330" s="8">
        <v>20.8</v>
      </c>
      <c r="B330" s="2">
        <v>200</v>
      </c>
    </row>
    <row r="331" spans="1:2" ht="18.75" customHeight="1" x14ac:dyDescent="0.3">
      <c r="A331" s="8">
        <v>18.100000000000001</v>
      </c>
      <c r="B331" s="2">
        <v>302</v>
      </c>
    </row>
    <row r="332" spans="1:2" ht="18.75" customHeight="1" x14ac:dyDescent="0.3">
      <c r="A332" s="8">
        <v>19.2</v>
      </c>
      <c r="B332" s="2">
        <v>305</v>
      </c>
    </row>
    <row r="333" spans="1:2" ht="18.75" customHeight="1" x14ac:dyDescent="0.3">
      <c r="A333" s="8">
        <v>20.2</v>
      </c>
      <c r="B333" s="2">
        <v>302</v>
      </c>
    </row>
    <row r="334" spans="1:2" ht="18.75" customHeight="1" x14ac:dyDescent="0.3">
      <c r="A334" s="8">
        <v>19.399999999999999</v>
      </c>
      <c r="B334" s="2">
        <v>318</v>
      </c>
    </row>
    <row r="335" spans="1:2" ht="18.75" customHeight="1" x14ac:dyDescent="0.3">
      <c r="A335" s="8">
        <v>17.5</v>
      </c>
      <c r="B335" s="2">
        <v>318</v>
      </c>
    </row>
    <row r="336" spans="1:2" ht="18.75" customHeight="1" x14ac:dyDescent="0.3">
      <c r="A336" s="8">
        <v>19.899999999999999</v>
      </c>
      <c r="B336" s="2">
        <v>260</v>
      </c>
    </row>
    <row r="337" spans="1:2" ht="18.75" customHeight="1" x14ac:dyDescent="0.3">
      <c r="A337" s="8">
        <v>35.700000000000003</v>
      </c>
      <c r="B337" s="2">
        <v>98</v>
      </c>
    </row>
    <row r="338" spans="1:2" ht="18.75" customHeight="1" x14ac:dyDescent="0.3">
      <c r="A338" s="8">
        <v>33.5</v>
      </c>
      <c r="B338" s="2">
        <v>151</v>
      </c>
    </row>
    <row r="339" spans="1:2" ht="18.75" customHeight="1" x14ac:dyDescent="0.3">
      <c r="A339" s="8">
        <v>28.4</v>
      </c>
      <c r="B339" s="2">
        <v>151</v>
      </c>
    </row>
    <row r="340" spans="1:2" ht="18.75" customHeight="1" x14ac:dyDescent="0.3">
      <c r="A340" s="8">
        <v>34.5</v>
      </c>
      <c r="B340" s="2">
        <v>105</v>
      </c>
    </row>
    <row r="341" spans="1:2" ht="18.75" customHeight="1" x14ac:dyDescent="0.3">
      <c r="A341" s="8">
        <v>34.200000000000003</v>
      </c>
      <c r="B341" s="2">
        <v>105</v>
      </c>
    </row>
    <row r="342" spans="1:2" ht="18.75" customHeight="1" x14ac:dyDescent="0.3">
      <c r="A342" s="8">
        <v>22.3</v>
      </c>
      <c r="B342" s="2">
        <v>140</v>
      </c>
    </row>
    <row r="343" spans="1:2" ht="18.75" customHeight="1" x14ac:dyDescent="0.3">
      <c r="A343" s="8">
        <v>27.4</v>
      </c>
      <c r="B343" s="2">
        <v>121</v>
      </c>
    </row>
    <row r="344" spans="1:2" ht="18.75" customHeight="1" x14ac:dyDescent="0.3">
      <c r="A344" s="8">
        <v>28.8</v>
      </c>
      <c r="B344" s="2">
        <v>173</v>
      </c>
    </row>
    <row r="345" spans="1:2" ht="18.75" customHeight="1" x14ac:dyDescent="0.3">
      <c r="A345" s="8">
        <v>26.8</v>
      </c>
      <c r="B345" s="2">
        <v>173</v>
      </c>
    </row>
    <row r="346" spans="1:2" ht="18.75" customHeight="1" x14ac:dyDescent="0.3">
      <c r="A346" s="8">
        <v>21.5</v>
      </c>
      <c r="B346" s="2">
        <v>231</v>
      </c>
    </row>
    <row r="347" spans="1:2" ht="18.75" customHeight="1" x14ac:dyDescent="0.3">
      <c r="A347" s="8">
        <v>20.6</v>
      </c>
      <c r="B347" s="2">
        <v>225</v>
      </c>
    </row>
    <row r="348" spans="1:2" ht="18.75" customHeight="1" x14ac:dyDescent="0.3">
      <c r="A348" s="8">
        <v>19.8</v>
      </c>
      <c r="B348" s="2">
        <v>200</v>
      </c>
    </row>
    <row r="349" spans="1:2" ht="18.75" customHeight="1" x14ac:dyDescent="0.3">
      <c r="A349" s="8">
        <v>20.2</v>
      </c>
      <c r="B349" s="2">
        <v>232</v>
      </c>
    </row>
    <row r="350" spans="1:2" ht="18.75" customHeight="1" x14ac:dyDescent="0.3">
      <c r="A350" s="8">
        <v>18.5</v>
      </c>
      <c r="B350" s="2">
        <v>360</v>
      </c>
    </row>
    <row r="351" spans="1:2" ht="18.75" customHeight="1" x14ac:dyDescent="0.3">
      <c r="A351" s="8">
        <v>16.899999999999999</v>
      </c>
      <c r="B351" s="2">
        <v>350</v>
      </c>
    </row>
    <row r="352" spans="1:2" ht="18.75" customHeight="1" x14ac:dyDescent="0.3">
      <c r="A352" s="8">
        <v>18.2</v>
      </c>
      <c r="B352" s="2">
        <v>318</v>
      </c>
    </row>
    <row r="353" spans="1:2" ht="18.75" customHeight="1" x14ac:dyDescent="0.3">
      <c r="A353" s="8">
        <v>15.5</v>
      </c>
      <c r="B353" s="2">
        <v>351</v>
      </c>
    </row>
    <row r="354" spans="1:2" ht="18.75" customHeight="1" x14ac:dyDescent="0.3">
      <c r="A354" s="8">
        <v>16.5</v>
      </c>
      <c r="B354" s="2">
        <v>351</v>
      </c>
    </row>
    <row r="355" spans="1:2" ht="18.75" customHeight="1" x14ac:dyDescent="0.3">
      <c r="A355" s="8">
        <v>19.2</v>
      </c>
      <c r="B355" s="2">
        <v>267</v>
      </c>
    </row>
    <row r="356" spans="1:2" ht="18.75" customHeight="1" x14ac:dyDescent="0.3">
      <c r="A356" s="8">
        <v>17.600000000000001</v>
      </c>
      <c r="B356" s="2">
        <v>302</v>
      </c>
    </row>
    <row r="357" spans="1:2" ht="18.75" customHeight="1" x14ac:dyDescent="0.3">
      <c r="A357" s="2">
        <v>17</v>
      </c>
      <c r="B357" s="2">
        <v>305</v>
      </c>
    </row>
    <row r="358" spans="1:2" ht="18.75" customHeight="1" x14ac:dyDescent="0.3">
      <c r="A358" s="2">
        <v>23</v>
      </c>
      <c r="B358" s="2">
        <v>350</v>
      </c>
    </row>
    <row r="359" spans="1:2" ht="18.75" customHeight="1" x14ac:dyDescent="0.3">
      <c r="A359" s="8">
        <v>23.9</v>
      </c>
      <c r="B359" s="2">
        <v>260</v>
      </c>
    </row>
    <row r="360" spans="1:2" ht="18.75" customHeight="1" x14ac:dyDescent="0.3">
      <c r="A360" s="8">
        <v>27.9</v>
      </c>
      <c r="B360" s="2">
        <v>156</v>
      </c>
    </row>
    <row r="361" spans="1:2" ht="18.75" customHeight="1" x14ac:dyDescent="0.3">
      <c r="A361" s="2">
        <v>28</v>
      </c>
      <c r="B361" s="2">
        <v>151</v>
      </c>
    </row>
    <row r="362" spans="1:2" ht="18.75" customHeight="1" x14ac:dyDescent="0.3">
      <c r="A362" s="8">
        <v>32.1</v>
      </c>
      <c r="B362" s="2">
        <v>98</v>
      </c>
    </row>
    <row r="363" spans="1:2" ht="18.75" customHeight="1" x14ac:dyDescent="0.3">
      <c r="A363" s="8">
        <v>26.4</v>
      </c>
      <c r="B363" s="2">
        <v>140</v>
      </c>
    </row>
    <row r="364" spans="1:2" ht="18.75" customHeight="1" x14ac:dyDescent="0.3">
      <c r="A364" s="8">
        <v>24.3</v>
      </c>
      <c r="B364" s="2">
        <v>151</v>
      </c>
    </row>
    <row r="365" spans="1:2" ht="18.75" customHeight="1" x14ac:dyDescent="0.3">
      <c r="A365" s="8">
        <v>23.6</v>
      </c>
      <c r="B365" s="2">
        <v>140</v>
      </c>
    </row>
    <row r="366" spans="1:2" ht="18.75" customHeight="1" x14ac:dyDescent="0.3">
      <c r="A366" s="8">
        <v>19.100000000000001</v>
      </c>
      <c r="B366" s="2">
        <v>225</v>
      </c>
    </row>
    <row r="367" spans="1:2" ht="18.75" customHeight="1" x14ac:dyDescent="0.3">
      <c r="A367" s="2">
        <v>30</v>
      </c>
      <c r="B367" s="2">
        <v>135</v>
      </c>
    </row>
    <row r="368" spans="1:2" ht="18.75" customHeight="1" x14ac:dyDescent="0.3">
      <c r="A368" s="8">
        <v>25.8</v>
      </c>
      <c r="B368" s="2">
        <v>156</v>
      </c>
    </row>
    <row r="369" spans="1:2" ht="18.75" customHeight="1" x14ac:dyDescent="0.3">
      <c r="A369" s="2">
        <v>39</v>
      </c>
      <c r="B369" s="2">
        <v>86</v>
      </c>
    </row>
    <row r="370" spans="1:2" ht="18.75" customHeight="1" x14ac:dyDescent="0.3">
      <c r="A370" s="8">
        <v>27.2</v>
      </c>
      <c r="B370" s="2">
        <v>135</v>
      </c>
    </row>
    <row r="371" spans="1:2" ht="18.75" customHeight="1" x14ac:dyDescent="0.3">
      <c r="A371" s="8">
        <v>26.6</v>
      </c>
      <c r="B371" s="2">
        <v>151</v>
      </c>
    </row>
    <row r="372" spans="1:2" ht="18.75" customHeight="1" x14ac:dyDescent="0.3">
      <c r="A372" s="8">
        <v>34.4</v>
      </c>
      <c r="B372" s="2">
        <v>98</v>
      </c>
    </row>
    <row r="373" spans="1:2" ht="18.75" customHeight="1" x14ac:dyDescent="0.3">
      <c r="A373" s="8">
        <v>34.700000000000003</v>
      </c>
      <c r="B373" s="2">
        <v>105</v>
      </c>
    </row>
    <row r="374" spans="1:2" ht="18.75" customHeight="1" x14ac:dyDescent="0.3">
      <c r="A374" s="8">
        <v>29.9</v>
      </c>
      <c r="B374" s="2">
        <v>98</v>
      </c>
    </row>
    <row r="375" spans="1:2" ht="18.75" customHeight="1" x14ac:dyDescent="0.3">
      <c r="A375" s="8">
        <v>23.5</v>
      </c>
      <c r="B375" s="2">
        <v>173</v>
      </c>
    </row>
    <row r="376" spans="1:2" ht="18.75" customHeight="1" x14ac:dyDescent="0.3">
      <c r="A376" s="8">
        <v>22.4</v>
      </c>
      <c r="B376" s="2">
        <v>231</v>
      </c>
    </row>
    <row r="377" spans="1:2" ht="18.75" customHeight="1" x14ac:dyDescent="0.3">
      <c r="A377" s="8">
        <v>20.2</v>
      </c>
      <c r="B377" s="2">
        <v>200</v>
      </c>
    </row>
    <row r="378" spans="1:2" ht="18.75" customHeight="1" x14ac:dyDescent="0.3">
      <c r="A378" s="8">
        <v>17.600000000000001</v>
      </c>
      <c r="B378" s="2">
        <v>225</v>
      </c>
    </row>
    <row r="379" spans="1:2" ht="18.75" customHeight="1" x14ac:dyDescent="0.3">
      <c r="A379" s="8">
        <v>26.6</v>
      </c>
      <c r="B379" s="2">
        <v>350</v>
      </c>
    </row>
    <row r="380" spans="1:2" ht="18.75" customHeight="1" x14ac:dyDescent="0.3">
      <c r="A380" s="2">
        <v>34</v>
      </c>
      <c r="B380" s="2">
        <v>112</v>
      </c>
    </row>
    <row r="381" spans="1:2" ht="18.75" customHeight="1" x14ac:dyDescent="0.3">
      <c r="A381" s="2">
        <v>32</v>
      </c>
      <c r="B381" s="2">
        <v>135</v>
      </c>
    </row>
    <row r="382" spans="1:2" ht="18.75" customHeight="1" x14ac:dyDescent="0.3">
      <c r="A382" s="2">
        <v>26</v>
      </c>
      <c r="B382" s="2">
        <v>156</v>
      </c>
    </row>
    <row r="383" spans="1:2" ht="18.75" customHeight="1" x14ac:dyDescent="0.3">
      <c r="A383" s="2">
        <v>36</v>
      </c>
      <c r="B383" s="2">
        <v>135</v>
      </c>
    </row>
    <row r="384" spans="1:2" ht="18.75" customHeight="1" x14ac:dyDescent="0.3">
      <c r="A384" s="2">
        <v>28</v>
      </c>
      <c r="B384" s="2">
        <v>112</v>
      </c>
    </row>
    <row r="385" spans="1:2" ht="18.75" customHeight="1" x14ac:dyDescent="0.3">
      <c r="A385" s="2">
        <v>27</v>
      </c>
      <c r="B385" s="2">
        <v>112</v>
      </c>
    </row>
    <row r="386" spans="1:2" ht="18.75" customHeight="1" x14ac:dyDescent="0.3">
      <c r="A386" s="2">
        <v>29</v>
      </c>
      <c r="B386" s="2">
        <v>135</v>
      </c>
    </row>
    <row r="387" spans="1:2" ht="18.75" customHeight="1" x14ac:dyDescent="0.3">
      <c r="A387" s="2">
        <v>31</v>
      </c>
      <c r="B387" s="2">
        <v>112</v>
      </c>
    </row>
    <row r="388" spans="1:2" ht="18.75" customHeight="1" x14ac:dyDescent="0.3">
      <c r="A388" s="2">
        <v>36</v>
      </c>
      <c r="B388" s="2">
        <v>98</v>
      </c>
    </row>
    <row r="389" spans="1:2" ht="18.75" customHeight="1" x14ac:dyDescent="0.3">
      <c r="A389" s="2">
        <v>27</v>
      </c>
      <c r="B389" s="2">
        <v>151</v>
      </c>
    </row>
    <row r="390" spans="1:2" ht="18.75" customHeight="1" x14ac:dyDescent="0.3">
      <c r="A390" s="2">
        <v>24</v>
      </c>
      <c r="B390" s="2">
        <v>140</v>
      </c>
    </row>
    <row r="391" spans="1:2" ht="18.75" customHeight="1" x14ac:dyDescent="0.3">
      <c r="A391" s="2">
        <v>27</v>
      </c>
      <c r="B391" s="2">
        <v>140</v>
      </c>
    </row>
    <row r="392" spans="1:2" ht="18.75" customHeight="1" x14ac:dyDescent="0.3">
      <c r="A392" s="2">
        <v>27</v>
      </c>
      <c r="B392" s="2">
        <v>151</v>
      </c>
    </row>
    <row r="393" spans="1:2" ht="18.75" customHeight="1" x14ac:dyDescent="0.3">
      <c r="A393" s="2">
        <v>31</v>
      </c>
      <c r="B393" s="2">
        <v>119</v>
      </c>
    </row>
    <row r="394" spans="1:2" ht="18.75" customHeight="1" x14ac:dyDescent="0.3">
      <c r="A394" s="2">
        <v>28</v>
      </c>
      <c r="B394" s="2">
        <v>120</v>
      </c>
    </row>
    <row r="395" spans="1:2" ht="18.75" customHeight="1" x14ac:dyDescent="0.3">
      <c r="A395" s="2">
        <v>38</v>
      </c>
      <c r="B395" s="2">
        <v>105</v>
      </c>
    </row>
    <row r="396" spans="1:2" ht="18.75" customHeight="1" x14ac:dyDescent="0.3">
      <c r="A396" s="2">
        <v>23</v>
      </c>
      <c r="B396" s="2">
        <v>151</v>
      </c>
    </row>
    <row r="397" spans="1:2" ht="18.75" customHeight="1" x14ac:dyDescent="0.3">
      <c r="A397" s="2">
        <v>22</v>
      </c>
      <c r="B397" s="2">
        <v>232</v>
      </c>
    </row>
    <row r="398" spans="1:2" ht="18.75" customHeight="1" x14ac:dyDescent="0.3">
      <c r="A398" s="2">
        <v>25</v>
      </c>
      <c r="B398" s="2">
        <v>181</v>
      </c>
    </row>
    <row r="399" spans="1:2" ht="18.75" customHeight="1" x14ac:dyDescent="0.3">
      <c r="A399" s="2">
        <v>38</v>
      </c>
      <c r="B399" s="2">
        <v>262</v>
      </c>
    </row>
    <row r="400" spans="1:2" ht="18.75" customHeight="1" x14ac:dyDescent="0.3"/>
    <row r="401" spans="1:1" ht="18.75" customHeight="1" x14ac:dyDescent="0.3"/>
    <row r="402" spans="1:1" ht="18.75" customHeight="1" x14ac:dyDescent="0.3"/>
    <row r="403" spans="1:1" ht="18.75" customHeight="1" x14ac:dyDescent="0.3">
      <c r="A403" s="4" t="s">
        <v>37</v>
      </c>
    </row>
    <row r="404" spans="1:1" ht="18.75" customHeight="1" x14ac:dyDescent="0.3">
      <c r="A404" s="8">
        <v>7.2909915748541804E-2</v>
      </c>
    </row>
    <row r="405" spans="1:1" ht="18.75" customHeight="1" x14ac:dyDescent="0.3">
      <c r="A405" s="8">
        <v>5.3763440860215055E-2</v>
      </c>
    </row>
    <row r="406" spans="1:1" ht="18.75" customHeight="1" x14ac:dyDescent="0.3">
      <c r="A406" s="8">
        <v>5.0847457627118647E-2</v>
      </c>
    </row>
    <row r="407" spans="1:1" ht="18.75" customHeight="1" x14ac:dyDescent="0.3">
      <c r="A407" s="8">
        <v>5.0581915846016116E-2</v>
      </c>
    </row>
    <row r="408" spans="1:1" ht="18.75" customHeight="1" x14ac:dyDescent="0.3">
      <c r="A408" s="8">
        <v>5.0528249885163065E-2</v>
      </c>
    </row>
    <row r="409" spans="1:1" ht="18.75" customHeight="1" x14ac:dyDescent="0.3">
      <c r="A409" s="8">
        <v>4.9860853432282005E-2</v>
      </c>
    </row>
    <row r="410" spans="1:1" ht="18.75" customHeight="1" x14ac:dyDescent="0.3">
      <c r="A410" s="8">
        <v>4.9350649350649353E-2</v>
      </c>
    </row>
    <row r="411" spans="1:1" ht="18.75" customHeight="1" x14ac:dyDescent="0.3">
      <c r="A411" s="8">
        <v>4.9126637554585149E-2</v>
      </c>
    </row>
    <row r="412" spans="1:1" ht="18.75" customHeight="1" x14ac:dyDescent="0.3">
      <c r="A412" s="8">
        <v>4.7895500725689405E-2</v>
      </c>
    </row>
    <row r="413" spans="1:1" ht="18.75" customHeight="1" x14ac:dyDescent="0.3">
      <c r="A413" s="8">
        <v>4.7923322683706068E-2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N46"/>
  <sheetViews>
    <sheetView workbookViewId="0"/>
  </sheetViews>
  <sheetFormatPr defaultRowHeight="14.4" x14ac:dyDescent="0.3"/>
  <cols>
    <col min="1" max="1" width="12.5546875" style="3" bestFit="1" customWidth="1"/>
    <col min="2" max="2" width="14.44140625" style="4" bestFit="1" customWidth="1"/>
    <col min="3" max="3" width="14.44140625" style="1" bestFit="1" customWidth="1"/>
    <col min="4" max="4" width="14.44140625" bestFit="1" customWidth="1"/>
    <col min="5" max="5" width="17.6640625" bestFit="1" customWidth="1"/>
    <col min="6" max="6" width="16" style="5" bestFit="1" customWidth="1"/>
    <col min="7" max="8" width="11.88671875" style="5" bestFit="1" customWidth="1"/>
    <col min="9" max="9" width="12.33203125" bestFit="1" customWidth="1"/>
    <col min="10" max="10" width="22.33203125" style="5" bestFit="1" customWidth="1"/>
    <col min="11" max="11" width="12" style="5" bestFit="1" customWidth="1"/>
    <col min="12" max="12" width="13.5546875" style="5" bestFit="1" customWidth="1"/>
    <col min="13" max="13" width="7" style="5" bestFit="1" customWidth="1"/>
    <col min="14" max="14" width="9.109375" style="6" bestFit="1" customWidth="1"/>
  </cols>
  <sheetData>
    <row r="1" spans="1:14" ht="18.75" customHeight="1" x14ac:dyDescent="0.3">
      <c r="H1" s="5" t="s">
        <v>427</v>
      </c>
      <c r="J1" s="5" t="s">
        <v>428</v>
      </c>
      <c r="K1" s="5" t="s">
        <v>429</v>
      </c>
      <c r="L1" s="5" t="s">
        <v>390</v>
      </c>
      <c r="M1" s="5" t="s">
        <v>430</v>
      </c>
      <c r="N1" s="6" t="s">
        <v>398</v>
      </c>
    </row>
    <row r="2" spans="1:14" ht="18.75" customHeight="1" x14ac:dyDescent="0.3">
      <c r="G2" s="5" t="s">
        <v>431</v>
      </c>
      <c r="H2" s="8">
        <f>ROUND(27.891428, 3)</f>
        <v>27.890999999999998</v>
      </c>
      <c r="J2" s="8">
        <f>MIN(B4:B46)</f>
        <v>15.03448275862069</v>
      </c>
      <c r="K2" s="8">
        <f>_xlfn.QUARTILE.INC(B4:B46, 1)</f>
        <v>21.886363636363637</v>
      </c>
      <c r="L2" s="8">
        <f>MEDIAN(B4:B46)</f>
        <v>25.914285714285715</v>
      </c>
      <c r="M2" s="8">
        <f>_xlfn.QUARTILE.INC(B4:B46,3)</f>
        <v>29.475000000000001</v>
      </c>
      <c r="N2" s="2">
        <f>MAX(B4:B46)</f>
        <v>40</v>
      </c>
    </row>
    <row r="3" spans="1:14" ht="18.75" customHeight="1" x14ac:dyDescent="0.3">
      <c r="A3" s="3" t="s">
        <v>23</v>
      </c>
      <c r="B3" s="4" t="s">
        <v>24</v>
      </c>
      <c r="C3" s="33" t="s">
        <v>432</v>
      </c>
      <c r="D3" s="34" t="s">
        <v>422</v>
      </c>
      <c r="F3" s="5" t="s">
        <v>433</v>
      </c>
      <c r="G3" s="5" t="s">
        <v>434</v>
      </c>
      <c r="H3" s="8">
        <f>ROUND(30.450632,3)</f>
        <v>30.451000000000001</v>
      </c>
    </row>
    <row r="4" spans="1:14" ht="18.75" customHeight="1" x14ac:dyDescent="0.3">
      <c r="A4" s="7" t="s">
        <v>27</v>
      </c>
      <c r="B4" s="8">
        <v>27.891428571428573</v>
      </c>
      <c r="C4" s="8" t="str">
        <f t="shared" ref="C4:C46" si="0">IFERROR((B4-$F$10)/$G$10,"")</f>
        <v/>
      </c>
      <c r="G4" s="5" t="s">
        <v>435</v>
      </c>
      <c r="H4" s="8">
        <f>ROUND(20.0835341,3)</f>
        <v>20.084</v>
      </c>
      <c r="J4" s="5" t="s">
        <v>436</v>
      </c>
    </row>
    <row r="5" spans="1:14" ht="18.75" customHeight="1" x14ac:dyDescent="0.3">
      <c r="A5" s="7">
        <v>70</v>
      </c>
      <c r="B5" s="8">
        <v>25.2</v>
      </c>
      <c r="C5" s="8" t="str">
        <f t="shared" si="0"/>
        <v/>
      </c>
      <c r="D5" t="e">
        <f t="shared" ref="D5:D17" si="1">IF(ABS(C5)&gt;2,"Yes","No")</f>
        <v>#VALUE!</v>
      </c>
      <c r="G5" s="5" t="s">
        <v>437</v>
      </c>
      <c r="H5" s="8">
        <f>ROUND(23.514572,3)</f>
        <v>23.515000000000001</v>
      </c>
      <c r="J5" s="8">
        <f>M2-K2</f>
        <v>7.5886363636363647</v>
      </c>
    </row>
    <row r="6" spans="1:14" ht="18.75" customHeight="1" x14ac:dyDescent="0.3">
      <c r="A6" s="7">
        <v>71</v>
      </c>
      <c r="B6" s="8">
        <v>28.75</v>
      </c>
      <c r="C6" s="8" t="str">
        <f t="shared" si="0"/>
        <v/>
      </c>
      <c r="D6" t="e">
        <f t="shared" si="1"/>
        <v>#VALUE!</v>
      </c>
      <c r="H6" s="5" t="s">
        <v>438</v>
      </c>
    </row>
    <row r="7" spans="1:14" ht="18.75" customHeight="1" x14ac:dyDescent="0.3">
      <c r="A7" s="7">
        <v>72</v>
      </c>
      <c r="B7" s="2">
        <v>22</v>
      </c>
      <c r="C7" s="8" t="str">
        <f t="shared" si="0"/>
        <v/>
      </c>
      <c r="D7" t="e">
        <f t="shared" si="1"/>
        <v>#VALUE!</v>
      </c>
    </row>
    <row r="8" spans="1:14" ht="18.75" customHeight="1" x14ac:dyDescent="0.3">
      <c r="A8" s="7">
        <v>73</v>
      </c>
      <c r="B8" s="2">
        <v>24</v>
      </c>
      <c r="C8" s="8" t="str">
        <f t="shared" si="0"/>
        <v/>
      </c>
      <c r="D8" t="e">
        <f t="shared" si="1"/>
        <v>#VALUE!</v>
      </c>
      <c r="F8" s="5" t="s">
        <v>439</v>
      </c>
    </row>
    <row r="9" spans="1:14" ht="18.75" customHeight="1" x14ac:dyDescent="0.3">
      <c r="A9" s="7">
        <v>74</v>
      </c>
      <c r="B9" s="2">
        <v>27</v>
      </c>
      <c r="C9" s="8" t="str">
        <f t="shared" si="0"/>
        <v/>
      </c>
      <c r="D9" t="e">
        <f t="shared" si="1"/>
        <v>#VALUE!</v>
      </c>
      <c r="F9" s="5" t="s">
        <v>389</v>
      </c>
      <c r="G9" s="5" t="s">
        <v>440</v>
      </c>
    </row>
    <row r="10" spans="1:14" ht="18.75" customHeight="1" x14ac:dyDescent="0.3">
      <c r="A10" s="7">
        <v>75</v>
      </c>
      <c r="B10" s="8">
        <v>24.5</v>
      </c>
      <c r="C10" s="8" t="str">
        <f t="shared" si="0"/>
        <v/>
      </c>
      <c r="D10" t="e">
        <f t="shared" si="1"/>
        <v>#VALUE!</v>
      </c>
      <c r="F10" s="8" t="e">
        <f>GETPIVOTDATA("mpg",$A$3)</f>
        <v>#REF!</v>
      </c>
      <c r="G10" s="8">
        <f>_xlfn.STDEV.P(B5:B17,B19:B31,B33:B45)</f>
        <v>5.9939210623818537</v>
      </c>
    </row>
    <row r="11" spans="1:14" ht="18.75" customHeight="1" x14ac:dyDescent="0.3">
      <c r="A11" s="7">
        <v>76</v>
      </c>
      <c r="B11" s="8">
        <v>24.25</v>
      </c>
      <c r="C11" s="8" t="str">
        <f t="shared" si="0"/>
        <v/>
      </c>
      <c r="D11" t="e">
        <f t="shared" si="1"/>
        <v>#VALUE!</v>
      </c>
    </row>
    <row r="12" spans="1:14" ht="18.75" customHeight="1" x14ac:dyDescent="0.3">
      <c r="A12" s="7">
        <v>77</v>
      </c>
      <c r="B12" s="8">
        <v>29.25</v>
      </c>
      <c r="C12" s="8" t="str">
        <f t="shared" si="0"/>
        <v/>
      </c>
      <c r="D12" t="e">
        <f t="shared" si="1"/>
        <v>#VALUE!</v>
      </c>
    </row>
    <row r="13" spans="1:14" ht="18.75" customHeight="1" x14ac:dyDescent="0.3">
      <c r="A13" s="7">
        <v>78</v>
      </c>
      <c r="B13" s="8">
        <v>24.95</v>
      </c>
      <c r="C13" s="8" t="str">
        <f t="shared" si="0"/>
        <v/>
      </c>
      <c r="D13" t="e">
        <f t="shared" si="1"/>
        <v>#VALUE!</v>
      </c>
    </row>
    <row r="14" spans="1:14" ht="18.75" customHeight="1" x14ac:dyDescent="0.3">
      <c r="A14" s="7">
        <v>79</v>
      </c>
      <c r="B14" s="8">
        <v>30.45</v>
      </c>
      <c r="C14" s="8" t="str">
        <f t="shared" si="0"/>
        <v/>
      </c>
      <c r="D14" t="e">
        <f t="shared" si="1"/>
        <v>#VALUE!</v>
      </c>
    </row>
    <row r="15" spans="1:14" ht="18.75" customHeight="1" x14ac:dyDescent="0.3">
      <c r="A15" s="7">
        <v>80</v>
      </c>
      <c r="B15" s="8">
        <v>37.288888888888891</v>
      </c>
      <c r="C15" s="8" t="str">
        <f t="shared" si="0"/>
        <v/>
      </c>
      <c r="D15" t="e">
        <f t="shared" si="1"/>
        <v>#VALUE!</v>
      </c>
    </row>
    <row r="16" spans="1:14" ht="18.75" customHeight="1" x14ac:dyDescent="0.3">
      <c r="A16" s="7">
        <v>81</v>
      </c>
      <c r="B16" s="8">
        <v>31.574999999999999</v>
      </c>
      <c r="C16" s="8" t="str">
        <f t="shared" si="0"/>
        <v/>
      </c>
      <c r="D16" t="e">
        <f t="shared" si="1"/>
        <v>#VALUE!</v>
      </c>
    </row>
    <row r="17" spans="1:4" ht="18.75" customHeight="1" x14ac:dyDescent="0.3">
      <c r="A17" s="7">
        <v>82</v>
      </c>
      <c r="B17" s="2">
        <v>40</v>
      </c>
      <c r="C17" s="8" t="str">
        <f t="shared" si="0"/>
        <v/>
      </c>
      <c r="D17" t="e">
        <f t="shared" si="1"/>
        <v>#VALUE!</v>
      </c>
    </row>
    <row r="18" spans="1:4" ht="18.75" customHeight="1" x14ac:dyDescent="0.3">
      <c r="A18" s="7" t="s">
        <v>28</v>
      </c>
      <c r="B18" s="8">
        <v>30.450632911392397</v>
      </c>
      <c r="C18" s="8" t="str">
        <f t="shared" si="0"/>
        <v/>
      </c>
    </row>
    <row r="19" spans="1:4" ht="18.75" customHeight="1" x14ac:dyDescent="0.3">
      <c r="A19" s="7">
        <v>70</v>
      </c>
      <c r="B19" s="8">
        <v>25.5</v>
      </c>
      <c r="C19" s="8" t="str">
        <f t="shared" si="0"/>
        <v/>
      </c>
      <c r="D19" t="e">
        <f t="shared" ref="D19:D31" si="2">IF(ABS(C19)&gt;2,"Yes","No")</f>
        <v>#VALUE!</v>
      </c>
    </row>
    <row r="20" spans="1:4" ht="18.75" customHeight="1" x14ac:dyDescent="0.3">
      <c r="A20" s="7">
        <v>71</v>
      </c>
      <c r="B20" s="8">
        <v>29.5</v>
      </c>
      <c r="C20" s="8" t="str">
        <f t="shared" si="0"/>
        <v/>
      </c>
      <c r="D20" t="e">
        <f t="shared" si="2"/>
        <v>#VALUE!</v>
      </c>
    </row>
    <row r="21" spans="1:4" ht="18.75" customHeight="1" x14ac:dyDescent="0.3">
      <c r="A21" s="7">
        <v>72</v>
      </c>
      <c r="B21" s="8">
        <v>24.2</v>
      </c>
      <c r="C21" s="8" t="str">
        <f t="shared" si="0"/>
        <v/>
      </c>
      <c r="D21" t="e">
        <f t="shared" si="2"/>
        <v>#VALUE!</v>
      </c>
    </row>
    <row r="22" spans="1:4" ht="18.75" customHeight="1" x14ac:dyDescent="0.3">
      <c r="A22" s="7">
        <v>73</v>
      </c>
      <c r="B22" s="2">
        <v>20</v>
      </c>
      <c r="C22" s="8" t="str">
        <f t="shared" si="0"/>
        <v/>
      </c>
      <c r="D22" t="e">
        <f t="shared" si="2"/>
        <v>#VALUE!</v>
      </c>
    </row>
    <row r="23" spans="1:4" ht="18.75" customHeight="1" x14ac:dyDescent="0.3">
      <c r="A23" s="7">
        <v>74</v>
      </c>
      <c r="B23" s="8">
        <v>29.333333333333332</v>
      </c>
      <c r="C23" s="8" t="str">
        <f t="shared" si="0"/>
        <v/>
      </c>
      <c r="D23" t="e">
        <f t="shared" si="2"/>
        <v>#VALUE!</v>
      </c>
    </row>
    <row r="24" spans="1:4" ht="18.75" customHeight="1" x14ac:dyDescent="0.3">
      <c r="A24" s="7">
        <v>75</v>
      </c>
      <c r="B24" s="8">
        <v>27.5</v>
      </c>
      <c r="C24" s="8" t="str">
        <f t="shared" si="0"/>
        <v/>
      </c>
      <c r="D24" t="e">
        <f t="shared" si="2"/>
        <v>#VALUE!</v>
      </c>
    </row>
    <row r="25" spans="1:4" ht="18.75" customHeight="1" x14ac:dyDescent="0.3">
      <c r="A25" s="7">
        <v>76</v>
      </c>
      <c r="B25" s="2">
        <v>28</v>
      </c>
      <c r="C25" s="8" t="str">
        <f t="shared" si="0"/>
        <v/>
      </c>
      <c r="D25" t="e">
        <f t="shared" si="2"/>
        <v>#VALUE!</v>
      </c>
    </row>
    <row r="26" spans="1:4" ht="18.75" customHeight="1" x14ac:dyDescent="0.3">
      <c r="A26" s="7">
        <v>77</v>
      </c>
      <c r="B26" s="8">
        <v>27.416666666666668</v>
      </c>
      <c r="C26" s="8" t="str">
        <f t="shared" si="0"/>
        <v/>
      </c>
      <c r="D26" t="e">
        <f t="shared" si="2"/>
        <v>#VALUE!</v>
      </c>
    </row>
    <row r="27" spans="1:4" ht="18.75" customHeight="1" x14ac:dyDescent="0.3">
      <c r="A27" s="7">
        <v>78</v>
      </c>
      <c r="B27" s="8">
        <v>29.687499999999996</v>
      </c>
      <c r="C27" s="8" t="str">
        <f t="shared" si="0"/>
        <v/>
      </c>
      <c r="D27" t="e">
        <f t="shared" si="2"/>
        <v>#VALUE!</v>
      </c>
    </row>
    <row r="28" spans="1:4" ht="18.75" customHeight="1" x14ac:dyDescent="0.3">
      <c r="A28" s="7">
        <v>79</v>
      </c>
      <c r="B28" s="8">
        <v>32.950000000000003</v>
      </c>
      <c r="C28" s="8" t="str">
        <f t="shared" si="0"/>
        <v/>
      </c>
      <c r="D28" t="e">
        <f t="shared" si="2"/>
        <v>#VALUE!</v>
      </c>
    </row>
    <row r="29" spans="1:4" ht="18.75" customHeight="1" x14ac:dyDescent="0.3">
      <c r="A29" s="7">
        <v>80</v>
      </c>
      <c r="B29" s="8">
        <v>35.4</v>
      </c>
      <c r="C29" s="8" t="str">
        <f t="shared" si="0"/>
        <v/>
      </c>
      <c r="D29" t="e">
        <f t="shared" si="2"/>
        <v>#VALUE!</v>
      </c>
    </row>
    <row r="30" spans="1:4" ht="18.75" customHeight="1" x14ac:dyDescent="0.3">
      <c r="A30" s="7">
        <v>81</v>
      </c>
      <c r="B30" s="8">
        <v>32.958333333333329</v>
      </c>
      <c r="C30" s="8" t="str">
        <f t="shared" si="0"/>
        <v/>
      </c>
      <c r="D30" t="e">
        <f t="shared" si="2"/>
        <v>#VALUE!</v>
      </c>
    </row>
    <row r="31" spans="1:4" ht="18.75" customHeight="1" x14ac:dyDescent="0.3">
      <c r="A31" s="7">
        <v>82</v>
      </c>
      <c r="B31" s="8">
        <v>34.888888888888886</v>
      </c>
      <c r="C31" s="8" t="str">
        <f t="shared" si="0"/>
        <v/>
      </c>
      <c r="D31" t="e">
        <f t="shared" si="2"/>
        <v>#VALUE!</v>
      </c>
    </row>
    <row r="32" spans="1:4" ht="18.75" customHeight="1" x14ac:dyDescent="0.3">
      <c r="A32" s="7" t="s">
        <v>29</v>
      </c>
      <c r="B32" s="8">
        <v>20.083534136546177</v>
      </c>
      <c r="C32" s="8" t="str">
        <f t="shared" si="0"/>
        <v/>
      </c>
    </row>
    <row r="33" spans="1:4" ht="18.75" customHeight="1" x14ac:dyDescent="0.3">
      <c r="A33" s="7">
        <v>70</v>
      </c>
      <c r="B33" s="8">
        <v>15.272727272727273</v>
      </c>
      <c r="C33" s="8" t="str">
        <f t="shared" si="0"/>
        <v/>
      </c>
      <c r="D33" t="e">
        <f t="shared" ref="D33:D45" si="3">IF(ABS(C33)&gt;2,"Yes","No")</f>
        <v>#VALUE!</v>
      </c>
    </row>
    <row r="34" spans="1:4" ht="18.75" customHeight="1" x14ac:dyDescent="0.3">
      <c r="A34" s="7">
        <v>71</v>
      </c>
      <c r="B34" s="8">
        <v>18.100000000000001</v>
      </c>
      <c r="C34" s="8" t="str">
        <f t="shared" si="0"/>
        <v/>
      </c>
      <c r="D34" t="e">
        <f t="shared" si="3"/>
        <v>#VALUE!</v>
      </c>
    </row>
    <row r="35" spans="1:4" ht="18.75" customHeight="1" x14ac:dyDescent="0.3">
      <c r="A35" s="7">
        <v>72</v>
      </c>
      <c r="B35" s="8">
        <v>16.277777777777779</v>
      </c>
      <c r="C35" s="8" t="str">
        <f t="shared" si="0"/>
        <v/>
      </c>
      <c r="D35" t="e">
        <f t="shared" si="3"/>
        <v>#VALUE!</v>
      </c>
    </row>
    <row r="36" spans="1:4" ht="18.75" customHeight="1" x14ac:dyDescent="0.3">
      <c r="A36" s="7">
        <v>73</v>
      </c>
      <c r="B36" s="8">
        <v>15.03448275862069</v>
      </c>
      <c r="C36" s="8" t="str">
        <f t="shared" si="0"/>
        <v/>
      </c>
      <c r="D36" t="e">
        <f t="shared" si="3"/>
        <v>#VALUE!</v>
      </c>
    </row>
    <row r="37" spans="1:4" ht="18.75" customHeight="1" x14ac:dyDescent="0.3">
      <c r="A37" s="7">
        <v>74</v>
      </c>
      <c r="B37" s="8">
        <v>18.333333333333332</v>
      </c>
      <c r="C37" s="8" t="str">
        <f t="shared" si="0"/>
        <v/>
      </c>
      <c r="D37" t="e">
        <f t="shared" si="3"/>
        <v>#VALUE!</v>
      </c>
    </row>
    <row r="38" spans="1:4" ht="18.75" customHeight="1" x14ac:dyDescent="0.3">
      <c r="A38" s="7">
        <v>75</v>
      </c>
      <c r="B38" s="8">
        <v>17.55</v>
      </c>
      <c r="C38" s="8" t="str">
        <f t="shared" si="0"/>
        <v/>
      </c>
      <c r="D38" t="e">
        <f t="shared" si="3"/>
        <v>#VALUE!</v>
      </c>
    </row>
    <row r="39" spans="1:4" ht="18.75" customHeight="1" x14ac:dyDescent="0.3">
      <c r="A39" s="7">
        <v>76</v>
      </c>
      <c r="B39" s="8">
        <v>19.431818181818183</v>
      </c>
      <c r="C39" s="8" t="str">
        <f t="shared" si="0"/>
        <v/>
      </c>
      <c r="D39" t="e">
        <f t="shared" si="3"/>
        <v>#VALUE!</v>
      </c>
    </row>
    <row r="40" spans="1:4" ht="18.75" customHeight="1" x14ac:dyDescent="0.3">
      <c r="A40" s="7">
        <v>77</v>
      </c>
      <c r="B40" s="8">
        <v>20.722222222222221</v>
      </c>
      <c r="C40" s="8" t="str">
        <f t="shared" si="0"/>
        <v/>
      </c>
      <c r="D40" t="e">
        <f t="shared" si="3"/>
        <v>#VALUE!</v>
      </c>
    </row>
    <row r="41" spans="1:4" ht="18.75" customHeight="1" x14ac:dyDescent="0.3">
      <c r="A41" s="7">
        <v>78</v>
      </c>
      <c r="B41" s="8">
        <v>21.772727272727273</v>
      </c>
      <c r="C41" s="8" t="str">
        <f t="shared" si="0"/>
        <v/>
      </c>
      <c r="D41" t="e">
        <f t="shared" si="3"/>
        <v>#VALUE!</v>
      </c>
    </row>
    <row r="42" spans="1:4" ht="18.75" customHeight="1" x14ac:dyDescent="0.3">
      <c r="A42" s="7">
        <v>79</v>
      </c>
      <c r="B42" s="8">
        <v>23.478260869565219</v>
      </c>
      <c r="C42" s="8" t="str">
        <f t="shared" si="0"/>
        <v/>
      </c>
      <c r="D42" t="e">
        <f t="shared" si="3"/>
        <v>#VALUE!</v>
      </c>
    </row>
    <row r="43" spans="1:4" ht="18.75" customHeight="1" x14ac:dyDescent="0.3">
      <c r="A43" s="7">
        <v>80</v>
      </c>
      <c r="B43" s="8">
        <v>25.914285714285715</v>
      </c>
      <c r="C43" s="8" t="str">
        <f t="shared" si="0"/>
        <v/>
      </c>
      <c r="D43" t="e">
        <f t="shared" si="3"/>
        <v>#VALUE!</v>
      </c>
    </row>
    <row r="44" spans="1:4" ht="18.75" customHeight="1" x14ac:dyDescent="0.3">
      <c r="A44" s="7">
        <v>81</v>
      </c>
      <c r="B44" s="8">
        <v>27.530769230769234</v>
      </c>
      <c r="C44" s="8" t="str">
        <f t="shared" si="0"/>
        <v/>
      </c>
      <c r="D44" t="e">
        <f t="shared" si="3"/>
        <v>#VALUE!</v>
      </c>
    </row>
    <row r="45" spans="1:4" ht="18.75" customHeight="1" x14ac:dyDescent="0.3">
      <c r="A45" s="7">
        <v>82</v>
      </c>
      <c r="B45" s="8">
        <v>29.45</v>
      </c>
      <c r="C45" s="8" t="str">
        <f t="shared" si="0"/>
        <v/>
      </c>
      <c r="D45" t="e">
        <f t="shared" si="3"/>
        <v>#VALUE!</v>
      </c>
    </row>
    <row r="46" spans="1:4" ht="18.75" customHeight="1" x14ac:dyDescent="0.3">
      <c r="A46" s="7" t="s">
        <v>30</v>
      </c>
      <c r="B46" s="8">
        <v>23.514572864321607</v>
      </c>
      <c r="C46" s="2" t="str">
        <f t="shared" si="0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L399"/>
  <sheetViews>
    <sheetView workbookViewId="0"/>
  </sheetViews>
  <sheetFormatPr defaultRowHeight="14.4" x14ac:dyDescent="0.3"/>
  <cols>
    <col min="1" max="1" width="31.88671875" bestFit="1" customWidth="1"/>
    <col min="2" max="2" width="12.6640625" style="1" bestFit="1" customWidth="1"/>
    <col min="3" max="3" width="18" style="4" bestFit="1" customWidth="1"/>
    <col min="4" max="4" width="18" bestFit="1" customWidth="1"/>
    <col min="5" max="5" width="21.33203125" style="4" bestFit="1" customWidth="1"/>
    <col min="6" max="6" width="11.33203125" bestFit="1" customWidth="1"/>
    <col min="7" max="7" width="13.5546875" bestFit="1" customWidth="1"/>
    <col min="8" max="8" width="16" style="5" bestFit="1" customWidth="1"/>
    <col min="9" max="9" width="24.6640625" style="5" bestFit="1" customWidth="1"/>
    <col min="10" max="10" width="13.5546875" bestFit="1" customWidth="1"/>
    <col min="11" max="11" width="20.44140625" style="6" bestFit="1" customWidth="1"/>
    <col min="12" max="12" width="13.5546875" style="5" bestFit="1" customWidth="1"/>
  </cols>
  <sheetData>
    <row r="1" spans="1:12" s="10" customFormat="1" ht="18.75" customHeight="1" x14ac:dyDescent="0.3">
      <c r="A1" s="11" t="s">
        <v>31</v>
      </c>
      <c r="B1" s="12" t="s">
        <v>38</v>
      </c>
      <c r="C1" s="31" t="s">
        <v>421</v>
      </c>
      <c r="D1" s="10" t="s">
        <v>422</v>
      </c>
      <c r="E1" s="31" t="s">
        <v>423</v>
      </c>
      <c r="H1" s="32" t="s">
        <v>424</v>
      </c>
      <c r="I1" s="32"/>
      <c r="K1" s="29" t="s">
        <v>425</v>
      </c>
      <c r="L1" s="32"/>
    </row>
    <row r="2" spans="1:12" ht="18.75" customHeight="1" x14ac:dyDescent="0.3">
      <c r="A2" t="s">
        <v>41</v>
      </c>
      <c r="B2" s="8">
        <v>12.5</v>
      </c>
      <c r="C2" s="8">
        <f t="shared" ref="C2:C65" si="0">IFERROR((B2-$H$3)/$I$3,"")</f>
        <v>-1.113958896005663</v>
      </c>
      <c r="D2" t="str">
        <f t="shared" ref="D2:D65" si="1">IF(ABS(C2)&gt;2,"Yes","No")</f>
        <v>No</v>
      </c>
      <c r="E2" s="8">
        <f t="shared" ref="E2:E65" si="2">IFERROR((B2-$K$3) / ($L$3-$K$3),"")</f>
        <v>0.26785714285714285</v>
      </c>
      <c r="H2" s="5" t="s">
        <v>389</v>
      </c>
      <c r="I2" s="5" t="s">
        <v>426</v>
      </c>
      <c r="K2" s="6" t="s">
        <v>397</v>
      </c>
      <c r="L2" s="5" t="s">
        <v>398</v>
      </c>
    </row>
    <row r="3" spans="1:12" ht="18.75" customHeight="1" x14ac:dyDescent="0.3">
      <c r="A3" t="s">
        <v>42</v>
      </c>
      <c r="B3" s="8">
        <v>17.5</v>
      </c>
      <c r="C3" s="8">
        <f t="shared" si="0"/>
        <v>0.70143558687966923</v>
      </c>
      <c r="D3" t="str">
        <f t="shared" si="1"/>
        <v>No</v>
      </c>
      <c r="E3" s="8">
        <f t="shared" si="2"/>
        <v>0.56547619047619047</v>
      </c>
      <c r="H3" s="8">
        <f>AVERAGE(B2:B399)</f>
        <v>15.568090452261293</v>
      </c>
      <c r="I3" s="8">
        <f>_xlfn.STDEV.P(B2:B399)</f>
        <v>2.7542223175941096</v>
      </c>
      <c r="K3" s="2">
        <f>MIN(B2:B399)</f>
        <v>8</v>
      </c>
      <c r="L3" s="8">
        <f>MAX(B2:B399)</f>
        <v>24.8</v>
      </c>
    </row>
    <row r="4" spans="1:12" ht="18.75" customHeight="1" x14ac:dyDescent="0.3">
      <c r="A4" t="s">
        <v>43</v>
      </c>
      <c r="B4" s="8">
        <v>14.5</v>
      </c>
      <c r="C4" s="8">
        <f t="shared" si="0"/>
        <v>-0.38780110285153013</v>
      </c>
      <c r="D4" t="str">
        <f t="shared" si="1"/>
        <v>No</v>
      </c>
      <c r="E4" s="8">
        <f t="shared" si="2"/>
        <v>0.38690476190476186</v>
      </c>
    </row>
    <row r="5" spans="1:12" ht="18.75" customHeight="1" x14ac:dyDescent="0.3">
      <c r="A5" t="s">
        <v>44</v>
      </c>
      <c r="B5" s="8">
        <v>17.5</v>
      </c>
      <c r="C5" s="8">
        <f t="shared" si="0"/>
        <v>0.70143558687966923</v>
      </c>
      <c r="D5" t="str">
        <f t="shared" si="1"/>
        <v>No</v>
      </c>
      <c r="E5" s="8">
        <f t="shared" si="2"/>
        <v>0.56547619047619047</v>
      </c>
    </row>
    <row r="6" spans="1:12" ht="18.75" customHeight="1" x14ac:dyDescent="0.3">
      <c r="A6" t="s">
        <v>45</v>
      </c>
      <c r="B6" s="8">
        <v>20.5</v>
      </c>
      <c r="C6" s="8">
        <f t="shared" si="0"/>
        <v>1.7906722766108685</v>
      </c>
      <c r="D6" t="str">
        <f t="shared" si="1"/>
        <v>No</v>
      </c>
      <c r="E6" s="8">
        <f t="shared" si="2"/>
        <v>0.74404761904761907</v>
      </c>
    </row>
    <row r="7" spans="1:12" ht="18.75" customHeight="1" x14ac:dyDescent="0.3">
      <c r="A7" t="s">
        <v>46</v>
      </c>
      <c r="B7" s="2">
        <v>14</v>
      </c>
      <c r="C7" s="8">
        <f t="shared" si="0"/>
        <v>-0.56934055114006343</v>
      </c>
      <c r="D7" t="str">
        <f t="shared" si="1"/>
        <v>No</v>
      </c>
      <c r="E7" s="8">
        <f t="shared" si="2"/>
        <v>0.35714285714285715</v>
      </c>
    </row>
    <row r="8" spans="1:12" ht="18.75" customHeight="1" x14ac:dyDescent="0.3">
      <c r="A8" t="s">
        <v>47</v>
      </c>
      <c r="B8" s="8">
        <v>14.5</v>
      </c>
      <c r="C8" s="8">
        <f t="shared" si="0"/>
        <v>-0.38780110285153013</v>
      </c>
      <c r="D8" t="str">
        <f t="shared" si="1"/>
        <v>No</v>
      </c>
      <c r="E8" s="8">
        <f t="shared" si="2"/>
        <v>0.38690476190476186</v>
      </c>
    </row>
    <row r="9" spans="1:12" ht="18.75" customHeight="1" x14ac:dyDescent="0.3">
      <c r="A9" t="s">
        <v>48</v>
      </c>
      <c r="B9" s="8">
        <v>19.5</v>
      </c>
      <c r="C9" s="8">
        <f t="shared" si="0"/>
        <v>1.4275933800338021</v>
      </c>
      <c r="D9" t="str">
        <f t="shared" si="1"/>
        <v>No</v>
      </c>
      <c r="E9" s="8">
        <f t="shared" si="2"/>
        <v>0.68452380952380953</v>
      </c>
    </row>
    <row r="10" spans="1:12" ht="18.75" customHeight="1" x14ac:dyDescent="0.3">
      <c r="A10" t="s">
        <v>49</v>
      </c>
      <c r="B10" s="2">
        <v>19</v>
      </c>
      <c r="C10" s="8">
        <f t="shared" si="0"/>
        <v>1.2460539317452688</v>
      </c>
      <c r="D10" t="str">
        <f t="shared" si="1"/>
        <v>No</v>
      </c>
      <c r="E10" s="8">
        <f t="shared" si="2"/>
        <v>0.65476190476190477</v>
      </c>
    </row>
    <row r="11" spans="1:12" ht="18.75" customHeight="1" x14ac:dyDescent="0.3">
      <c r="A11" t="s">
        <v>50</v>
      </c>
      <c r="B11" s="8">
        <v>14.5</v>
      </c>
      <c r="C11" s="8">
        <f t="shared" si="0"/>
        <v>-0.38780110285153013</v>
      </c>
      <c r="D11" t="str">
        <f t="shared" si="1"/>
        <v>No</v>
      </c>
      <c r="E11" s="8">
        <f t="shared" si="2"/>
        <v>0.38690476190476186</v>
      </c>
    </row>
    <row r="12" spans="1:12" ht="18.75" customHeight="1" x14ac:dyDescent="0.3">
      <c r="A12" t="s">
        <v>51</v>
      </c>
      <c r="B12" s="2">
        <v>18</v>
      </c>
      <c r="C12" s="8">
        <f t="shared" si="0"/>
        <v>0.88297503516820242</v>
      </c>
      <c r="D12" t="str">
        <f t="shared" si="1"/>
        <v>No</v>
      </c>
      <c r="E12" s="8">
        <f t="shared" si="2"/>
        <v>0.59523809523809523</v>
      </c>
    </row>
    <row r="13" spans="1:12" ht="18.75" customHeight="1" x14ac:dyDescent="0.3">
      <c r="A13" t="s">
        <v>52</v>
      </c>
      <c r="B13" s="2">
        <v>18</v>
      </c>
      <c r="C13" s="8">
        <f t="shared" si="0"/>
        <v>0.88297503516820242</v>
      </c>
      <c r="D13" t="str">
        <f t="shared" si="1"/>
        <v>No</v>
      </c>
      <c r="E13" s="8">
        <f t="shared" si="2"/>
        <v>0.59523809523809523</v>
      </c>
    </row>
    <row r="14" spans="1:12" ht="18.75" customHeight="1" x14ac:dyDescent="0.3">
      <c r="A14" t="s">
        <v>53</v>
      </c>
      <c r="B14" s="8">
        <v>19.5</v>
      </c>
      <c r="C14" s="8">
        <f t="shared" si="0"/>
        <v>1.4275933800338021</v>
      </c>
      <c r="D14" t="str">
        <f t="shared" si="1"/>
        <v>No</v>
      </c>
      <c r="E14" s="8">
        <f t="shared" si="2"/>
        <v>0.68452380952380953</v>
      </c>
    </row>
    <row r="15" spans="1:12" ht="18.75" customHeight="1" x14ac:dyDescent="0.3">
      <c r="A15" t="s">
        <v>54</v>
      </c>
      <c r="B15" s="8">
        <v>23.5</v>
      </c>
      <c r="C15" s="8">
        <f t="shared" si="0"/>
        <v>2.8799089663420681</v>
      </c>
      <c r="D15" t="str">
        <f t="shared" si="1"/>
        <v>Yes</v>
      </c>
      <c r="E15" s="8">
        <f t="shared" si="2"/>
        <v>0.92261904761904756</v>
      </c>
    </row>
    <row r="16" spans="1:12" ht="18.75" customHeight="1" x14ac:dyDescent="0.3">
      <c r="A16" t="s">
        <v>55</v>
      </c>
      <c r="B16" s="2">
        <v>14</v>
      </c>
      <c r="C16" s="8">
        <f t="shared" si="0"/>
        <v>-0.56934055114006343</v>
      </c>
      <c r="D16" t="str">
        <f t="shared" si="1"/>
        <v>No</v>
      </c>
      <c r="E16" s="8">
        <f t="shared" si="2"/>
        <v>0.35714285714285715</v>
      </c>
    </row>
    <row r="17" spans="1:5" ht="18.75" customHeight="1" x14ac:dyDescent="0.3">
      <c r="A17" t="s">
        <v>56</v>
      </c>
      <c r="B17" s="8">
        <v>15.5</v>
      </c>
      <c r="C17" s="8">
        <f t="shared" si="0"/>
        <v>-2.4722206274463705E-2</v>
      </c>
      <c r="D17" t="str">
        <f t="shared" si="1"/>
        <v>No</v>
      </c>
      <c r="E17" s="8">
        <f t="shared" si="2"/>
        <v>0.4464285714285714</v>
      </c>
    </row>
    <row r="18" spans="1:5" ht="18.75" customHeight="1" x14ac:dyDescent="0.3">
      <c r="A18" t="s">
        <v>57</v>
      </c>
      <c r="B18" s="8">
        <v>15.5</v>
      </c>
      <c r="C18" s="8">
        <f t="shared" si="0"/>
        <v>-2.4722206274463705E-2</v>
      </c>
      <c r="D18" t="str">
        <f t="shared" si="1"/>
        <v>No</v>
      </c>
      <c r="E18" s="8">
        <f t="shared" si="2"/>
        <v>0.4464285714285714</v>
      </c>
    </row>
    <row r="19" spans="1:5" ht="18.75" customHeight="1" x14ac:dyDescent="0.3">
      <c r="A19" t="s">
        <v>58</v>
      </c>
      <c r="B19" s="2">
        <v>14</v>
      </c>
      <c r="C19" s="8">
        <f t="shared" si="0"/>
        <v>-0.56934055114006343</v>
      </c>
      <c r="D19" t="str">
        <f t="shared" si="1"/>
        <v>No</v>
      </c>
      <c r="E19" s="8">
        <f t="shared" si="2"/>
        <v>0.35714285714285715</v>
      </c>
    </row>
    <row r="20" spans="1:5" ht="18.75" customHeight="1" x14ac:dyDescent="0.3">
      <c r="A20" t="s">
        <v>59</v>
      </c>
      <c r="B20" s="8">
        <v>15.5</v>
      </c>
      <c r="C20" s="8">
        <f t="shared" si="0"/>
        <v>-2.4722206274463705E-2</v>
      </c>
      <c r="D20" t="str">
        <f t="shared" si="1"/>
        <v>No</v>
      </c>
      <c r="E20" s="8">
        <f t="shared" si="2"/>
        <v>0.4464285714285714</v>
      </c>
    </row>
    <row r="21" spans="1:5" ht="18.75" customHeight="1" x14ac:dyDescent="0.3">
      <c r="A21" t="s">
        <v>60</v>
      </c>
      <c r="B21" s="8">
        <v>19.5</v>
      </c>
      <c r="C21" s="8">
        <f t="shared" si="0"/>
        <v>1.4275933800338021</v>
      </c>
      <c r="D21" t="str">
        <f t="shared" si="1"/>
        <v>No</v>
      </c>
      <c r="E21" s="8">
        <f t="shared" si="2"/>
        <v>0.68452380952380953</v>
      </c>
    </row>
    <row r="22" spans="1:5" ht="18.75" customHeight="1" x14ac:dyDescent="0.3">
      <c r="A22" t="s">
        <v>61</v>
      </c>
      <c r="B22" s="2">
        <v>21</v>
      </c>
      <c r="C22" s="8">
        <f t="shared" si="0"/>
        <v>1.9722117248994018</v>
      </c>
      <c r="D22" t="str">
        <f t="shared" si="1"/>
        <v>No</v>
      </c>
      <c r="E22" s="8">
        <f t="shared" si="2"/>
        <v>0.77380952380952372</v>
      </c>
    </row>
    <row r="23" spans="1:5" ht="18.75" customHeight="1" x14ac:dyDescent="0.3">
      <c r="A23" t="s">
        <v>62</v>
      </c>
      <c r="B23" s="8">
        <v>16.5</v>
      </c>
      <c r="C23" s="8">
        <f t="shared" si="0"/>
        <v>0.33835669030260274</v>
      </c>
      <c r="D23" t="str">
        <f t="shared" si="1"/>
        <v>No</v>
      </c>
      <c r="E23" s="8">
        <f t="shared" si="2"/>
        <v>0.50595238095238093</v>
      </c>
    </row>
    <row r="24" spans="1:5" ht="18.75" customHeight="1" x14ac:dyDescent="0.3">
      <c r="A24" t="s">
        <v>60</v>
      </c>
      <c r="B24" s="8">
        <v>15.5</v>
      </c>
      <c r="C24" s="8">
        <f t="shared" si="0"/>
        <v>-2.4722206274463705E-2</v>
      </c>
      <c r="D24" t="str">
        <f t="shared" si="1"/>
        <v>No</v>
      </c>
      <c r="E24" s="8">
        <f t="shared" si="2"/>
        <v>0.4464285714285714</v>
      </c>
    </row>
    <row r="25" spans="1:5" ht="18.75" customHeight="1" x14ac:dyDescent="0.3">
      <c r="A25" t="s">
        <v>63</v>
      </c>
      <c r="B25" s="8">
        <v>15.5</v>
      </c>
      <c r="C25" s="8">
        <f t="shared" si="0"/>
        <v>-2.4722206274463705E-2</v>
      </c>
      <c r="D25" t="str">
        <f t="shared" si="1"/>
        <v>No</v>
      </c>
      <c r="E25" s="8">
        <f t="shared" si="2"/>
        <v>0.4464285714285714</v>
      </c>
    </row>
    <row r="26" spans="1:5" ht="18.75" customHeight="1" x14ac:dyDescent="0.3">
      <c r="A26" t="s">
        <v>59</v>
      </c>
      <c r="B26" s="8">
        <v>14.5</v>
      </c>
      <c r="C26" s="8">
        <f t="shared" si="0"/>
        <v>-0.38780110285153013</v>
      </c>
      <c r="D26" t="str">
        <f t="shared" si="1"/>
        <v>No</v>
      </c>
      <c r="E26" s="8">
        <f t="shared" si="2"/>
        <v>0.38690476190476186</v>
      </c>
    </row>
    <row r="27" spans="1:5" ht="18.75" customHeight="1" x14ac:dyDescent="0.3">
      <c r="A27" t="s">
        <v>64</v>
      </c>
      <c r="B27" s="2">
        <v>16</v>
      </c>
      <c r="C27" s="8">
        <f t="shared" si="0"/>
        <v>0.15681724201406952</v>
      </c>
      <c r="D27" t="str">
        <f t="shared" si="1"/>
        <v>No</v>
      </c>
      <c r="E27" s="8">
        <f t="shared" si="2"/>
        <v>0.47619047619047616</v>
      </c>
    </row>
    <row r="28" spans="1:5" ht="18.75" customHeight="1" x14ac:dyDescent="0.3">
      <c r="A28" t="s">
        <v>65</v>
      </c>
      <c r="B28" s="2">
        <v>14</v>
      </c>
      <c r="C28" s="8">
        <f t="shared" si="0"/>
        <v>-0.56934055114006343</v>
      </c>
      <c r="D28" t="str">
        <f t="shared" si="1"/>
        <v>No</v>
      </c>
      <c r="E28" s="8">
        <f t="shared" si="2"/>
        <v>0.35714285714285715</v>
      </c>
    </row>
    <row r="29" spans="1:5" ht="18.75" customHeight="1" x14ac:dyDescent="0.3">
      <c r="A29" t="s">
        <v>55</v>
      </c>
      <c r="B29" s="8">
        <v>13.5</v>
      </c>
      <c r="C29" s="8">
        <f t="shared" si="0"/>
        <v>-0.75087999942859662</v>
      </c>
      <c r="D29" t="str">
        <f t="shared" si="1"/>
        <v>No</v>
      </c>
      <c r="E29" s="8">
        <f t="shared" si="2"/>
        <v>0.32738095238095238</v>
      </c>
    </row>
    <row r="30" spans="1:5" ht="18.75" customHeight="1" x14ac:dyDescent="0.3">
      <c r="A30" t="s">
        <v>66</v>
      </c>
      <c r="B30" s="2">
        <v>14</v>
      </c>
      <c r="C30" s="8">
        <f t="shared" si="0"/>
        <v>-0.56934055114006343</v>
      </c>
      <c r="D30" t="str">
        <f t="shared" si="1"/>
        <v>No</v>
      </c>
      <c r="E30" s="8">
        <f t="shared" si="2"/>
        <v>0.35714285714285715</v>
      </c>
    </row>
    <row r="31" spans="1:5" ht="18.75" customHeight="1" x14ac:dyDescent="0.3">
      <c r="A31" t="s">
        <v>58</v>
      </c>
      <c r="B31" s="2">
        <v>15</v>
      </c>
      <c r="C31" s="8">
        <f t="shared" si="0"/>
        <v>-0.20626165456299694</v>
      </c>
      <c r="D31" t="str">
        <f t="shared" si="1"/>
        <v>No</v>
      </c>
      <c r="E31" s="8">
        <f t="shared" si="2"/>
        <v>0.41666666666666663</v>
      </c>
    </row>
    <row r="32" spans="1:5" ht="18.75" customHeight="1" x14ac:dyDescent="0.3">
      <c r="A32" t="s">
        <v>67</v>
      </c>
      <c r="B32" s="8">
        <v>14.5</v>
      </c>
      <c r="C32" s="8">
        <f t="shared" si="0"/>
        <v>-0.38780110285153013</v>
      </c>
      <c r="D32" t="str">
        <f t="shared" si="1"/>
        <v>No</v>
      </c>
      <c r="E32" s="8">
        <f t="shared" si="2"/>
        <v>0.38690476190476186</v>
      </c>
    </row>
    <row r="33" spans="1:5" ht="18.75" customHeight="1" x14ac:dyDescent="0.3">
      <c r="A33" t="s">
        <v>63</v>
      </c>
      <c r="B33" s="8">
        <v>16.5</v>
      </c>
      <c r="C33" s="8">
        <f t="shared" si="0"/>
        <v>0.33835669030260274</v>
      </c>
      <c r="D33" t="str">
        <f t="shared" si="1"/>
        <v>No</v>
      </c>
      <c r="E33" s="8">
        <f t="shared" si="2"/>
        <v>0.50595238095238093</v>
      </c>
    </row>
    <row r="34" spans="1:5" ht="18.75" customHeight="1" x14ac:dyDescent="0.3">
      <c r="A34" t="s">
        <v>44</v>
      </c>
      <c r="B34" s="2">
        <v>17</v>
      </c>
      <c r="C34" s="8">
        <f t="shared" si="0"/>
        <v>0.51989613859113593</v>
      </c>
      <c r="D34" t="str">
        <f t="shared" si="1"/>
        <v>No</v>
      </c>
      <c r="E34" s="8">
        <f t="shared" si="2"/>
        <v>0.5357142857142857</v>
      </c>
    </row>
    <row r="35" spans="1:5" ht="18.75" customHeight="1" x14ac:dyDescent="0.3">
      <c r="A35" t="s">
        <v>66</v>
      </c>
      <c r="B35" s="8">
        <v>12.2</v>
      </c>
      <c r="C35" s="8">
        <f t="shared" si="0"/>
        <v>-1.2228825649787833</v>
      </c>
      <c r="D35" t="str">
        <f t="shared" si="1"/>
        <v>No</v>
      </c>
      <c r="E35" s="8">
        <f t="shared" si="2"/>
        <v>0.24999999999999994</v>
      </c>
    </row>
    <row r="36" spans="1:5" ht="18.75" customHeight="1" x14ac:dyDescent="0.3">
      <c r="A36" t="s">
        <v>68</v>
      </c>
      <c r="B36" s="8">
        <v>15.3</v>
      </c>
      <c r="C36" s="8">
        <f t="shared" si="0"/>
        <v>-9.7337985589876733E-2</v>
      </c>
      <c r="D36" t="str">
        <f t="shared" si="1"/>
        <v>No</v>
      </c>
      <c r="E36" s="8">
        <f t="shared" si="2"/>
        <v>0.43452380952380953</v>
      </c>
    </row>
    <row r="37" spans="1:5" ht="18.75" customHeight="1" x14ac:dyDescent="0.3">
      <c r="A37" t="s">
        <v>46</v>
      </c>
      <c r="B37" s="8">
        <v>16.899999999999999</v>
      </c>
      <c r="C37" s="8">
        <f t="shared" si="0"/>
        <v>0.48358824893342883</v>
      </c>
      <c r="D37" t="str">
        <f t="shared" si="1"/>
        <v>No</v>
      </c>
      <c r="E37" s="8">
        <f t="shared" si="2"/>
        <v>0.52976190476190466</v>
      </c>
    </row>
    <row r="38" spans="1:5" ht="18.75" customHeight="1" x14ac:dyDescent="0.3">
      <c r="A38" t="s">
        <v>69</v>
      </c>
      <c r="B38" s="8">
        <v>14.2</v>
      </c>
      <c r="C38" s="8">
        <f t="shared" si="0"/>
        <v>-0.49672477182465036</v>
      </c>
      <c r="D38" t="str">
        <f t="shared" si="1"/>
        <v>No</v>
      </c>
      <c r="E38" s="8">
        <f t="shared" si="2"/>
        <v>0.36904761904761901</v>
      </c>
    </row>
    <row r="39" spans="1:5" ht="18.75" customHeight="1" x14ac:dyDescent="0.3">
      <c r="A39" t="s">
        <v>70</v>
      </c>
      <c r="B39" s="8">
        <v>15.5</v>
      </c>
      <c r="C39" s="8">
        <f t="shared" si="0"/>
        <v>-2.4722206274463705E-2</v>
      </c>
      <c r="D39" t="str">
        <f t="shared" si="1"/>
        <v>No</v>
      </c>
      <c r="E39" s="8">
        <f t="shared" si="2"/>
        <v>0.4464285714285714</v>
      </c>
    </row>
    <row r="40" spans="1:5" ht="18.75" customHeight="1" x14ac:dyDescent="0.3">
      <c r="A40" t="s">
        <v>71</v>
      </c>
      <c r="B40" s="8">
        <v>15.7</v>
      </c>
      <c r="C40" s="8">
        <f t="shared" si="0"/>
        <v>4.7893573040949329E-2</v>
      </c>
      <c r="D40" t="str">
        <f t="shared" si="1"/>
        <v>No</v>
      </c>
      <c r="E40" s="8">
        <f t="shared" si="2"/>
        <v>0.45833333333333326</v>
      </c>
    </row>
    <row r="41" spans="1:5" ht="18.75" customHeight="1" x14ac:dyDescent="0.3">
      <c r="A41" t="s">
        <v>44</v>
      </c>
      <c r="B41" s="8">
        <v>21.9</v>
      </c>
      <c r="C41" s="8">
        <f t="shared" si="0"/>
        <v>2.2989827318187612</v>
      </c>
      <c r="D41" t="str">
        <f t="shared" si="1"/>
        <v>Yes</v>
      </c>
      <c r="E41" s="8">
        <f t="shared" si="2"/>
        <v>0.82738095238095222</v>
      </c>
    </row>
    <row r="42" spans="1:5" ht="18.75" customHeight="1" x14ac:dyDescent="0.3">
      <c r="A42" t="s">
        <v>72</v>
      </c>
      <c r="B42" s="8">
        <v>16.7</v>
      </c>
      <c r="C42" s="8">
        <f t="shared" si="0"/>
        <v>0.41097246961801576</v>
      </c>
      <c r="D42" t="str">
        <f t="shared" si="1"/>
        <v>No</v>
      </c>
      <c r="E42" s="8">
        <f t="shared" si="2"/>
        <v>0.51785714285714279</v>
      </c>
    </row>
    <row r="43" spans="1:5" ht="18.75" customHeight="1" x14ac:dyDescent="0.3">
      <c r="A43" t="s">
        <v>73</v>
      </c>
      <c r="B43" s="8">
        <v>12.8</v>
      </c>
      <c r="C43" s="8">
        <f t="shared" si="0"/>
        <v>-1.0050352270325429</v>
      </c>
      <c r="D43" t="str">
        <f t="shared" si="1"/>
        <v>No</v>
      </c>
      <c r="E43" s="8">
        <f t="shared" si="2"/>
        <v>0.28571428571428575</v>
      </c>
    </row>
    <row r="44" spans="1:5" ht="18.75" customHeight="1" x14ac:dyDescent="0.3">
      <c r="A44" t="s">
        <v>74</v>
      </c>
      <c r="B44" s="8">
        <v>14.5</v>
      </c>
      <c r="C44" s="8">
        <f t="shared" si="0"/>
        <v>-0.38780110285153013</v>
      </c>
      <c r="D44" t="str">
        <f t="shared" si="1"/>
        <v>No</v>
      </c>
      <c r="E44" s="8">
        <f t="shared" si="2"/>
        <v>0.38690476190476186</v>
      </c>
    </row>
    <row r="45" spans="1:5" ht="18.75" customHeight="1" x14ac:dyDescent="0.3">
      <c r="A45" t="s">
        <v>63</v>
      </c>
      <c r="B45" s="8">
        <v>14.1</v>
      </c>
      <c r="C45" s="8">
        <f t="shared" si="0"/>
        <v>-0.53303266148235684</v>
      </c>
      <c r="D45" t="str">
        <f t="shared" si="1"/>
        <v>No</v>
      </c>
      <c r="E45" s="8">
        <f t="shared" si="2"/>
        <v>0.36309523809523808</v>
      </c>
    </row>
    <row r="46" spans="1:5" ht="18.75" customHeight="1" x14ac:dyDescent="0.3">
      <c r="A46" t="s">
        <v>75</v>
      </c>
      <c r="B46" s="8">
        <v>18.600000000000001</v>
      </c>
      <c r="C46" s="8">
        <f t="shared" si="0"/>
        <v>1.1008223731144429</v>
      </c>
      <c r="D46" t="str">
        <f t="shared" si="1"/>
        <v>No</v>
      </c>
      <c r="E46" s="8">
        <f t="shared" si="2"/>
        <v>0.63095238095238104</v>
      </c>
    </row>
    <row r="47" spans="1:5" ht="18.75" customHeight="1" x14ac:dyDescent="0.3">
      <c r="A47" t="s">
        <v>76</v>
      </c>
      <c r="B47" s="8">
        <v>15.7</v>
      </c>
      <c r="C47" s="8">
        <f t="shared" si="0"/>
        <v>4.7893573040949329E-2</v>
      </c>
      <c r="D47" t="str">
        <f t="shared" si="1"/>
        <v>No</v>
      </c>
      <c r="E47" s="8">
        <f t="shared" si="2"/>
        <v>0.45833333333333326</v>
      </c>
    </row>
    <row r="48" spans="1:5" ht="18.75" customHeight="1" x14ac:dyDescent="0.3">
      <c r="A48" t="s">
        <v>77</v>
      </c>
      <c r="B48" s="8">
        <v>14.9</v>
      </c>
      <c r="C48" s="8">
        <f t="shared" si="0"/>
        <v>-0.24256954422070345</v>
      </c>
      <c r="D48" t="str">
        <f t="shared" si="1"/>
        <v>No</v>
      </c>
      <c r="E48" s="8">
        <f t="shared" si="2"/>
        <v>0.4107142857142857</v>
      </c>
    </row>
    <row r="49" spans="1:5" ht="18.75" customHeight="1" x14ac:dyDescent="0.3">
      <c r="A49" t="s">
        <v>78</v>
      </c>
      <c r="B49" s="8">
        <v>21.5</v>
      </c>
      <c r="C49" s="8">
        <f t="shared" si="0"/>
        <v>2.1537511731879349</v>
      </c>
      <c r="D49" t="str">
        <f t="shared" si="1"/>
        <v>Yes</v>
      </c>
      <c r="E49" s="8">
        <f t="shared" si="2"/>
        <v>0.80357142857142849</v>
      </c>
    </row>
    <row r="50" spans="1:5" ht="18.75" customHeight="1" x14ac:dyDescent="0.3">
      <c r="A50" t="s">
        <v>79</v>
      </c>
      <c r="B50" s="8">
        <v>15.9</v>
      </c>
      <c r="C50" s="8">
        <f t="shared" si="0"/>
        <v>0.12050935235636301</v>
      </c>
      <c r="D50" t="str">
        <f t="shared" si="1"/>
        <v>No</v>
      </c>
      <c r="E50" s="8">
        <f t="shared" si="2"/>
        <v>0.47023809523809523</v>
      </c>
    </row>
    <row r="51" spans="1:5" ht="18.75" customHeight="1" x14ac:dyDescent="0.3">
      <c r="A51" t="s">
        <v>80</v>
      </c>
      <c r="B51" s="8">
        <v>13.6</v>
      </c>
      <c r="C51" s="8">
        <f t="shared" si="0"/>
        <v>-0.71457210977089014</v>
      </c>
      <c r="D51" t="str">
        <f t="shared" si="1"/>
        <v>No</v>
      </c>
      <c r="E51" s="8">
        <f t="shared" si="2"/>
        <v>0.33333333333333331</v>
      </c>
    </row>
    <row r="52" spans="1:5" ht="18.75" customHeight="1" x14ac:dyDescent="0.3">
      <c r="A52" t="s">
        <v>81</v>
      </c>
      <c r="B52" s="8">
        <v>15.8</v>
      </c>
      <c r="C52" s="8">
        <f t="shared" si="0"/>
        <v>8.4201462698656485E-2</v>
      </c>
      <c r="D52" t="str">
        <f t="shared" si="1"/>
        <v>No</v>
      </c>
      <c r="E52" s="8">
        <f t="shared" si="2"/>
        <v>0.4642857142857143</v>
      </c>
    </row>
    <row r="53" spans="1:5" ht="18.75" customHeight="1" x14ac:dyDescent="0.3">
      <c r="A53" t="s">
        <v>82</v>
      </c>
      <c r="B53" s="2">
        <v>14</v>
      </c>
      <c r="C53" s="8">
        <f t="shared" si="0"/>
        <v>-0.56934055114006343</v>
      </c>
      <c r="D53" t="str">
        <f t="shared" si="1"/>
        <v>No</v>
      </c>
      <c r="E53" s="8">
        <f t="shared" si="2"/>
        <v>0.35714285714285715</v>
      </c>
    </row>
    <row r="54" spans="1:5" ht="18.75" customHeight="1" x14ac:dyDescent="0.3">
      <c r="A54" t="s">
        <v>83</v>
      </c>
      <c r="B54" s="8">
        <v>14.7</v>
      </c>
      <c r="C54" s="8">
        <f t="shared" si="0"/>
        <v>-0.31518532353611711</v>
      </c>
      <c r="D54" t="str">
        <f t="shared" si="1"/>
        <v>No</v>
      </c>
      <c r="E54" s="8">
        <f t="shared" si="2"/>
        <v>0.39880952380952372</v>
      </c>
    </row>
    <row r="55" spans="1:5" ht="18.75" customHeight="1" x14ac:dyDescent="0.3">
      <c r="A55" t="s">
        <v>44</v>
      </c>
      <c r="B55" s="8">
        <v>24.8</v>
      </c>
      <c r="C55" s="8">
        <f t="shared" si="0"/>
        <v>3.3519115318922545</v>
      </c>
      <c r="D55" t="str">
        <f t="shared" si="1"/>
        <v>Yes</v>
      </c>
      <c r="E55" s="2">
        <f t="shared" si="2"/>
        <v>1</v>
      </c>
    </row>
    <row r="56" spans="1:5" ht="18.75" customHeight="1" x14ac:dyDescent="0.3">
      <c r="A56" t="s">
        <v>84</v>
      </c>
      <c r="B56" s="8">
        <v>20.100000000000001</v>
      </c>
      <c r="C56" s="8">
        <f t="shared" si="0"/>
        <v>1.6454407179800425</v>
      </c>
      <c r="D56" t="str">
        <f t="shared" si="1"/>
        <v>No</v>
      </c>
      <c r="E56" s="8">
        <f t="shared" si="2"/>
        <v>0.72023809523809534</v>
      </c>
    </row>
    <row r="57" spans="1:5" ht="18.75" customHeight="1" x14ac:dyDescent="0.3">
      <c r="A57" t="s">
        <v>85</v>
      </c>
      <c r="B57" s="8">
        <v>15.8</v>
      </c>
      <c r="C57" s="8">
        <f t="shared" si="0"/>
        <v>8.4201462698656485E-2</v>
      </c>
      <c r="D57" t="str">
        <f t="shared" si="1"/>
        <v>No</v>
      </c>
      <c r="E57" s="8">
        <f t="shared" si="2"/>
        <v>0.4642857142857143</v>
      </c>
    </row>
    <row r="58" spans="1:5" ht="18.75" customHeight="1" x14ac:dyDescent="0.3">
      <c r="A58" t="s">
        <v>69</v>
      </c>
      <c r="B58" s="8">
        <v>14.7</v>
      </c>
      <c r="C58" s="8">
        <f t="shared" si="0"/>
        <v>-0.31518532353611711</v>
      </c>
      <c r="D58" t="str">
        <f t="shared" si="1"/>
        <v>No</v>
      </c>
      <c r="E58" s="8">
        <f t="shared" si="2"/>
        <v>0.39880952380952372</v>
      </c>
    </row>
    <row r="59" spans="1:5" ht="18.75" customHeight="1" x14ac:dyDescent="0.3">
      <c r="A59" t="s">
        <v>86</v>
      </c>
      <c r="B59" s="8">
        <v>15.1</v>
      </c>
      <c r="C59" s="8">
        <f t="shared" si="0"/>
        <v>-0.16995376490529041</v>
      </c>
      <c r="D59" t="str">
        <f t="shared" si="1"/>
        <v>No</v>
      </c>
      <c r="E59" s="8">
        <f t="shared" si="2"/>
        <v>0.42261904761904756</v>
      </c>
    </row>
    <row r="60" spans="1:5" ht="18.75" customHeight="1" x14ac:dyDescent="0.3">
      <c r="A60" t="s">
        <v>87</v>
      </c>
      <c r="B60" s="8">
        <v>15.3</v>
      </c>
      <c r="C60" s="8">
        <f t="shared" si="0"/>
        <v>-9.7337985589876733E-2</v>
      </c>
      <c r="D60" t="str">
        <f t="shared" si="1"/>
        <v>No</v>
      </c>
      <c r="E60" s="8">
        <f t="shared" si="2"/>
        <v>0.43452380952380953</v>
      </c>
    </row>
    <row r="61" spans="1:5" ht="18.75" customHeight="1" x14ac:dyDescent="0.3">
      <c r="A61" t="s">
        <v>88</v>
      </c>
      <c r="B61" s="8">
        <v>21.7</v>
      </c>
      <c r="C61" s="8">
        <f t="shared" si="0"/>
        <v>2.2263669525033478</v>
      </c>
      <c r="D61" t="str">
        <f t="shared" si="1"/>
        <v>Yes</v>
      </c>
      <c r="E61" s="8">
        <f t="shared" si="2"/>
        <v>0.81547619047619035</v>
      </c>
    </row>
    <row r="62" spans="1:5" ht="18.75" customHeight="1" x14ac:dyDescent="0.3">
      <c r="A62" t="s">
        <v>89</v>
      </c>
      <c r="B62" s="8">
        <v>21.8</v>
      </c>
      <c r="C62" s="8">
        <f t="shared" si="0"/>
        <v>2.2626748421610552</v>
      </c>
      <c r="D62" t="str">
        <f t="shared" si="1"/>
        <v>Yes</v>
      </c>
      <c r="E62" s="8">
        <f t="shared" si="2"/>
        <v>0.8214285714285714</v>
      </c>
    </row>
    <row r="63" spans="1:5" ht="18.75" customHeight="1" x14ac:dyDescent="0.3">
      <c r="A63" t="s">
        <v>90</v>
      </c>
      <c r="B63" s="8">
        <v>23.7</v>
      </c>
      <c r="C63" s="8">
        <f t="shared" si="0"/>
        <v>2.952524745657481</v>
      </c>
      <c r="D63" t="str">
        <f t="shared" si="1"/>
        <v>Yes</v>
      </c>
      <c r="E63" s="8">
        <f t="shared" si="2"/>
        <v>0.93452380952380942</v>
      </c>
    </row>
    <row r="64" spans="1:5" ht="18.75" customHeight="1" x14ac:dyDescent="0.3">
      <c r="A64" t="s">
        <v>91</v>
      </c>
      <c r="B64" s="8">
        <v>17.3</v>
      </c>
      <c r="C64" s="8">
        <f t="shared" si="0"/>
        <v>0.62881980756425615</v>
      </c>
      <c r="D64" t="str">
        <f t="shared" si="1"/>
        <v>No</v>
      </c>
      <c r="E64" s="8">
        <f t="shared" si="2"/>
        <v>0.5535714285714286</v>
      </c>
    </row>
    <row r="65" spans="1:5" ht="18.75" customHeight="1" x14ac:dyDescent="0.3">
      <c r="A65" t="s">
        <v>92</v>
      </c>
      <c r="B65" s="8">
        <v>19.899999999999999</v>
      </c>
      <c r="C65" s="8">
        <f t="shared" si="0"/>
        <v>1.5728249386646282</v>
      </c>
      <c r="D65" t="str">
        <f t="shared" si="1"/>
        <v>No</v>
      </c>
      <c r="E65" s="8">
        <f t="shared" si="2"/>
        <v>0.70833333333333326</v>
      </c>
    </row>
    <row r="66" spans="1:5" ht="18.75" customHeight="1" x14ac:dyDescent="0.3">
      <c r="A66" t="s">
        <v>93</v>
      </c>
      <c r="B66" s="8">
        <v>14.2</v>
      </c>
      <c r="C66" s="8">
        <f t="shared" ref="C66:C129" si="3">IFERROR((B66-$H$3)/$I$3,"")</f>
        <v>-0.49672477182465036</v>
      </c>
      <c r="D66" t="str">
        <f t="shared" ref="D66:D129" si="4">IF(ABS(C66)&gt;2,"Yes","No")</f>
        <v>No</v>
      </c>
      <c r="E66" s="8">
        <f t="shared" ref="E66:E129" si="5">IFERROR((B66-$K$3) / ($L$3-$K$3),"")</f>
        <v>0.36904761904761901</v>
      </c>
    </row>
    <row r="67" spans="1:5" ht="18.75" customHeight="1" x14ac:dyDescent="0.3">
      <c r="A67" t="s">
        <v>94</v>
      </c>
      <c r="B67" s="8">
        <v>20.399999999999999</v>
      </c>
      <c r="C67" s="8">
        <f t="shared" si="3"/>
        <v>1.7543643869531613</v>
      </c>
      <c r="D67" t="str">
        <f t="shared" si="4"/>
        <v>No</v>
      </c>
      <c r="E67" s="8">
        <f t="shared" si="5"/>
        <v>0.73809523809523803</v>
      </c>
    </row>
    <row r="68" spans="1:5" ht="18.75" customHeight="1" x14ac:dyDescent="0.3">
      <c r="A68" t="s">
        <v>95</v>
      </c>
      <c r="B68" s="8">
        <v>15.8</v>
      </c>
      <c r="C68" s="8">
        <f t="shared" si="3"/>
        <v>8.4201462698656485E-2</v>
      </c>
      <c r="D68" t="str">
        <f t="shared" si="4"/>
        <v>No</v>
      </c>
      <c r="E68" s="8">
        <f t="shared" si="5"/>
        <v>0.4642857142857143</v>
      </c>
    </row>
    <row r="69" spans="1:5" ht="18.75" customHeight="1" x14ac:dyDescent="0.3">
      <c r="A69" t="s">
        <v>96</v>
      </c>
      <c r="B69" s="8">
        <v>19.600000000000001</v>
      </c>
      <c r="C69" s="8">
        <f t="shared" si="3"/>
        <v>1.4639012696915092</v>
      </c>
      <c r="D69" t="str">
        <f t="shared" si="4"/>
        <v>No</v>
      </c>
      <c r="E69" s="8">
        <f t="shared" si="5"/>
        <v>0.69047619047619058</v>
      </c>
    </row>
    <row r="70" spans="1:5" ht="18.75" customHeight="1" x14ac:dyDescent="0.3">
      <c r="A70" t="s">
        <v>97</v>
      </c>
      <c r="B70" s="8">
        <v>15.3</v>
      </c>
      <c r="C70" s="8">
        <f t="shared" si="3"/>
        <v>-9.7337985589876733E-2</v>
      </c>
      <c r="D70" t="str">
        <f t="shared" si="4"/>
        <v>No</v>
      </c>
      <c r="E70" s="8">
        <f t="shared" si="5"/>
        <v>0.43452380952380953</v>
      </c>
    </row>
    <row r="71" spans="1:5" ht="18.75" customHeight="1" x14ac:dyDescent="0.3">
      <c r="A71" t="s">
        <v>98</v>
      </c>
      <c r="B71" s="8">
        <v>24.6</v>
      </c>
      <c r="C71" s="8">
        <f t="shared" si="3"/>
        <v>3.2792957525768416</v>
      </c>
      <c r="D71" t="str">
        <f t="shared" si="4"/>
        <v>Yes</v>
      </c>
      <c r="E71" s="8">
        <f t="shared" si="5"/>
        <v>0.98809523809523814</v>
      </c>
    </row>
    <row r="72" spans="1:5" ht="18.75" customHeight="1" x14ac:dyDescent="0.3">
      <c r="A72" t="s">
        <v>99</v>
      </c>
      <c r="B72" s="8">
        <v>14.5</v>
      </c>
      <c r="C72" s="8">
        <f t="shared" si="3"/>
        <v>-0.38780110285153013</v>
      </c>
      <c r="D72" t="str">
        <f t="shared" si="4"/>
        <v>No</v>
      </c>
      <c r="E72" s="8">
        <f t="shared" si="5"/>
        <v>0.38690476190476186</v>
      </c>
    </row>
    <row r="73" spans="1:5" ht="18.75" customHeight="1" x14ac:dyDescent="0.3">
      <c r="A73" t="s">
        <v>100</v>
      </c>
      <c r="B73" s="2">
        <v>15</v>
      </c>
      <c r="C73" s="8">
        <f t="shared" si="3"/>
        <v>-0.20626165456299694</v>
      </c>
      <c r="D73" t="str">
        <f t="shared" si="4"/>
        <v>No</v>
      </c>
      <c r="E73" s="8">
        <f t="shared" si="5"/>
        <v>0.41666666666666663</v>
      </c>
    </row>
    <row r="74" spans="1:5" ht="18.75" customHeight="1" x14ac:dyDescent="0.3">
      <c r="A74" t="s">
        <v>101</v>
      </c>
      <c r="B74" s="2">
        <v>18</v>
      </c>
      <c r="C74" s="8">
        <f t="shared" si="3"/>
        <v>0.88297503516820242</v>
      </c>
      <c r="D74" t="str">
        <f t="shared" si="4"/>
        <v>No</v>
      </c>
      <c r="E74" s="8">
        <f t="shared" si="5"/>
        <v>0.59523809523809523</v>
      </c>
    </row>
    <row r="75" spans="1:5" ht="18.75" customHeight="1" x14ac:dyDescent="0.3">
      <c r="A75" t="s">
        <v>102</v>
      </c>
      <c r="B75" s="2">
        <v>14</v>
      </c>
      <c r="C75" s="8">
        <f t="shared" si="3"/>
        <v>-0.56934055114006343</v>
      </c>
      <c r="D75" t="str">
        <f t="shared" si="4"/>
        <v>No</v>
      </c>
      <c r="E75" s="8">
        <f t="shared" si="5"/>
        <v>0.35714285714285715</v>
      </c>
    </row>
    <row r="76" spans="1:5" ht="18.75" customHeight="1" x14ac:dyDescent="0.3">
      <c r="A76" t="s">
        <v>99</v>
      </c>
      <c r="B76" s="8">
        <v>14.5</v>
      </c>
      <c r="C76" s="8">
        <f t="shared" si="3"/>
        <v>-0.38780110285153013</v>
      </c>
      <c r="D76" t="str">
        <f t="shared" si="4"/>
        <v>No</v>
      </c>
      <c r="E76" s="8">
        <f t="shared" si="5"/>
        <v>0.38690476190476186</v>
      </c>
    </row>
    <row r="77" spans="1:5" ht="18.75" customHeight="1" x14ac:dyDescent="0.3">
      <c r="A77" t="s">
        <v>103</v>
      </c>
      <c r="B77" s="2">
        <v>19</v>
      </c>
      <c r="C77" s="8">
        <f t="shared" si="3"/>
        <v>1.2460539317452688</v>
      </c>
      <c r="D77" t="str">
        <f t="shared" si="4"/>
        <v>No</v>
      </c>
      <c r="E77" s="8">
        <f t="shared" si="5"/>
        <v>0.65476190476190477</v>
      </c>
    </row>
    <row r="78" spans="1:5" ht="18.75" customHeight="1" x14ac:dyDescent="0.3">
      <c r="A78" t="s">
        <v>104</v>
      </c>
      <c r="B78" s="8">
        <v>13.5</v>
      </c>
      <c r="C78" s="8">
        <f t="shared" si="3"/>
        <v>-0.75087999942859662</v>
      </c>
      <c r="D78" t="str">
        <f t="shared" si="4"/>
        <v>No</v>
      </c>
      <c r="E78" s="8">
        <f t="shared" si="5"/>
        <v>0.32738095238095238</v>
      </c>
    </row>
    <row r="79" spans="1:5" ht="18.75" customHeight="1" x14ac:dyDescent="0.3">
      <c r="A79" t="s">
        <v>105</v>
      </c>
      <c r="B79" s="8">
        <v>16.5</v>
      </c>
      <c r="C79" s="8">
        <f t="shared" si="3"/>
        <v>0.33835669030260274</v>
      </c>
      <c r="D79" t="str">
        <f t="shared" si="4"/>
        <v>No</v>
      </c>
      <c r="E79" s="8">
        <f t="shared" si="5"/>
        <v>0.50595238095238093</v>
      </c>
    </row>
    <row r="80" spans="1:5" ht="18.75" customHeight="1" x14ac:dyDescent="0.3">
      <c r="A80" t="s">
        <v>106</v>
      </c>
      <c r="B80" s="8">
        <v>15.5</v>
      </c>
      <c r="C80" s="8">
        <f t="shared" si="3"/>
        <v>-2.4722206274463705E-2</v>
      </c>
      <c r="D80" t="str">
        <f t="shared" si="4"/>
        <v>No</v>
      </c>
      <c r="E80" s="8">
        <f t="shared" si="5"/>
        <v>0.4464285714285714</v>
      </c>
    </row>
    <row r="81" spans="1:5" ht="18.75" customHeight="1" x14ac:dyDescent="0.3">
      <c r="A81" t="s">
        <v>107</v>
      </c>
      <c r="B81" s="2">
        <v>17</v>
      </c>
      <c r="C81" s="8">
        <f t="shared" si="3"/>
        <v>0.51989613859113593</v>
      </c>
      <c r="D81" t="str">
        <f t="shared" si="4"/>
        <v>No</v>
      </c>
      <c r="E81" s="8">
        <f t="shared" si="5"/>
        <v>0.5357142857142857</v>
      </c>
    </row>
    <row r="82" spans="1:5" ht="18.75" customHeight="1" x14ac:dyDescent="0.3">
      <c r="A82" t="s">
        <v>108</v>
      </c>
      <c r="B82" s="8">
        <v>14.5</v>
      </c>
      <c r="C82" s="8">
        <f t="shared" si="3"/>
        <v>-0.38780110285153013</v>
      </c>
      <c r="D82" t="str">
        <f t="shared" si="4"/>
        <v>No</v>
      </c>
      <c r="E82" s="8">
        <f t="shared" si="5"/>
        <v>0.38690476190476186</v>
      </c>
    </row>
    <row r="83" spans="1:5" ht="18.75" customHeight="1" x14ac:dyDescent="0.3">
      <c r="A83" t="s">
        <v>109</v>
      </c>
      <c r="B83" s="8">
        <v>13.5</v>
      </c>
      <c r="C83" s="8">
        <f t="shared" si="3"/>
        <v>-0.75087999942859662</v>
      </c>
      <c r="D83" t="str">
        <f t="shared" si="4"/>
        <v>No</v>
      </c>
      <c r="E83" s="8">
        <f t="shared" si="5"/>
        <v>0.32738095238095238</v>
      </c>
    </row>
    <row r="84" spans="1:5" ht="18.75" customHeight="1" x14ac:dyDescent="0.3">
      <c r="A84" t="s">
        <v>110</v>
      </c>
      <c r="B84" s="8">
        <v>16.5</v>
      </c>
      <c r="C84" s="8">
        <f t="shared" si="3"/>
        <v>0.33835669030260274</v>
      </c>
      <c r="D84" t="str">
        <f t="shared" si="4"/>
        <v>No</v>
      </c>
      <c r="E84" s="8">
        <f t="shared" si="5"/>
        <v>0.50595238095238093</v>
      </c>
    </row>
    <row r="85" spans="1:5" ht="18.75" customHeight="1" x14ac:dyDescent="0.3">
      <c r="A85" t="s">
        <v>111</v>
      </c>
      <c r="B85" s="2">
        <v>19</v>
      </c>
      <c r="C85" s="8">
        <f t="shared" si="3"/>
        <v>1.2460539317452688</v>
      </c>
      <c r="D85" t="str">
        <f t="shared" si="4"/>
        <v>No</v>
      </c>
      <c r="E85" s="8">
        <f t="shared" si="5"/>
        <v>0.65476190476190477</v>
      </c>
    </row>
    <row r="86" spans="1:5" ht="18.75" customHeight="1" x14ac:dyDescent="0.3">
      <c r="A86" t="s">
        <v>112</v>
      </c>
      <c r="B86" s="8">
        <v>13.5</v>
      </c>
      <c r="C86" s="8">
        <f t="shared" si="3"/>
        <v>-0.75087999942859662</v>
      </c>
      <c r="D86" t="str">
        <f t="shared" si="4"/>
        <v>No</v>
      </c>
      <c r="E86" s="8">
        <f t="shared" si="5"/>
        <v>0.32738095238095238</v>
      </c>
    </row>
    <row r="87" spans="1:5" ht="18.75" customHeight="1" x14ac:dyDescent="0.3">
      <c r="A87" t="s">
        <v>113</v>
      </c>
      <c r="B87" s="2">
        <v>15</v>
      </c>
      <c r="C87" s="8">
        <f t="shared" si="3"/>
        <v>-0.20626165456299694</v>
      </c>
      <c r="D87" t="str">
        <f t="shared" si="4"/>
        <v>No</v>
      </c>
      <c r="E87" s="8">
        <f t="shared" si="5"/>
        <v>0.41666666666666663</v>
      </c>
    </row>
    <row r="88" spans="1:5" ht="18.75" customHeight="1" x14ac:dyDescent="0.3">
      <c r="A88" t="s">
        <v>114</v>
      </c>
      <c r="B88" s="8">
        <v>15.5</v>
      </c>
      <c r="C88" s="8">
        <f t="shared" si="3"/>
        <v>-2.4722206274463705E-2</v>
      </c>
      <c r="D88" t="str">
        <f t="shared" si="4"/>
        <v>No</v>
      </c>
      <c r="E88" s="8">
        <f t="shared" si="5"/>
        <v>0.4464285714285714</v>
      </c>
    </row>
    <row r="89" spans="1:5" ht="18.75" customHeight="1" x14ac:dyDescent="0.3">
      <c r="A89" t="s">
        <v>103</v>
      </c>
      <c r="B89" s="2">
        <v>21</v>
      </c>
      <c r="C89" s="8">
        <f t="shared" si="3"/>
        <v>1.9722117248994018</v>
      </c>
      <c r="D89" t="str">
        <f t="shared" si="4"/>
        <v>No</v>
      </c>
      <c r="E89" s="8">
        <f t="shared" si="5"/>
        <v>0.77380952380952372</v>
      </c>
    </row>
    <row r="90" spans="1:5" ht="18.75" customHeight="1" x14ac:dyDescent="0.3">
      <c r="A90" t="s">
        <v>115</v>
      </c>
      <c r="B90" s="2">
        <v>19</v>
      </c>
      <c r="C90" s="8">
        <f t="shared" si="3"/>
        <v>1.2460539317452688</v>
      </c>
      <c r="D90" t="str">
        <f t="shared" si="4"/>
        <v>No</v>
      </c>
      <c r="E90" s="8">
        <f t="shared" si="5"/>
        <v>0.65476190476190477</v>
      </c>
    </row>
    <row r="91" spans="1:5" ht="18.75" customHeight="1" x14ac:dyDescent="0.3">
      <c r="A91" t="s">
        <v>102</v>
      </c>
      <c r="B91" s="8">
        <v>16.5</v>
      </c>
      <c r="C91" s="8">
        <f t="shared" si="3"/>
        <v>0.33835669030260274</v>
      </c>
      <c r="D91" t="str">
        <f t="shared" si="4"/>
        <v>No</v>
      </c>
      <c r="E91" s="8">
        <f t="shared" si="5"/>
        <v>0.50595238095238093</v>
      </c>
    </row>
    <row r="92" spans="1:5" ht="18.75" customHeight="1" x14ac:dyDescent="0.3">
      <c r="A92" t="s">
        <v>116</v>
      </c>
      <c r="B92" s="2">
        <v>19</v>
      </c>
      <c r="C92" s="8">
        <f t="shared" si="3"/>
        <v>1.2460539317452688</v>
      </c>
      <c r="D92" t="str">
        <f t="shared" si="4"/>
        <v>No</v>
      </c>
      <c r="E92" s="8">
        <f t="shared" si="5"/>
        <v>0.65476190476190477</v>
      </c>
    </row>
    <row r="93" spans="1:5" ht="18.75" customHeight="1" x14ac:dyDescent="0.3">
      <c r="A93" t="s">
        <v>116</v>
      </c>
      <c r="B93" s="2">
        <v>17</v>
      </c>
      <c r="C93" s="8">
        <f t="shared" si="3"/>
        <v>0.51989613859113593</v>
      </c>
      <c r="D93" t="str">
        <f t="shared" si="4"/>
        <v>No</v>
      </c>
      <c r="E93" s="8">
        <f t="shared" si="5"/>
        <v>0.5357142857142857</v>
      </c>
    </row>
    <row r="94" spans="1:5" ht="18.75" customHeight="1" x14ac:dyDescent="0.3">
      <c r="A94" t="s">
        <v>102</v>
      </c>
      <c r="B94" s="8">
        <v>13.5</v>
      </c>
      <c r="C94" s="8">
        <f t="shared" si="3"/>
        <v>-0.75087999942859662</v>
      </c>
      <c r="D94" t="str">
        <f t="shared" si="4"/>
        <v>No</v>
      </c>
      <c r="E94" s="8">
        <f t="shared" si="5"/>
        <v>0.32738095238095238</v>
      </c>
    </row>
    <row r="95" spans="1:5" ht="18.75" customHeight="1" x14ac:dyDescent="0.3">
      <c r="A95" t="s">
        <v>117</v>
      </c>
      <c r="B95" s="2">
        <v>16</v>
      </c>
      <c r="C95" s="8">
        <f t="shared" si="3"/>
        <v>0.15681724201406952</v>
      </c>
      <c r="D95" t="str">
        <f t="shared" si="4"/>
        <v>No</v>
      </c>
      <c r="E95" s="8">
        <f t="shared" si="5"/>
        <v>0.47619047619047616</v>
      </c>
    </row>
    <row r="96" spans="1:5" ht="18.75" customHeight="1" x14ac:dyDescent="0.3">
      <c r="A96" t="s">
        <v>118</v>
      </c>
      <c r="B96" s="8">
        <v>17.5</v>
      </c>
      <c r="C96" s="8">
        <f t="shared" si="3"/>
        <v>0.70143558687966923</v>
      </c>
      <c r="D96" t="str">
        <f t="shared" si="4"/>
        <v>No</v>
      </c>
      <c r="E96" s="8">
        <f t="shared" si="5"/>
        <v>0.56547619047619047</v>
      </c>
    </row>
    <row r="97" spans="1:5" ht="18.75" customHeight="1" x14ac:dyDescent="0.3">
      <c r="A97" t="s">
        <v>119</v>
      </c>
      <c r="B97" s="2">
        <v>17</v>
      </c>
      <c r="C97" s="8">
        <f t="shared" si="3"/>
        <v>0.51989613859113593</v>
      </c>
      <c r="D97" t="str">
        <f t="shared" si="4"/>
        <v>No</v>
      </c>
      <c r="E97" s="8">
        <f t="shared" si="5"/>
        <v>0.5357142857142857</v>
      </c>
    </row>
    <row r="98" spans="1:5" ht="18.75" customHeight="1" x14ac:dyDescent="0.3">
      <c r="A98" t="s">
        <v>117</v>
      </c>
      <c r="B98" s="8">
        <v>16.399999999999999</v>
      </c>
      <c r="C98" s="8">
        <f t="shared" si="3"/>
        <v>0.30204880064489559</v>
      </c>
      <c r="D98" t="str">
        <f t="shared" si="4"/>
        <v>No</v>
      </c>
      <c r="E98" s="8">
        <f t="shared" si="5"/>
        <v>0.49999999999999989</v>
      </c>
    </row>
    <row r="99" spans="1:5" ht="18.75" customHeight="1" x14ac:dyDescent="0.3">
      <c r="A99" t="s">
        <v>113</v>
      </c>
      <c r="B99" s="8">
        <v>17.399999999999999</v>
      </c>
      <c r="C99" s="8">
        <f t="shared" si="3"/>
        <v>0.66512769722196208</v>
      </c>
      <c r="D99" t="str">
        <f t="shared" si="4"/>
        <v>No</v>
      </c>
      <c r="E99" s="8">
        <f t="shared" si="5"/>
        <v>0.55952380952380942</v>
      </c>
    </row>
    <row r="100" spans="1:5" ht="18.75" customHeight="1" x14ac:dyDescent="0.3">
      <c r="A100" t="s">
        <v>112</v>
      </c>
      <c r="B100" s="8">
        <v>15.5</v>
      </c>
      <c r="C100" s="8">
        <f t="shared" si="3"/>
        <v>-2.4722206274463705E-2</v>
      </c>
      <c r="D100" t="str">
        <f t="shared" si="4"/>
        <v>No</v>
      </c>
      <c r="E100" s="8">
        <f t="shared" si="5"/>
        <v>0.4464285714285714</v>
      </c>
    </row>
    <row r="101" spans="1:5" ht="18.75" customHeight="1" x14ac:dyDescent="0.3">
      <c r="A101" t="s">
        <v>120</v>
      </c>
      <c r="B101" s="8">
        <v>13.5</v>
      </c>
      <c r="C101" s="8">
        <f t="shared" si="3"/>
        <v>-0.75087999942859662</v>
      </c>
      <c r="D101" t="str">
        <f t="shared" si="4"/>
        <v>No</v>
      </c>
      <c r="E101" s="8">
        <f t="shared" si="5"/>
        <v>0.32738095238095238</v>
      </c>
    </row>
    <row r="102" spans="1:5" ht="18.75" customHeight="1" x14ac:dyDescent="0.3">
      <c r="A102" t="s">
        <v>121</v>
      </c>
      <c r="B102" s="8">
        <v>16.8</v>
      </c>
      <c r="C102" s="8">
        <f t="shared" si="3"/>
        <v>0.44728035927572296</v>
      </c>
      <c r="D102" t="str">
        <f t="shared" si="4"/>
        <v>No</v>
      </c>
      <c r="E102" s="8">
        <f t="shared" si="5"/>
        <v>0.52380952380952384</v>
      </c>
    </row>
    <row r="103" spans="1:5" ht="18.75" customHeight="1" x14ac:dyDescent="0.3">
      <c r="A103" t="s">
        <v>122</v>
      </c>
      <c r="B103" s="8">
        <v>16.399999999999999</v>
      </c>
      <c r="C103" s="8">
        <f t="shared" si="3"/>
        <v>0.30204880064489559</v>
      </c>
      <c r="D103" t="str">
        <f t="shared" si="4"/>
        <v>No</v>
      </c>
      <c r="E103" s="8">
        <f t="shared" si="5"/>
        <v>0.49999999999999989</v>
      </c>
    </row>
    <row r="104" spans="1:5" ht="18.75" customHeight="1" x14ac:dyDescent="0.3">
      <c r="A104" t="s">
        <v>123</v>
      </c>
      <c r="B104" s="8">
        <v>18.5</v>
      </c>
      <c r="C104" s="8">
        <f t="shared" si="3"/>
        <v>1.0645144834567357</v>
      </c>
      <c r="D104" t="str">
        <f t="shared" si="4"/>
        <v>No</v>
      </c>
      <c r="E104" s="8">
        <f t="shared" si="5"/>
        <v>0.625</v>
      </c>
    </row>
    <row r="105" spans="1:5" ht="18.75" customHeight="1" x14ac:dyDescent="0.3">
      <c r="A105" t="s">
        <v>124</v>
      </c>
      <c r="B105" s="8">
        <v>18.2</v>
      </c>
      <c r="C105" s="8">
        <f t="shared" si="3"/>
        <v>0.95559081448361549</v>
      </c>
      <c r="D105" t="str">
        <f t="shared" si="4"/>
        <v>No</v>
      </c>
      <c r="E105" s="8">
        <f t="shared" si="5"/>
        <v>0.6071428571428571</v>
      </c>
    </row>
    <row r="106" spans="1:5" ht="18.75" customHeight="1" x14ac:dyDescent="0.3">
      <c r="A106" t="s">
        <v>125</v>
      </c>
      <c r="B106" s="8">
        <v>14.5</v>
      </c>
      <c r="C106" s="8">
        <f t="shared" si="3"/>
        <v>-0.38780110285153013</v>
      </c>
      <c r="D106" t="str">
        <f t="shared" si="4"/>
        <v>No</v>
      </c>
      <c r="E106" s="8">
        <f t="shared" si="5"/>
        <v>0.38690476190476186</v>
      </c>
    </row>
    <row r="107" spans="1:5" ht="18.75" customHeight="1" x14ac:dyDescent="0.3">
      <c r="A107" t="s">
        <v>126</v>
      </c>
      <c r="B107" s="8">
        <v>14.7</v>
      </c>
      <c r="C107" s="8">
        <f t="shared" si="3"/>
        <v>-0.31518532353611711</v>
      </c>
      <c r="D107" t="str">
        <f t="shared" si="4"/>
        <v>No</v>
      </c>
      <c r="E107" s="8">
        <f t="shared" si="5"/>
        <v>0.39880952380952372</v>
      </c>
    </row>
    <row r="108" spans="1:5" ht="18.75" customHeight="1" x14ac:dyDescent="0.3">
      <c r="A108" t="s">
        <v>127</v>
      </c>
      <c r="B108" s="8">
        <v>14.9</v>
      </c>
      <c r="C108" s="8">
        <f t="shared" si="3"/>
        <v>-0.24256954422070345</v>
      </c>
      <c r="D108" t="str">
        <f t="shared" si="4"/>
        <v>No</v>
      </c>
      <c r="E108" s="8">
        <f t="shared" si="5"/>
        <v>0.4107142857142857</v>
      </c>
    </row>
    <row r="109" spans="1:5" ht="18.75" customHeight="1" x14ac:dyDescent="0.3">
      <c r="A109" t="s">
        <v>128</v>
      </c>
      <c r="B109" s="8">
        <v>14.8</v>
      </c>
      <c r="C109" s="8">
        <f t="shared" si="3"/>
        <v>-0.27887743387840996</v>
      </c>
      <c r="D109" t="str">
        <f t="shared" si="4"/>
        <v>No</v>
      </c>
      <c r="E109" s="8">
        <f t="shared" si="5"/>
        <v>0.40476190476190477</v>
      </c>
    </row>
    <row r="110" spans="1:5" ht="18.75" customHeight="1" x14ac:dyDescent="0.3">
      <c r="A110" t="s">
        <v>102</v>
      </c>
      <c r="B110" s="8">
        <v>14.2</v>
      </c>
      <c r="C110" s="8">
        <f t="shared" si="3"/>
        <v>-0.49672477182465036</v>
      </c>
      <c r="D110" t="str">
        <f t="shared" si="4"/>
        <v>No</v>
      </c>
      <c r="E110" s="8">
        <f t="shared" si="5"/>
        <v>0.36904761904761901</v>
      </c>
    </row>
    <row r="111" spans="1:5" ht="18.75" customHeight="1" x14ac:dyDescent="0.3">
      <c r="A111" t="s">
        <v>129</v>
      </c>
      <c r="B111" s="8">
        <v>18.600000000000001</v>
      </c>
      <c r="C111" s="8">
        <f t="shared" si="3"/>
        <v>1.1008223731144429</v>
      </c>
      <c r="D111" t="str">
        <f t="shared" si="4"/>
        <v>No</v>
      </c>
      <c r="E111" s="8">
        <f t="shared" si="5"/>
        <v>0.63095238095238104</v>
      </c>
    </row>
    <row r="112" spans="1:5" ht="18.75" customHeight="1" x14ac:dyDescent="0.3">
      <c r="A112" t="s">
        <v>118</v>
      </c>
      <c r="B112" s="8">
        <v>16.399999999999999</v>
      </c>
      <c r="C112" s="8">
        <f t="shared" si="3"/>
        <v>0.30204880064489559</v>
      </c>
      <c r="D112" t="str">
        <f t="shared" si="4"/>
        <v>No</v>
      </c>
      <c r="E112" s="8">
        <f t="shared" si="5"/>
        <v>0.49999999999999989</v>
      </c>
    </row>
    <row r="113" spans="1:5" ht="18.75" customHeight="1" x14ac:dyDescent="0.3">
      <c r="A113" t="s">
        <v>130</v>
      </c>
      <c r="B113" s="8">
        <v>16.600000000000001</v>
      </c>
      <c r="C113" s="8">
        <f t="shared" si="3"/>
        <v>0.37466457996030988</v>
      </c>
      <c r="D113" t="str">
        <f t="shared" si="4"/>
        <v>No</v>
      </c>
      <c r="E113" s="8">
        <f t="shared" si="5"/>
        <v>0.51190476190476197</v>
      </c>
    </row>
    <row r="114" spans="1:5" ht="18.75" customHeight="1" x14ac:dyDescent="0.3">
      <c r="A114" t="s">
        <v>131</v>
      </c>
      <c r="B114" s="8">
        <v>19.399999999999999</v>
      </c>
      <c r="C114" s="8">
        <f t="shared" si="3"/>
        <v>1.3912854903760949</v>
      </c>
      <c r="D114" t="str">
        <f t="shared" si="4"/>
        <v>No</v>
      </c>
      <c r="E114" s="8">
        <f t="shared" si="5"/>
        <v>0.67857142857142849</v>
      </c>
    </row>
    <row r="115" spans="1:5" ht="18.75" customHeight="1" x14ac:dyDescent="0.3">
      <c r="A115" t="s">
        <v>132</v>
      </c>
      <c r="B115" s="8">
        <v>15.2</v>
      </c>
      <c r="C115" s="8">
        <f t="shared" si="3"/>
        <v>-0.1336458752475839</v>
      </c>
      <c r="D115" t="str">
        <f t="shared" si="4"/>
        <v>No</v>
      </c>
      <c r="E115" s="8">
        <f t="shared" si="5"/>
        <v>0.42857142857142849</v>
      </c>
    </row>
    <row r="116" spans="1:5" ht="18.75" customHeight="1" x14ac:dyDescent="0.3">
      <c r="A116" t="s">
        <v>133</v>
      </c>
      <c r="B116" s="8">
        <v>19.2</v>
      </c>
      <c r="C116" s="8">
        <f t="shared" si="3"/>
        <v>1.318669711060682</v>
      </c>
      <c r="D116" t="str">
        <f t="shared" si="4"/>
        <v>No</v>
      </c>
      <c r="E116" s="8">
        <f t="shared" si="5"/>
        <v>0.66666666666666663</v>
      </c>
    </row>
    <row r="117" spans="1:5" ht="18.75" customHeight="1" x14ac:dyDescent="0.3">
      <c r="A117" t="s">
        <v>134</v>
      </c>
      <c r="B117" s="8">
        <v>12.5</v>
      </c>
      <c r="C117" s="8">
        <f t="shared" si="3"/>
        <v>-1.113958896005663</v>
      </c>
      <c r="D117" t="str">
        <f t="shared" si="4"/>
        <v>No</v>
      </c>
      <c r="E117" s="8">
        <f t="shared" si="5"/>
        <v>0.26785714285714285</v>
      </c>
    </row>
    <row r="118" spans="1:5" ht="18.75" customHeight="1" x14ac:dyDescent="0.3">
      <c r="A118" t="s">
        <v>135</v>
      </c>
      <c r="B118" s="2">
        <v>15</v>
      </c>
      <c r="C118" s="8">
        <f t="shared" si="3"/>
        <v>-0.20626165456299694</v>
      </c>
      <c r="D118" t="str">
        <f t="shared" si="4"/>
        <v>No</v>
      </c>
      <c r="E118" s="8">
        <f t="shared" si="5"/>
        <v>0.41666666666666663</v>
      </c>
    </row>
    <row r="119" spans="1:5" ht="18.75" customHeight="1" x14ac:dyDescent="0.3">
      <c r="A119" t="s">
        <v>136</v>
      </c>
      <c r="B119" s="8">
        <v>13.8</v>
      </c>
      <c r="C119" s="8">
        <f t="shared" si="3"/>
        <v>-0.6419563304554764</v>
      </c>
      <c r="D119" t="str">
        <f t="shared" si="4"/>
        <v>No</v>
      </c>
      <c r="E119" s="8">
        <f t="shared" si="5"/>
        <v>0.34523809523809529</v>
      </c>
    </row>
    <row r="120" spans="1:5" ht="18.75" customHeight="1" x14ac:dyDescent="0.3">
      <c r="A120" t="s">
        <v>137</v>
      </c>
      <c r="B120" s="8">
        <v>15.5</v>
      </c>
      <c r="C120" s="8">
        <f t="shared" si="3"/>
        <v>-2.4722206274463705E-2</v>
      </c>
      <c r="D120" t="str">
        <f t="shared" si="4"/>
        <v>No</v>
      </c>
      <c r="E120" s="8">
        <f t="shared" si="5"/>
        <v>0.4464285714285714</v>
      </c>
    </row>
    <row r="121" spans="1:5" ht="18.75" customHeight="1" x14ac:dyDescent="0.3">
      <c r="A121" t="s">
        <v>117</v>
      </c>
      <c r="B121" s="8">
        <v>15.2</v>
      </c>
      <c r="C121" s="8">
        <f t="shared" si="3"/>
        <v>-0.1336458752475839</v>
      </c>
      <c r="D121" t="str">
        <f t="shared" si="4"/>
        <v>No</v>
      </c>
      <c r="E121" s="8">
        <f t="shared" si="5"/>
        <v>0.42857142857142849</v>
      </c>
    </row>
    <row r="122" spans="1:5" ht="18.75" customHeight="1" x14ac:dyDescent="0.3">
      <c r="A122" t="s">
        <v>138</v>
      </c>
      <c r="B122" s="8">
        <v>16.399999999999999</v>
      </c>
      <c r="C122" s="8">
        <f t="shared" si="3"/>
        <v>0.30204880064489559</v>
      </c>
      <c r="D122" t="str">
        <f t="shared" si="4"/>
        <v>No</v>
      </c>
      <c r="E122" s="8">
        <f t="shared" si="5"/>
        <v>0.49999999999999989</v>
      </c>
    </row>
    <row r="123" spans="1:5" ht="18.75" customHeight="1" x14ac:dyDescent="0.3">
      <c r="A123" t="s">
        <v>139</v>
      </c>
      <c r="B123" s="2">
        <v>17</v>
      </c>
      <c r="C123" s="8">
        <f t="shared" si="3"/>
        <v>0.51989613859113593</v>
      </c>
      <c r="D123" t="str">
        <f t="shared" si="4"/>
        <v>No</v>
      </c>
      <c r="E123" s="8">
        <f t="shared" si="5"/>
        <v>0.5357142857142857</v>
      </c>
    </row>
    <row r="124" spans="1:5" ht="18.75" customHeight="1" x14ac:dyDescent="0.3">
      <c r="A124" t="s">
        <v>122</v>
      </c>
      <c r="B124" s="2">
        <v>18</v>
      </c>
      <c r="C124" s="8">
        <f t="shared" si="3"/>
        <v>0.88297503516820242</v>
      </c>
      <c r="D124" t="str">
        <f t="shared" si="4"/>
        <v>No</v>
      </c>
      <c r="E124" s="8">
        <f t="shared" si="5"/>
        <v>0.59523809523809523</v>
      </c>
    </row>
    <row r="125" spans="1:5" ht="18.75" customHeight="1" x14ac:dyDescent="0.3">
      <c r="A125" t="s">
        <v>133</v>
      </c>
      <c r="B125" s="8">
        <v>19.2</v>
      </c>
      <c r="C125" s="8">
        <f t="shared" si="3"/>
        <v>1.318669711060682</v>
      </c>
      <c r="D125" t="str">
        <f t="shared" si="4"/>
        <v>No</v>
      </c>
      <c r="E125" s="8">
        <f t="shared" si="5"/>
        <v>0.66666666666666663</v>
      </c>
    </row>
    <row r="126" spans="1:5" ht="18.75" customHeight="1" x14ac:dyDescent="0.3">
      <c r="A126" t="s">
        <v>140</v>
      </c>
      <c r="B126" s="8">
        <v>17.899999999999999</v>
      </c>
      <c r="C126" s="8">
        <f t="shared" si="3"/>
        <v>0.84666714551049527</v>
      </c>
      <c r="D126" t="str">
        <f t="shared" si="4"/>
        <v>No</v>
      </c>
      <c r="E126" s="8">
        <f t="shared" si="5"/>
        <v>0.58928571428571419</v>
      </c>
    </row>
    <row r="127" spans="1:5" ht="18.75" customHeight="1" x14ac:dyDescent="0.3">
      <c r="A127" t="s">
        <v>141</v>
      </c>
      <c r="B127" s="8">
        <v>18.8</v>
      </c>
      <c r="C127" s="8">
        <f t="shared" si="3"/>
        <v>1.1734381524298558</v>
      </c>
      <c r="D127" t="str">
        <f t="shared" si="4"/>
        <v>No</v>
      </c>
      <c r="E127" s="8">
        <f t="shared" si="5"/>
        <v>0.6428571428571429</v>
      </c>
    </row>
    <row r="128" spans="1:5" ht="18.75" customHeight="1" x14ac:dyDescent="0.3">
      <c r="A128" t="s">
        <v>142</v>
      </c>
      <c r="B128" s="8">
        <v>17.5</v>
      </c>
      <c r="C128" s="8">
        <f t="shared" si="3"/>
        <v>0.70143558687966923</v>
      </c>
      <c r="D128" t="str">
        <f t="shared" si="4"/>
        <v>No</v>
      </c>
      <c r="E128" s="8">
        <f t="shared" si="5"/>
        <v>0.56547619047619047</v>
      </c>
    </row>
    <row r="129" spans="1:5" ht="18.75" customHeight="1" x14ac:dyDescent="0.3">
      <c r="A129" t="s">
        <v>143</v>
      </c>
      <c r="B129" s="8">
        <v>11.4</v>
      </c>
      <c r="C129" s="8">
        <f t="shared" si="3"/>
        <v>-1.5133456822404361</v>
      </c>
      <c r="D129" t="str">
        <f t="shared" si="4"/>
        <v>No</v>
      </c>
      <c r="E129" s="8">
        <f t="shared" si="5"/>
        <v>0.20238095238095238</v>
      </c>
    </row>
    <row r="130" spans="1:5" ht="18.75" customHeight="1" x14ac:dyDescent="0.3">
      <c r="A130" t="s">
        <v>144</v>
      </c>
      <c r="B130" s="8">
        <v>14.8</v>
      </c>
      <c r="C130" s="8">
        <f t="shared" ref="C130:C193" si="6">IFERROR((B130-$H$3)/$I$3,"")</f>
        <v>-0.27887743387840996</v>
      </c>
      <c r="D130" t="str">
        <f t="shared" ref="D130:D193" si="7">IF(ABS(C130)&gt;2,"Yes","No")</f>
        <v>No</v>
      </c>
      <c r="E130" s="8">
        <f t="shared" ref="E130:E193" si="8">IFERROR((B130-$K$3) / ($L$3-$K$3),"")</f>
        <v>0.40476190476190477</v>
      </c>
    </row>
    <row r="131" spans="1:5" ht="18.75" customHeight="1" x14ac:dyDescent="0.3">
      <c r="A131" t="s">
        <v>145</v>
      </c>
      <c r="B131" s="2">
        <v>16</v>
      </c>
      <c r="C131" s="8">
        <f t="shared" si="6"/>
        <v>0.15681724201406952</v>
      </c>
      <c r="D131" t="str">
        <f t="shared" si="7"/>
        <v>No</v>
      </c>
      <c r="E131" s="8">
        <f t="shared" si="8"/>
        <v>0.47619047619047616</v>
      </c>
    </row>
    <row r="132" spans="1:5" ht="18.75" customHeight="1" x14ac:dyDescent="0.3">
      <c r="A132" t="s">
        <v>146</v>
      </c>
      <c r="B132" s="8">
        <v>16.100000000000001</v>
      </c>
      <c r="C132" s="8">
        <f t="shared" si="6"/>
        <v>0.1931251316717767</v>
      </c>
      <c r="D132" t="str">
        <f t="shared" si="7"/>
        <v>No</v>
      </c>
      <c r="E132" s="8">
        <f t="shared" si="8"/>
        <v>0.48214285714285721</v>
      </c>
    </row>
    <row r="133" spans="1:5" ht="18.75" customHeight="1" x14ac:dyDescent="0.3">
      <c r="A133" t="s">
        <v>147</v>
      </c>
      <c r="B133" s="8">
        <v>14.4</v>
      </c>
      <c r="C133" s="8">
        <f t="shared" si="6"/>
        <v>-0.42410899250923667</v>
      </c>
      <c r="D133" t="str">
        <f t="shared" si="7"/>
        <v>No</v>
      </c>
      <c r="E133" s="8">
        <f t="shared" si="8"/>
        <v>0.38095238095238093</v>
      </c>
    </row>
    <row r="134" spans="1:5" ht="18.75" customHeight="1" x14ac:dyDescent="0.3">
      <c r="A134" t="s">
        <v>148</v>
      </c>
      <c r="B134" s="8">
        <v>16.899999999999999</v>
      </c>
      <c r="C134" s="8">
        <f t="shared" si="6"/>
        <v>0.48358824893342883</v>
      </c>
      <c r="D134" t="str">
        <f t="shared" si="7"/>
        <v>No</v>
      </c>
      <c r="E134" s="8">
        <f t="shared" si="8"/>
        <v>0.52976190476190466</v>
      </c>
    </row>
    <row r="135" spans="1:5" ht="18.75" customHeight="1" x14ac:dyDescent="0.3">
      <c r="A135" t="s">
        <v>149</v>
      </c>
      <c r="B135" s="8">
        <v>19.399999999999999</v>
      </c>
      <c r="C135" s="8">
        <f t="shared" si="6"/>
        <v>1.3912854903760949</v>
      </c>
      <c r="D135" t="str">
        <f t="shared" si="7"/>
        <v>No</v>
      </c>
      <c r="E135" s="8">
        <f t="shared" si="8"/>
        <v>0.67857142857142849</v>
      </c>
    </row>
    <row r="136" spans="1:5" ht="18.75" customHeight="1" x14ac:dyDescent="0.3">
      <c r="A136" t="s">
        <v>114</v>
      </c>
      <c r="B136" s="8">
        <v>17.8</v>
      </c>
      <c r="C136" s="8">
        <f t="shared" si="6"/>
        <v>0.81035925585278934</v>
      </c>
      <c r="D136" t="str">
        <f t="shared" si="7"/>
        <v>No</v>
      </c>
      <c r="E136" s="8">
        <f t="shared" si="8"/>
        <v>0.58333333333333337</v>
      </c>
    </row>
    <row r="137" spans="1:5" ht="18.75" customHeight="1" x14ac:dyDescent="0.3">
      <c r="A137" t="s">
        <v>117</v>
      </c>
      <c r="B137" s="8">
        <v>16.8</v>
      </c>
      <c r="C137" s="8">
        <f t="shared" si="6"/>
        <v>0.44728035927572296</v>
      </c>
      <c r="D137" t="str">
        <f t="shared" si="7"/>
        <v>No</v>
      </c>
      <c r="E137" s="8">
        <f t="shared" si="8"/>
        <v>0.52380952380952384</v>
      </c>
    </row>
    <row r="138" spans="1:5" ht="18.75" customHeight="1" x14ac:dyDescent="0.3">
      <c r="A138" t="s">
        <v>150</v>
      </c>
      <c r="B138" s="8">
        <v>17.3</v>
      </c>
      <c r="C138" s="8">
        <f t="shared" si="6"/>
        <v>0.62881980756425615</v>
      </c>
      <c r="D138" t="str">
        <f t="shared" si="7"/>
        <v>No</v>
      </c>
      <c r="E138" s="8">
        <f t="shared" si="8"/>
        <v>0.5535714285714286</v>
      </c>
    </row>
    <row r="139" spans="1:5" ht="18.75" customHeight="1" x14ac:dyDescent="0.3">
      <c r="A139" t="s">
        <v>142</v>
      </c>
      <c r="B139" s="8">
        <v>18.3</v>
      </c>
      <c r="C139" s="8">
        <f t="shared" si="6"/>
        <v>0.99189870414132264</v>
      </c>
      <c r="D139" t="str">
        <f t="shared" si="7"/>
        <v>No</v>
      </c>
      <c r="E139" s="8">
        <f t="shared" si="8"/>
        <v>0.61309523809523814</v>
      </c>
    </row>
    <row r="140" spans="1:5" ht="18.75" customHeight="1" x14ac:dyDescent="0.3">
      <c r="A140" t="s">
        <v>151</v>
      </c>
      <c r="B140" s="8">
        <v>13.8</v>
      </c>
      <c r="C140" s="8">
        <f t="shared" si="6"/>
        <v>-0.6419563304554764</v>
      </c>
      <c r="D140" t="str">
        <f t="shared" si="7"/>
        <v>No</v>
      </c>
      <c r="E140" s="8">
        <f t="shared" si="8"/>
        <v>0.34523809523809529</v>
      </c>
    </row>
    <row r="141" spans="1:5" ht="18.75" customHeight="1" x14ac:dyDescent="0.3">
      <c r="A141" t="s">
        <v>152</v>
      </c>
      <c r="B141" s="8">
        <v>12.6</v>
      </c>
      <c r="C141" s="8">
        <f t="shared" si="6"/>
        <v>-1.0776510063479565</v>
      </c>
      <c r="D141" t="str">
        <f t="shared" si="7"/>
        <v>No</v>
      </c>
      <c r="E141" s="8">
        <f t="shared" si="8"/>
        <v>0.27380952380952378</v>
      </c>
    </row>
    <row r="142" spans="1:5" ht="18.75" customHeight="1" x14ac:dyDescent="0.3">
      <c r="A142" t="s">
        <v>153</v>
      </c>
      <c r="B142" s="8">
        <v>14.5</v>
      </c>
      <c r="C142" s="8">
        <f t="shared" si="6"/>
        <v>-0.38780110285153013</v>
      </c>
      <c r="D142" t="str">
        <f t="shared" si="7"/>
        <v>No</v>
      </c>
      <c r="E142" s="8">
        <f t="shared" si="8"/>
        <v>0.38690476190476186</v>
      </c>
    </row>
    <row r="143" spans="1:5" ht="18.75" customHeight="1" x14ac:dyDescent="0.3">
      <c r="A143" t="s">
        <v>154</v>
      </c>
      <c r="B143" s="8">
        <v>13.9</v>
      </c>
      <c r="C143" s="8">
        <f t="shared" si="6"/>
        <v>-0.60564844079776992</v>
      </c>
      <c r="D143" t="str">
        <f t="shared" si="7"/>
        <v>No</v>
      </c>
      <c r="E143" s="8">
        <f t="shared" si="8"/>
        <v>0.35119047619047622</v>
      </c>
    </row>
    <row r="144" spans="1:5" ht="18.75" customHeight="1" x14ac:dyDescent="0.3">
      <c r="A144" t="s">
        <v>155</v>
      </c>
      <c r="B144" s="8">
        <v>17.600000000000001</v>
      </c>
      <c r="C144" s="8">
        <f t="shared" si="6"/>
        <v>0.73774347653737637</v>
      </c>
      <c r="D144" t="str">
        <f t="shared" si="7"/>
        <v>No</v>
      </c>
      <c r="E144" s="8">
        <f t="shared" si="8"/>
        <v>0.57142857142857151</v>
      </c>
    </row>
    <row r="145" spans="1:5" ht="18.75" customHeight="1" x14ac:dyDescent="0.3">
      <c r="A145" t="s">
        <v>113</v>
      </c>
      <c r="B145" s="2">
        <v>15</v>
      </c>
      <c r="C145" s="8">
        <f t="shared" si="6"/>
        <v>-0.20626165456299694</v>
      </c>
      <c r="D145" t="str">
        <f t="shared" si="7"/>
        <v>No</v>
      </c>
      <c r="E145" s="8">
        <f t="shared" si="8"/>
        <v>0.41666666666666663</v>
      </c>
    </row>
    <row r="146" spans="1:5" ht="18.75" customHeight="1" x14ac:dyDescent="0.3">
      <c r="A146" t="s">
        <v>156</v>
      </c>
      <c r="B146" s="8">
        <v>15.7</v>
      </c>
      <c r="C146" s="8">
        <f t="shared" si="6"/>
        <v>4.7893573040949329E-2</v>
      </c>
      <c r="D146" t="str">
        <f t="shared" si="7"/>
        <v>No</v>
      </c>
      <c r="E146" s="8">
        <f t="shared" si="8"/>
        <v>0.45833333333333326</v>
      </c>
    </row>
    <row r="147" spans="1:5" ht="18.75" customHeight="1" x14ac:dyDescent="0.3">
      <c r="A147" t="s">
        <v>139</v>
      </c>
      <c r="B147" s="8">
        <v>14.5</v>
      </c>
      <c r="C147" s="8">
        <f t="shared" si="6"/>
        <v>-0.38780110285153013</v>
      </c>
      <c r="D147" t="str">
        <f t="shared" si="7"/>
        <v>No</v>
      </c>
      <c r="E147" s="8">
        <f t="shared" si="8"/>
        <v>0.38690476190476186</v>
      </c>
    </row>
    <row r="148" spans="1:5" ht="18.75" customHeight="1" x14ac:dyDescent="0.3">
      <c r="A148" t="s">
        <v>157</v>
      </c>
      <c r="B148" s="8">
        <v>16.2</v>
      </c>
      <c r="C148" s="8">
        <f t="shared" si="6"/>
        <v>0.22943302132948254</v>
      </c>
      <c r="D148" t="str">
        <f t="shared" si="7"/>
        <v>No</v>
      </c>
      <c r="E148" s="8">
        <f t="shared" si="8"/>
        <v>0.48809523809523803</v>
      </c>
    </row>
    <row r="149" spans="1:5" ht="18.75" customHeight="1" x14ac:dyDescent="0.3">
      <c r="A149" t="s">
        <v>158</v>
      </c>
      <c r="B149" s="8">
        <v>18.2</v>
      </c>
      <c r="C149" s="8">
        <f t="shared" si="6"/>
        <v>0.95559081448361549</v>
      </c>
      <c r="D149" t="str">
        <f t="shared" si="7"/>
        <v>No</v>
      </c>
      <c r="E149" s="8">
        <f t="shared" si="8"/>
        <v>0.6071428571428571</v>
      </c>
    </row>
    <row r="150" spans="1:5" ht="18.75" customHeight="1" x14ac:dyDescent="0.3">
      <c r="A150" t="s">
        <v>117</v>
      </c>
      <c r="B150" s="8">
        <v>16.899999999999999</v>
      </c>
      <c r="C150" s="8">
        <f t="shared" si="6"/>
        <v>0.48358824893342883</v>
      </c>
      <c r="D150" t="str">
        <f t="shared" si="7"/>
        <v>No</v>
      </c>
      <c r="E150" s="8">
        <f t="shared" si="8"/>
        <v>0.52976190476190466</v>
      </c>
    </row>
    <row r="151" spans="1:5" ht="18.75" customHeight="1" x14ac:dyDescent="0.3">
      <c r="A151" t="s">
        <v>159</v>
      </c>
      <c r="B151" s="8">
        <v>15.5</v>
      </c>
      <c r="C151" s="8">
        <f t="shared" si="6"/>
        <v>-2.4722206274463705E-2</v>
      </c>
      <c r="D151" t="str">
        <f t="shared" si="7"/>
        <v>No</v>
      </c>
      <c r="E151" s="8">
        <f t="shared" si="8"/>
        <v>0.4464285714285714</v>
      </c>
    </row>
    <row r="152" spans="1:5" ht="18.75" customHeight="1" x14ac:dyDescent="0.3">
      <c r="A152" t="s">
        <v>160</v>
      </c>
      <c r="B152" s="2">
        <v>15</v>
      </c>
      <c r="C152" s="8">
        <f t="shared" si="6"/>
        <v>-0.20626165456299694</v>
      </c>
      <c r="D152" t="str">
        <f t="shared" si="7"/>
        <v>No</v>
      </c>
      <c r="E152" s="8">
        <f t="shared" si="8"/>
        <v>0.41666666666666663</v>
      </c>
    </row>
    <row r="153" spans="1:5" ht="18.75" customHeight="1" x14ac:dyDescent="0.3">
      <c r="A153" t="s">
        <v>161</v>
      </c>
      <c r="B153" s="8">
        <v>15.5</v>
      </c>
      <c r="C153" s="8">
        <f t="shared" si="6"/>
        <v>-2.4722206274463705E-2</v>
      </c>
      <c r="D153" t="str">
        <f t="shared" si="7"/>
        <v>No</v>
      </c>
      <c r="E153" s="8">
        <f t="shared" si="8"/>
        <v>0.4464285714285714</v>
      </c>
    </row>
    <row r="154" spans="1:5" ht="18.75" customHeight="1" x14ac:dyDescent="0.3">
      <c r="A154" t="s">
        <v>162</v>
      </c>
      <c r="B154" s="2">
        <v>16</v>
      </c>
      <c r="C154" s="8">
        <f t="shared" si="6"/>
        <v>0.15681724201406952</v>
      </c>
      <c r="D154" t="str">
        <f t="shared" si="7"/>
        <v>No</v>
      </c>
      <c r="E154" s="8">
        <f t="shared" si="8"/>
        <v>0.47619047619047616</v>
      </c>
    </row>
    <row r="155" spans="1:5" ht="18.75" customHeight="1" x14ac:dyDescent="0.3">
      <c r="A155" t="s">
        <v>163</v>
      </c>
      <c r="B155" s="2">
        <v>10</v>
      </c>
      <c r="C155" s="8">
        <f t="shared" si="6"/>
        <v>-2.0216561374483293</v>
      </c>
      <c r="D155" t="str">
        <f t="shared" si="7"/>
        <v>Yes</v>
      </c>
      <c r="E155" s="8">
        <f t="shared" si="8"/>
        <v>0.11904761904761904</v>
      </c>
    </row>
    <row r="156" spans="1:5" ht="18.75" customHeight="1" x14ac:dyDescent="0.3">
      <c r="A156" t="s">
        <v>164</v>
      </c>
      <c r="B156" s="2">
        <v>10</v>
      </c>
      <c r="C156" s="8">
        <f t="shared" si="6"/>
        <v>-2.0216561374483293</v>
      </c>
      <c r="D156" t="str">
        <f t="shared" si="7"/>
        <v>Yes</v>
      </c>
      <c r="E156" s="8">
        <f t="shared" si="8"/>
        <v>0.11904761904761904</v>
      </c>
    </row>
    <row r="157" spans="1:5" ht="18.75" customHeight="1" x14ac:dyDescent="0.3">
      <c r="A157" t="s">
        <v>165</v>
      </c>
      <c r="B157" s="2">
        <v>9</v>
      </c>
      <c r="C157" s="8">
        <f t="shared" si="6"/>
        <v>-2.3847350340253954</v>
      </c>
      <c r="D157" t="str">
        <f t="shared" si="7"/>
        <v>Yes</v>
      </c>
      <c r="E157" s="8">
        <f t="shared" si="8"/>
        <v>5.9523809523809521E-2</v>
      </c>
    </row>
    <row r="158" spans="1:5" ht="18.75" customHeight="1" x14ac:dyDescent="0.3">
      <c r="A158" t="s">
        <v>166</v>
      </c>
      <c r="B158" s="8">
        <v>8.5</v>
      </c>
      <c r="C158" s="8">
        <f t="shared" si="6"/>
        <v>-2.5662744823139287</v>
      </c>
      <c r="D158" t="str">
        <f t="shared" si="7"/>
        <v>Yes</v>
      </c>
      <c r="E158" s="8">
        <f t="shared" si="8"/>
        <v>2.976190476190476E-2</v>
      </c>
    </row>
    <row r="159" spans="1:5" ht="18.75" customHeight="1" x14ac:dyDescent="0.3">
      <c r="A159" t="s">
        <v>167</v>
      </c>
      <c r="B159" s="8">
        <v>8.5</v>
      </c>
      <c r="C159" s="8">
        <f t="shared" si="6"/>
        <v>-2.5662744823139287</v>
      </c>
      <c r="D159" t="str">
        <f t="shared" si="7"/>
        <v>Yes</v>
      </c>
      <c r="E159" s="8">
        <f t="shared" si="8"/>
        <v>2.976190476190476E-2</v>
      </c>
    </row>
    <row r="160" spans="1:5" ht="18.75" customHeight="1" x14ac:dyDescent="0.3">
      <c r="A160" t="s">
        <v>168</v>
      </c>
      <c r="B160" s="8">
        <v>13.5</v>
      </c>
      <c r="C160" s="8">
        <f t="shared" si="6"/>
        <v>-0.75087999942859662</v>
      </c>
      <c r="D160" t="str">
        <f t="shared" si="7"/>
        <v>No</v>
      </c>
      <c r="E160" s="8">
        <f t="shared" si="8"/>
        <v>0.32738095238095238</v>
      </c>
    </row>
    <row r="161" spans="1:5" ht="18.75" customHeight="1" x14ac:dyDescent="0.3">
      <c r="A161" t="s">
        <v>169</v>
      </c>
      <c r="B161" s="2">
        <v>10</v>
      </c>
      <c r="C161" s="8">
        <f t="shared" si="6"/>
        <v>-2.0216561374483293</v>
      </c>
      <c r="D161" t="str">
        <f t="shared" si="7"/>
        <v>Yes</v>
      </c>
      <c r="E161" s="8">
        <f t="shared" si="8"/>
        <v>0.11904761904761904</v>
      </c>
    </row>
    <row r="162" spans="1:5" ht="18.75" customHeight="1" x14ac:dyDescent="0.3">
      <c r="A162" t="s">
        <v>170</v>
      </c>
      <c r="B162" s="2">
        <v>14</v>
      </c>
      <c r="C162" s="8">
        <f t="shared" si="6"/>
        <v>-0.56934055114006343</v>
      </c>
      <c r="D162" t="str">
        <f t="shared" si="7"/>
        <v>No</v>
      </c>
      <c r="E162" s="8">
        <f t="shared" si="8"/>
        <v>0.35714285714285715</v>
      </c>
    </row>
    <row r="163" spans="1:5" ht="18.75" customHeight="1" x14ac:dyDescent="0.3">
      <c r="A163" t="s">
        <v>171</v>
      </c>
      <c r="B163" s="2">
        <v>15</v>
      </c>
      <c r="C163" s="8">
        <f t="shared" si="6"/>
        <v>-0.20626165456299694</v>
      </c>
      <c r="D163" t="str">
        <f t="shared" si="7"/>
        <v>No</v>
      </c>
      <c r="E163" s="8">
        <f t="shared" si="8"/>
        <v>0.41666666666666663</v>
      </c>
    </row>
    <row r="164" spans="1:5" ht="18.75" customHeight="1" x14ac:dyDescent="0.3">
      <c r="A164" t="s">
        <v>172</v>
      </c>
      <c r="B164" s="2">
        <v>10</v>
      </c>
      <c r="C164" s="8">
        <f t="shared" si="6"/>
        <v>-2.0216561374483293</v>
      </c>
      <c r="D164" t="str">
        <f t="shared" si="7"/>
        <v>Yes</v>
      </c>
      <c r="E164" s="8">
        <f t="shared" si="8"/>
        <v>0.11904761904761904</v>
      </c>
    </row>
    <row r="165" spans="1:5" ht="18.75" customHeight="1" x14ac:dyDescent="0.3">
      <c r="A165" t="s">
        <v>173</v>
      </c>
      <c r="B165" s="8">
        <v>11.5</v>
      </c>
      <c r="C165" s="8">
        <f t="shared" si="6"/>
        <v>-1.4770377925827296</v>
      </c>
      <c r="D165" t="str">
        <f t="shared" si="7"/>
        <v>No</v>
      </c>
      <c r="E165" s="8">
        <f t="shared" si="8"/>
        <v>0.20833333333333331</v>
      </c>
    </row>
    <row r="166" spans="1:5" ht="18.75" customHeight="1" x14ac:dyDescent="0.3">
      <c r="A166" t="s">
        <v>174</v>
      </c>
      <c r="B166" s="2">
        <v>8</v>
      </c>
      <c r="C166" s="8">
        <f t="shared" si="6"/>
        <v>-2.747813930602462</v>
      </c>
      <c r="D166" t="str">
        <f t="shared" si="7"/>
        <v>Yes</v>
      </c>
      <c r="E166" s="2">
        <f t="shared" si="8"/>
        <v>0</v>
      </c>
    </row>
    <row r="167" spans="1:5" ht="18.75" customHeight="1" x14ac:dyDescent="0.3">
      <c r="A167" t="s">
        <v>175</v>
      </c>
      <c r="B167" s="2">
        <v>12</v>
      </c>
      <c r="C167" s="8">
        <f t="shared" si="6"/>
        <v>-1.2954983442941963</v>
      </c>
      <c r="D167" t="str">
        <f t="shared" si="7"/>
        <v>No</v>
      </c>
      <c r="E167" s="8">
        <f t="shared" si="8"/>
        <v>0.23809523809523808</v>
      </c>
    </row>
    <row r="168" spans="1:5" ht="18.75" customHeight="1" x14ac:dyDescent="0.3">
      <c r="A168" t="s">
        <v>176</v>
      </c>
      <c r="B168" s="2">
        <v>11</v>
      </c>
      <c r="C168" s="8">
        <f t="shared" si="6"/>
        <v>-1.6585772408712627</v>
      </c>
      <c r="D168" t="str">
        <f t="shared" si="7"/>
        <v>No</v>
      </c>
      <c r="E168" s="8">
        <f t="shared" si="8"/>
        <v>0.17857142857142858</v>
      </c>
    </row>
    <row r="169" spans="1:5" ht="18.75" customHeight="1" x14ac:dyDescent="0.3">
      <c r="A169" t="s">
        <v>177</v>
      </c>
      <c r="B169" s="8">
        <v>18.5</v>
      </c>
      <c r="C169" s="8">
        <f t="shared" si="6"/>
        <v>1.0645144834567357</v>
      </c>
      <c r="D169" t="str">
        <f t="shared" si="7"/>
        <v>No</v>
      </c>
      <c r="E169" s="8">
        <f t="shared" si="8"/>
        <v>0.625</v>
      </c>
    </row>
    <row r="170" spans="1:5" ht="18.75" customHeight="1" x14ac:dyDescent="0.3">
      <c r="A170" t="s">
        <v>178</v>
      </c>
      <c r="B170" s="8">
        <v>10.5</v>
      </c>
      <c r="C170" s="8">
        <f t="shared" si="6"/>
        <v>-1.840116689159796</v>
      </c>
      <c r="D170" t="str">
        <f t="shared" si="7"/>
        <v>No</v>
      </c>
      <c r="E170" s="8">
        <f t="shared" si="8"/>
        <v>0.14880952380952381</v>
      </c>
    </row>
    <row r="171" spans="1:5" ht="18.75" customHeight="1" x14ac:dyDescent="0.3">
      <c r="A171" t="s">
        <v>179</v>
      </c>
      <c r="B171" s="8">
        <v>9.5</v>
      </c>
      <c r="C171" s="8">
        <f t="shared" si="6"/>
        <v>-2.2031955857368626</v>
      </c>
      <c r="D171" t="str">
        <f t="shared" si="7"/>
        <v>Yes</v>
      </c>
      <c r="E171" s="8">
        <f t="shared" si="8"/>
        <v>8.9285714285714288E-2</v>
      </c>
    </row>
    <row r="172" spans="1:5" ht="18.75" customHeight="1" x14ac:dyDescent="0.3">
      <c r="A172" t="s">
        <v>180</v>
      </c>
      <c r="B172" s="2">
        <v>12</v>
      </c>
      <c r="C172" s="8">
        <f t="shared" si="6"/>
        <v>-1.2954983442941963</v>
      </c>
      <c r="D172" t="str">
        <f t="shared" si="7"/>
        <v>No</v>
      </c>
      <c r="E172" s="8">
        <f t="shared" si="8"/>
        <v>0.23809523809523808</v>
      </c>
    </row>
    <row r="173" spans="1:5" ht="18.75" customHeight="1" x14ac:dyDescent="0.3">
      <c r="A173" t="s">
        <v>181</v>
      </c>
      <c r="B173" s="8">
        <v>15.5</v>
      </c>
      <c r="C173" s="8">
        <f t="shared" si="6"/>
        <v>-2.4722206274463705E-2</v>
      </c>
      <c r="D173" t="str">
        <f t="shared" si="7"/>
        <v>No</v>
      </c>
      <c r="E173" s="8">
        <f t="shared" si="8"/>
        <v>0.4464285714285714</v>
      </c>
    </row>
    <row r="174" spans="1:5" ht="18.75" customHeight="1" x14ac:dyDescent="0.3">
      <c r="A174" t="s">
        <v>182</v>
      </c>
      <c r="B174" s="2">
        <v>14</v>
      </c>
      <c r="C174" s="8">
        <f t="shared" si="6"/>
        <v>-0.56934055114006343</v>
      </c>
      <c r="D174" t="str">
        <f t="shared" si="7"/>
        <v>No</v>
      </c>
      <c r="E174" s="8">
        <f t="shared" si="8"/>
        <v>0.35714285714285715</v>
      </c>
    </row>
    <row r="175" spans="1:5" ht="18.75" customHeight="1" x14ac:dyDescent="0.3">
      <c r="A175" t="s">
        <v>183</v>
      </c>
      <c r="B175" s="8">
        <v>20.5</v>
      </c>
      <c r="C175" s="8">
        <f t="shared" si="6"/>
        <v>1.7906722766108685</v>
      </c>
      <c r="D175" t="str">
        <f t="shared" si="7"/>
        <v>No</v>
      </c>
      <c r="E175" s="8">
        <f t="shared" si="8"/>
        <v>0.74404761904761907</v>
      </c>
    </row>
    <row r="176" spans="1:5" ht="18.75" customHeight="1" x14ac:dyDescent="0.3">
      <c r="A176" t="s">
        <v>184</v>
      </c>
      <c r="B176" s="2">
        <v>19</v>
      </c>
      <c r="C176" s="8">
        <f t="shared" si="6"/>
        <v>1.2460539317452688</v>
      </c>
      <c r="D176" t="str">
        <f t="shared" si="7"/>
        <v>No</v>
      </c>
      <c r="E176" s="8">
        <f t="shared" si="8"/>
        <v>0.65476190476190477</v>
      </c>
    </row>
    <row r="177" spans="1:5" ht="18.75" customHeight="1" x14ac:dyDescent="0.3">
      <c r="A177" t="s">
        <v>185</v>
      </c>
      <c r="B177" s="2">
        <v>19</v>
      </c>
      <c r="C177" s="8">
        <f t="shared" si="6"/>
        <v>1.2460539317452688</v>
      </c>
      <c r="D177" t="str">
        <f t="shared" si="7"/>
        <v>No</v>
      </c>
      <c r="E177" s="8">
        <f t="shared" si="8"/>
        <v>0.65476190476190477</v>
      </c>
    </row>
    <row r="178" spans="1:5" ht="18.75" customHeight="1" x14ac:dyDescent="0.3">
      <c r="A178" t="s">
        <v>160</v>
      </c>
      <c r="B178" s="2">
        <v>13</v>
      </c>
      <c r="C178" s="8">
        <f t="shared" si="6"/>
        <v>-0.93241944771712981</v>
      </c>
      <c r="D178" t="str">
        <f t="shared" si="7"/>
        <v>No</v>
      </c>
      <c r="E178" s="8">
        <f t="shared" si="8"/>
        <v>0.29761904761904762</v>
      </c>
    </row>
    <row r="179" spans="1:5" ht="18.75" customHeight="1" x14ac:dyDescent="0.3">
      <c r="A179" t="s">
        <v>186</v>
      </c>
      <c r="B179" s="8">
        <v>13.5</v>
      </c>
      <c r="C179" s="8">
        <f t="shared" si="6"/>
        <v>-0.75087999942859662</v>
      </c>
      <c r="D179" t="str">
        <f t="shared" si="7"/>
        <v>No</v>
      </c>
      <c r="E179" s="8">
        <f t="shared" si="8"/>
        <v>0.32738095238095238</v>
      </c>
    </row>
    <row r="180" spans="1:5" ht="18.75" customHeight="1" x14ac:dyDescent="0.3">
      <c r="A180" t="s">
        <v>187</v>
      </c>
      <c r="B180" s="8">
        <v>15.5</v>
      </c>
      <c r="C180" s="8">
        <f t="shared" si="6"/>
        <v>-2.4722206274463705E-2</v>
      </c>
      <c r="D180" t="str">
        <f t="shared" si="7"/>
        <v>No</v>
      </c>
      <c r="E180" s="8">
        <f t="shared" si="8"/>
        <v>0.4464285714285714</v>
      </c>
    </row>
    <row r="181" spans="1:5" ht="18.75" customHeight="1" x14ac:dyDescent="0.3">
      <c r="A181" t="s">
        <v>188</v>
      </c>
      <c r="B181" s="2">
        <v>15</v>
      </c>
      <c r="C181" s="8">
        <f t="shared" si="6"/>
        <v>-0.20626165456299694</v>
      </c>
      <c r="D181" t="str">
        <f t="shared" si="7"/>
        <v>No</v>
      </c>
      <c r="E181" s="8">
        <f t="shared" si="8"/>
        <v>0.41666666666666663</v>
      </c>
    </row>
    <row r="182" spans="1:5" ht="18.75" customHeight="1" x14ac:dyDescent="0.3">
      <c r="A182" t="s">
        <v>189</v>
      </c>
      <c r="B182" s="8">
        <v>15.5</v>
      </c>
      <c r="C182" s="8">
        <f t="shared" si="6"/>
        <v>-2.4722206274463705E-2</v>
      </c>
      <c r="D182" t="str">
        <f t="shared" si="7"/>
        <v>No</v>
      </c>
      <c r="E182" s="8">
        <f t="shared" si="8"/>
        <v>0.4464285714285714</v>
      </c>
    </row>
    <row r="183" spans="1:5" ht="18.75" customHeight="1" x14ac:dyDescent="0.3">
      <c r="A183" t="s">
        <v>180</v>
      </c>
      <c r="B183" s="8">
        <v>15.5</v>
      </c>
      <c r="C183" s="8">
        <f t="shared" si="6"/>
        <v>-2.4722206274463705E-2</v>
      </c>
      <c r="D183" t="str">
        <f t="shared" si="7"/>
        <v>No</v>
      </c>
      <c r="E183" s="8">
        <f t="shared" si="8"/>
        <v>0.4464285714285714</v>
      </c>
    </row>
    <row r="184" spans="1:5" ht="18.75" customHeight="1" x14ac:dyDescent="0.3">
      <c r="A184" t="s">
        <v>190</v>
      </c>
      <c r="B184" s="8">
        <v>14.5</v>
      </c>
      <c r="C184" s="8">
        <f t="shared" si="6"/>
        <v>-0.38780110285153013</v>
      </c>
      <c r="D184" t="str">
        <f t="shared" si="7"/>
        <v>No</v>
      </c>
      <c r="E184" s="8">
        <f t="shared" si="8"/>
        <v>0.38690476190476186</v>
      </c>
    </row>
    <row r="185" spans="1:5" ht="18.75" customHeight="1" x14ac:dyDescent="0.3">
      <c r="A185" t="s">
        <v>191</v>
      </c>
      <c r="B185" s="8">
        <v>15.5</v>
      </c>
      <c r="C185" s="8">
        <f t="shared" si="6"/>
        <v>-2.4722206274463705E-2</v>
      </c>
      <c r="D185" t="str">
        <f t="shared" si="7"/>
        <v>No</v>
      </c>
      <c r="E185" s="8">
        <f t="shared" si="8"/>
        <v>0.4464285714285714</v>
      </c>
    </row>
    <row r="186" spans="1:5" ht="18.75" customHeight="1" x14ac:dyDescent="0.3">
      <c r="A186" t="s">
        <v>165</v>
      </c>
      <c r="B186" s="2">
        <v>12</v>
      </c>
      <c r="C186" s="8">
        <f t="shared" si="6"/>
        <v>-1.2954983442941963</v>
      </c>
      <c r="D186" t="str">
        <f t="shared" si="7"/>
        <v>No</v>
      </c>
      <c r="E186" s="8">
        <f t="shared" si="8"/>
        <v>0.23809523809523808</v>
      </c>
    </row>
    <row r="187" spans="1:5" ht="18.75" customHeight="1" x14ac:dyDescent="0.3">
      <c r="A187" t="s">
        <v>192</v>
      </c>
      <c r="B187" s="8">
        <v>11.5</v>
      </c>
      <c r="C187" s="8">
        <f t="shared" si="6"/>
        <v>-1.4770377925827296</v>
      </c>
      <c r="D187" t="str">
        <f t="shared" si="7"/>
        <v>No</v>
      </c>
      <c r="E187" s="8">
        <f t="shared" si="8"/>
        <v>0.20833333333333331</v>
      </c>
    </row>
    <row r="188" spans="1:5" ht="18.75" customHeight="1" x14ac:dyDescent="0.3">
      <c r="A188" t="s">
        <v>172</v>
      </c>
      <c r="B188" s="8">
        <v>13.5</v>
      </c>
      <c r="C188" s="8">
        <f t="shared" si="6"/>
        <v>-0.75087999942859662</v>
      </c>
      <c r="D188" t="str">
        <f t="shared" si="7"/>
        <v>No</v>
      </c>
      <c r="E188" s="8">
        <f t="shared" si="8"/>
        <v>0.32738095238095238</v>
      </c>
    </row>
    <row r="189" spans="1:5" ht="18.75" customHeight="1" x14ac:dyDescent="0.3">
      <c r="A189" t="s">
        <v>166</v>
      </c>
      <c r="B189" s="2">
        <v>13</v>
      </c>
      <c r="C189" s="8">
        <f t="shared" si="6"/>
        <v>-0.93241944771712981</v>
      </c>
      <c r="D189" t="str">
        <f t="shared" si="7"/>
        <v>No</v>
      </c>
      <c r="E189" s="8">
        <f t="shared" si="8"/>
        <v>0.29761904761904762</v>
      </c>
    </row>
    <row r="190" spans="1:5" ht="18.75" customHeight="1" x14ac:dyDescent="0.3">
      <c r="A190" t="s">
        <v>193</v>
      </c>
      <c r="B190" s="8">
        <v>11.5</v>
      </c>
      <c r="C190" s="8">
        <f t="shared" si="6"/>
        <v>-1.4770377925827296</v>
      </c>
      <c r="D190" t="str">
        <f t="shared" si="7"/>
        <v>No</v>
      </c>
      <c r="E190" s="8">
        <f t="shared" si="8"/>
        <v>0.20833333333333331</v>
      </c>
    </row>
    <row r="191" spans="1:5" ht="18.75" customHeight="1" x14ac:dyDescent="0.3">
      <c r="A191" t="s">
        <v>194</v>
      </c>
      <c r="B191" s="2">
        <v>12</v>
      </c>
      <c r="C191" s="8">
        <f t="shared" si="6"/>
        <v>-1.2954983442941963</v>
      </c>
      <c r="D191" t="str">
        <f t="shared" si="7"/>
        <v>No</v>
      </c>
      <c r="E191" s="8">
        <f t="shared" si="8"/>
        <v>0.23809523809523808</v>
      </c>
    </row>
    <row r="192" spans="1:5" ht="18.75" customHeight="1" x14ac:dyDescent="0.3">
      <c r="A192" t="s">
        <v>195</v>
      </c>
      <c r="B192" s="2">
        <v>12</v>
      </c>
      <c r="C192" s="8">
        <f t="shared" si="6"/>
        <v>-1.2954983442941963</v>
      </c>
      <c r="D192" t="str">
        <f t="shared" si="7"/>
        <v>No</v>
      </c>
      <c r="E192" s="8">
        <f t="shared" si="8"/>
        <v>0.23809523809523808</v>
      </c>
    </row>
    <row r="193" spans="1:5" ht="18.75" customHeight="1" x14ac:dyDescent="0.3">
      <c r="A193" t="s">
        <v>196</v>
      </c>
      <c r="B193" s="8">
        <v>16.5</v>
      </c>
      <c r="C193" s="8">
        <f t="shared" si="6"/>
        <v>0.33835669030260274</v>
      </c>
      <c r="D193" t="str">
        <f t="shared" si="7"/>
        <v>No</v>
      </c>
      <c r="E193" s="8">
        <f t="shared" si="8"/>
        <v>0.50595238095238093</v>
      </c>
    </row>
    <row r="194" spans="1:5" ht="18.75" customHeight="1" x14ac:dyDescent="0.3">
      <c r="A194" t="s">
        <v>197</v>
      </c>
      <c r="B194" s="2">
        <v>17</v>
      </c>
      <c r="C194" s="8">
        <f t="shared" ref="C194:C257" si="9">IFERROR((B194-$H$3)/$I$3,"")</f>
        <v>0.51989613859113593</v>
      </c>
      <c r="D194" t="str">
        <f t="shared" ref="D194:D257" si="10">IF(ABS(C194)&gt;2,"Yes","No")</f>
        <v>No</v>
      </c>
      <c r="E194" s="8">
        <f t="shared" ref="E194:E257" si="11">IFERROR((B194-$K$3) / ($L$3-$K$3),"")</f>
        <v>0.5357142857142857</v>
      </c>
    </row>
    <row r="195" spans="1:5" ht="18.75" customHeight="1" x14ac:dyDescent="0.3">
      <c r="A195" t="s">
        <v>198</v>
      </c>
      <c r="B195" s="8">
        <v>19.5</v>
      </c>
      <c r="C195" s="8">
        <f t="shared" si="9"/>
        <v>1.4275933800338021</v>
      </c>
      <c r="D195" t="str">
        <f t="shared" si="10"/>
        <v>No</v>
      </c>
      <c r="E195" s="8">
        <f t="shared" si="11"/>
        <v>0.68452380952380953</v>
      </c>
    </row>
    <row r="196" spans="1:5" ht="18.75" customHeight="1" x14ac:dyDescent="0.3">
      <c r="A196" t="s">
        <v>199</v>
      </c>
      <c r="B196" s="2">
        <v>15</v>
      </c>
      <c r="C196" s="8">
        <f t="shared" si="9"/>
        <v>-0.20626165456299694</v>
      </c>
      <c r="D196" t="str">
        <f t="shared" si="10"/>
        <v>No</v>
      </c>
      <c r="E196" s="8">
        <f t="shared" si="11"/>
        <v>0.41666666666666663</v>
      </c>
    </row>
    <row r="197" spans="1:5" ht="18.75" customHeight="1" x14ac:dyDescent="0.3">
      <c r="A197" t="s">
        <v>200</v>
      </c>
      <c r="B197" s="2">
        <v>16</v>
      </c>
      <c r="C197" s="8">
        <f t="shared" si="9"/>
        <v>0.15681724201406952</v>
      </c>
      <c r="D197" t="str">
        <f t="shared" si="10"/>
        <v>No</v>
      </c>
      <c r="E197" s="8">
        <f t="shared" si="11"/>
        <v>0.47619047619047616</v>
      </c>
    </row>
    <row r="198" spans="1:5" ht="18.75" customHeight="1" x14ac:dyDescent="0.3">
      <c r="A198" t="s">
        <v>201</v>
      </c>
      <c r="B198" s="2">
        <v>11</v>
      </c>
      <c r="C198" s="8">
        <f t="shared" si="9"/>
        <v>-1.6585772408712627</v>
      </c>
      <c r="D198" t="str">
        <f t="shared" si="10"/>
        <v>No</v>
      </c>
      <c r="E198" s="8">
        <f t="shared" si="11"/>
        <v>0.17857142857142858</v>
      </c>
    </row>
    <row r="199" spans="1:5" ht="18.75" customHeight="1" x14ac:dyDescent="0.3">
      <c r="A199" t="s">
        <v>202</v>
      </c>
      <c r="B199" s="8">
        <v>12.5</v>
      </c>
      <c r="C199" s="8">
        <f t="shared" si="9"/>
        <v>-1.113958896005663</v>
      </c>
      <c r="D199" t="str">
        <f t="shared" si="10"/>
        <v>No</v>
      </c>
      <c r="E199" s="8">
        <f t="shared" si="11"/>
        <v>0.26785714285714285</v>
      </c>
    </row>
    <row r="200" spans="1:5" ht="18.75" customHeight="1" x14ac:dyDescent="0.3">
      <c r="A200" t="s">
        <v>203</v>
      </c>
      <c r="B200" s="8">
        <v>11.5</v>
      </c>
      <c r="C200" s="8">
        <f t="shared" si="9"/>
        <v>-1.4770377925827296</v>
      </c>
      <c r="D200" t="str">
        <f t="shared" si="10"/>
        <v>No</v>
      </c>
      <c r="E200" s="8">
        <f t="shared" si="11"/>
        <v>0.20833333333333331</v>
      </c>
    </row>
    <row r="201" spans="1:5" ht="18.75" customHeight="1" x14ac:dyDescent="0.3">
      <c r="A201" t="s">
        <v>164</v>
      </c>
      <c r="B201" s="2">
        <v>12</v>
      </c>
      <c r="C201" s="8">
        <f t="shared" si="9"/>
        <v>-1.2954983442941963</v>
      </c>
      <c r="D201" t="str">
        <f t="shared" si="10"/>
        <v>No</v>
      </c>
      <c r="E201" s="8">
        <f t="shared" si="11"/>
        <v>0.23809523809523808</v>
      </c>
    </row>
    <row r="202" spans="1:5" ht="18.75" customHeight="1" x14ac:dyDescent="0.3">
      <c r="A202" t="s">
        <v>165</v>
      </c>
      <c r="B202" s="2">
        <v>12</v>
      </c>
      <c r="C202" s="8">
        <f t="shared" si="9"/>
        <v>-1.2954983442941963</v>
      </c>
      <c r="D202" t="str">
        <f t="shared" si="10"/>
        <v>No</v>
      </c>
      <c r="E202" s="8">
        <f t="shared" si="11"/>
        <v>0.23809523809523808</v>
      </c>
    </row>
    <row r="203" spans="1:5" ht="18.75" customHeight="1" x14ac:dyDescent="0.3">
      <c r="A203" t="s">
        <v>204</v>
      </c>
      <c r="B203" s="8">
        <v>12.5</v>
      </c>
      <c r="C203" s="8">
        <f t="shared" si="9"/>
        <v>-1.113958896005663</v>
      </c>
      <c r="D203" t="str">
        <f t="shared" si="10"/>
        <v>No</v>
      </c>
      <c r="E203" s="8">
        <f t="shared" si="11"/>
        <v>0.26785714285714285</v>
      </c>
    </row>
    <row r="204" spans="1:5" ht="18.75" customHeight="1" x14ac:dyDescent="0.3">
      <c r="A204" t="s">
        <v>172</v>
      </c>
      <c r="B204" s="2">
        <v>13</v>
      </c>
      <c r="C204" s="8">
        <f t="shared" si="9"/>
        <v>-0.93241944771712981</v>
      </c>
      <c r="D204" t="str">
        <f t="shared" si="10"/>
        <v>No</v>
      </c>
      <c r="E204" s="8">
        <f t="shared" si="11"/>
        <v>0.29761904761904762</v>
      </c>
    </row>
    <row r="205" spans="1:5" ht="18.75" customHeight="1" x14ac:dyDescent="0.3">
      <c r="A205" t="s">
        <v>205</v>
      </c>
      <c r="B205" s="2">
        <v>14</v>
      </c>
      <c r="C205" s="8">
        <f t="shared" si="9"/>
        <v>-0.56934055114006343</v>
      </c>
      <c r="D205" t="str">
        <f t="shared" si="10"/>
        <v>No</v>
      </c>
      <c r="E205" s="8">
        <f t="shared" si="11"/>
        <v>0.35714285714285715</v>
      </c>
    </row>
    <row r="206" spans="1:5" ht="18.75" customHeight="1" x14ac:dyDescent="0.3">
      <c r="A206" t="s">
        <v>166</v>
      </c>
      <c r="B206" s="8">
        <v>13.5</v>
      </c>
      <c r="C206" s="8">
        <f t="shared" si="9"/>
        <v>-0.75087999942859662</v>
      </c>
      <c r="D206" t="str">
        <f t="shared" si="10"/>
        <v>No</v>
      </c>
      <c r="E206" s="8">
        <f t="shared" si="11"/>
        <v>0.32738095238095238</v>
      </c>
    </row>
    <row r="207" spans="1:5" ht="18.75" customHeight="1" x14ac:dyDescent="0.3">
      <c r="A207" t="s">
        <v>206</v>
      </c>
      <c r="B207" s="8">
        <v>13.5</v>
      </c>
      <c r="C207" s="8">
        <f t="shared" si="9"/>
        <v>-0.75087999942859662</v>
      </c>
      <c r="D207" t="str">
        <f t="shared" si="10"/>
        <v>No</v>
      </c>
      <c r="E207" s="8">
        <f t="shared" si="11"/>
        <v>0.32738095238095238</v>
      </c>
    </row>
    <row r="208" spans="1:5" ht="18.75" customHeight="1" x14ac:dyDescent="0.3">
      <c r="A208" t="s">
        <v>207</v>
      </c>
      <c r="B208" s="8">
        <v>13.5</v>
      </c>
      <c r="C208" s="8">
        <f t="shared" si="9"/>
        <v>-0.75087999942859662</v>
      </c>
      <c r="D208" t="str">
        <f t="shared" si="10"/>
        <v>No</v>
      </c>
      <c r="E208" s="8">
        <f t="shared" si="11"/>
        <v>0.32738095238095238</v>
      </c>
    </row>
    <row r="209" spans="1:5" ht="18.75" customHeight="1" x14ac:dyDescent="0.3">
      <c r="A209" t="s">
        <v>208</v>
      </c>
      <c r="B209" s="2">
        <v>16</v>
      </c>
      <c r="C209" s="8">
        <f t="shared" si="9"/>
        <v>0.15681724201406952</v>
      </c>
      <c r="D209" t="str">
        <f t="shared" si="10"/>
        <v>No</v>
      </c>
      <c r="E209" s="8">
        <f t="shared" si="11"/>
        <v>0.47619047619047616</v>
      </c>
    </row>
    <row r="210" spans="1:5" ht="18.75" customHeight="1" x14ac:dyDescent="0.3">
      <c r="A210" t="s">
        <v>209</v>
      </c>
      <c r="B210" s="2">
        <v>14</v>
      </c>
      <c r="C210" s="8">
        <f t="shared" si="9"/>
        <v>-0.56934055114006343</v>
      </c>
      <c r="D210" t="str">
        <f t="shared" si="10"/>
        <v>No</v>
      </c>
      <c r="E210" s="8">
        <f t="shared" si="11"/>
        <v>0.35714285714285715</v>
      </c>
    </row>
    <row r="211" spans="1:5" ht="18.75" customHeight="1" x14ac:dyDescent="0.3">
      <c r="A211" t="s">
        <v>185</v>
      </c>
      <c r="B211" s="8">
        <v>18.5</v>
      </c>
      <c r="C211" s="8">
        <f t="shared" si="9"/>
        <v>1.0645144834567357</v>
      </c>
      <c r="D211" t="str">
        <f t="shared" si="10"/>
        <v>No</v>
      </c>
      <c r="E211" s="8">
        <f t="shared" si="11"/>
        <v>0.625</v>
      </c>
    </row>
    <row r="212" spans="1:5" ht="18.75" customHeight="1" x14ac:dyDescent="0.3">
      <c r="A212" t="s">
        <v>198</v>
      </c>
      <c r="B212" s="8">
        <v>19.5</v>
      </c>
      <c r="C212" s="8">
        <f t="shared" si="9"/>
        <v>1.4275933800338021</v>
      </c>
      <c r="D212" t="str">
        <f t="shared" si="10"/>
        <v>No</v>
      </c>
      <c r="E212" s="8">
        <f t="shared" si="11"/>
        <v>0.68452380952380953</v>
      </c>
    </row>
    <row r="213" spans="1:5" ht="18.75" customHeight="1" x14ac:dyDescent="0.3">
      <c r="A213" t="s">
        <v>210</v>
      </c>
      <c r="B213" s="2">
        <v>14</v>
      </c>
      <c r="C213" s="8">
        <f t="shared" si="9"/>
        <v>-0.56934055114006343</v>
      </c>
      <c r="D213" t="str">
        <f t="shared" si="10"/>
        <v>No</v>
      </c>
      <c r="E213" s="8">
        <f t="shared" si="11"/>
        <v>0.35714285714285715</v>
      </c>
    </row>
    <row r="214" spans="1:5" ht="18.75" customHeight="1" x14ac:dyDescent="0.3">
      <c r="A214" t="s">
        <v>160</v>
      </c>
      <c r="B214" s="2">
        <v>15</v>
      </c>
      <c r="C214" s="8">
        <f t="shared" si="9"/>
        <v>-0.20626165456299694</v>
      </c>
      <c r="D214" t="str">
        <f t="shared" si="10"/>
        <v>No</v>
      </c>
      <c r="E214" s="8">
        <f t="shared" si="11"/>
        <v>0.41666666666666663</v>
      </c>
    </row>
    <row r="215" spans="1:5" ht="18.75" customHeight="1" x14ac:dyDescent="0.3">
      <c r="A215" t="s">
        <v>159</v>
      </c>
      <c r="B215" s="2">
        <v>16</v>
      </c>
      <c r="C215" s="8">
        <f t="shared" si="9"/>
        <v>0.15681724201406952</v>
      </c>
      <c r="D215" t="str">
        <f t="shared" si="10"/>
        <v>No</v>
      </c>
      <c r="E215" s="8">
        <f t="shared" si="11"/>
        <v>0.47619047619047616</v>
      </c>
    </row>
    <row r="216" spans="1:5" ht="18.75" customHeight="1" x14ac:dyDescent="0.3">
      <c r="A216" t="s">
        <v>211</v>
      </c>
      <c r="B216" s="8">
        <v>16.5</v>
      </c>
      <c r="C216" s="8">
        <f t="shared" si="9"/>
        <v>0.33835669030260274</v>
      </c>
      <c r="D216" t="str">
        <f t="shared" si="10"/>
        <v>No</v>
      </c>
      <c r="E216" s="8">
        <f t="shared" si="11"/>
        <v>0.50595238095238093</v>
      </c>
    </row>
    <row r="217" spans="1:5" ht="18.75" customHeight="1" x14ac:dyDescent="0.3">
      <c r="A217" t="s">
        <v>161</v>
      </c>
      <c r="B217" s="2">
        <v>16</v>
      </c>
      <c r="C217" s="8">
        <f t="shared" si="9"/>
        <v>0.15681724201406952</v>
      </c>
      <c r="D217" t="str">
        <f t="shared" si="10"/>
        <v>No</v>
      </c>
      <c r="E217" s="8">
        <f t="shared" si="11"/>
        <v>0.47619047619047616</v>
      </c>
    </row>
    <row r="218" spans="1:5" ht="18.75" customHeight="1" x14ac:dyDescent="0.3">
      <c r="A218" t="s">
        <v>212</v>
      </c>
      <c r="B218" s="2">
        <v>18</v>
      </c>
      <c r="C218" s="8">
        <f t="shared" si="9"/>
        <v>0.88297503516820242</v>
      </c>
      <c r="D218" t="str">
        <f t="shared" si="10"/>
        <v>No</v>
      </c>
      <c r="E218" s="8">
        <f t="shared" si="11"/>
        <v>0.59523809523809523</v>
      </c>
    </row>
    <row r="219" spans="1:5" ht="18.75" customHeight="1" x14ac:dyDescent="0.3">
      <c r="A219" t="s">
        <v>162</v>
      </c>
      <c r="B219" s="8">
        <v>16.5</v>
      </c>
      <c r="C219" s="8">
        <f t="shared" si="9"/>
        <v>0.33835669030260274</v>
      </c>
      <c r="D219" t="str">
        <f t="shared" si="10"/>
        <v>No</v>
      </c>
      <c r="E219" s="8">
        <f t="shared" si="11"/>
        <v>0.50595238095238093</v>
      </c>
    </row>
    <row r="220" spans="1:5" ht="18.75" customHeight="1" x14ac:dyDescent="0.3">
      <c r="A220" t="s">
        <v>213</v>
      </c>
      <c r="B220" s="8">
        <v>9.5</v>
      </c>
      <c r="C220" s="8">
        <f t="shared" si="9"/>
        <v>-2.2031955857368626</v>
      </c>
      <c r="D220" t="str">
        <f t="shared" si="10"/>
        <v>Yes</v>
      </c>
      <c r="E220" s="8">
        <f t="shared" si="11"/>
        <v>8.9285714285714288E-2</v>
      </c>
    </row>
    <row r="221" spans="1:5" ht="18.75" customHeight="1" x14ac:dyDescent="0.3">
      <c r="A221" t="s">
        <v>214</v>
      </c>
      <c r="B221" s="2">
        <v>11</v>
      </c>
      <c r="C221" s="8">
        <f t="shared" si="9"/>
        <v>-1.6585772408712627</v>
      </c>
      <c r="D221" t="str">
        <f t="shared" si="10"/>
        <v>No</v>
      </c>
      <c r="E221" s="8">
        <f t="shared" si="11"/>
        <v>0.17857142857142858</v>
      </c>
    </row>
    <row r="222" spans="1:5" ht="18.75" customHeight="1" x14ac:dyDescent="0.3">
      <c r="A222" t="s">
        <v>215</v>
      </c>
      <c r="B222" s="2">
        <v>11</v>
      </c>
      <c r="C222" s="8">
        <f t="shared" si="9"/>
        <v>-1.6585772408712627</v>
      </c>
      <c r="D222" t="str">
        <f t="shared" si="10"/>
        <v>No</v>
      </c>
      <c r="E222" s="8">
        <f t="shared" si="11"/>
        <v>0.17857142857142858</v>
      </c>
    </row>
    <row r="223" spans="1:5" ht="18.75" customHeight="1" x14ac:dyDescent="0.3">
      <c r="A223" t="s">
        <v>216</v>
      </c>
      <c r="B223" s="2">
        <v>11</v>
      </c>
      <c r="C223" s="8">
        <f t="shared" si="9"/>
        <v>-1.6585772408712627</v>
      </c>
      <c r="D223" t="str">
        <f t="shared" si="10"/>
        <v>No</v>
      </c>
      <c r="E223" s="8">
        <f t="shared" si="11"/>
        <v>0.17857142857142858</v>
      </c>
    </row>
    <row r="224" spans="1:5" ht="18.75" customHeight="1" x14ac:dyDescent="0.3">
      <c r="A224" t="s">
        <v>217</v>
      </c>
      <c r="B224" s="2">
        <v>11</v>
      </c>
      <c r="C224" s="8">
        <f t="shared" si="9"/>
        <v>-1.6585772408712627</v>
      </c>
      <c r="D224" t="str">
        <f t="shared" si="10"/>
        <v>No</v>
      </c>
      <c r="E224" s="8">
        <f t="shared" si="11"/>
        <v>0.17857142857142858</v>
      </c>
    </row>
    <row r="225" spans="1:5" ht="18.75" customHeight="1" x14ac:dyDescent="0.3">
      <c r="A225" t="s">
        <v>218</v>
      </c>
      <c r="B225" s="2">
        <v>11</v>
      </c>
      <c r="C225" s="8">
        <f t="shared" si="9"/>
        <v>-1.6585772408712627</v>
      </c>
      <c r="D225" t="str">
        <f t="shared" si="10"/>
        <v>No</v>
      </c>
      <c r="E225" s="8">
        <f t="shared" si="11"/>
        <v>0.17857142857142858</v>
      </c>
    </row>
    <row r="226" spans="1:5" ht="18.75" customHeight="1" x14ac:dyDescent="0.3">
      <c r="A226" t="s">
        <v>219</v>
      </c>
      <c r="B226" s="2">
        <v>13</v>
      </c>
      <c r="C226" s="8">
        <f t="shared" si="9"/>
        <v>-0.93241944771712981</v>
      </c>
      <c r="D226" t="str">
        <f t="shared" si="10"/>
        <v>No</v>
      </c>
      <c r="E226" s="8">
        <f t="shared" si="11"/>
        <v>0.29761904761904762</v>
      </c>
    </row>
    <row r="227" spans="1:5" ht="18.75" customHeight="1" x14ac:dyDescent="0.3">
      <c r="A227" t="s">
        <v>189</v>
      </c>
      <c r="B227" s="8">
        <v>11.5</v>
      </c>
      <c r="C227" s="8">
        <f t="shared" si="9"/>
        <v>-1.4770377925827296</v>
      </c>
      <c r="D227" t="str">
        <f t="shared" si="10"/>
        <v>No</v>
      </c>
      <c r="E227" s="8">
        <f t="shared" si="11"/>
        <v>0.20833333333333331</v>
      </c>
    </row>
    <row r="228" spans="1:5" ht="18.75" customHeight="1" x14ac:dyDescent="0.3">
      <c r="A228" t="s">
        <v>220</v>
      </c>
      <c r="B228" s="8">
        <v>11.5</v>
      </c>
      <c r="C228" s="8">
        <f t="shared" si="9"/>
        <v>-1.4770377925827296</v>
      </c>
      <c r="D228" t="str">
        <f t="shared" si="10"/>
        <v>No</v>
      </c>
      <c r="E228" s="8">
        <f t="shared" si="11"/>
        <v>0.20833333333333331</v>
      </c>
    </row>
    <row r="229" spans="1:5" ht="18.75" customHeight="1" x14ac:dyDescent="0.3">
      <c r="A229" t="s">
        <v>221</v>
      </c>
      <c r="B229" s="8">
        <v>12.5</v>
      </c>
      <c r="C229" s="8">
        <f t="shared" si="9"/>
        <v>-1.113958896005663</v>
      </c>
      <c r="D229" t="str">
        <f t="shared" si="10"/>
        <v>No</v>
      </c>
      <c r="E229" s="8">
        <f t="shared" si="11"/>
        <v>0.26785714285714285</v>
      </c>
    </row>
    <row r="230" spans="1:5" ht="18.75" customHeight="1" x14ac:dyDescent="0.3">
      <c r="A230" t="s">
        <v>222</v>
      </c>
      <c r="B230" s="8">
        <v>12.5</v>
      </c>
      <c r="C230" s="8">
        <f t="shared" si="9"/>
        <v>-1.113958896005663</v>
      </c>
      <c r="D230" t="str">
        <f t="shared" si="10"/>
        <v>No</v>
      </c>
      <c r="E230" s="8">
        <f t="shared" si="11"/>
        <v>0.26785714285714285</v>
      </c>
    </row>
    <row r="231" spans="1:5" ht="18.75" customHeight="1" x14ac:dyDescent="0.3">
      <c r="A231" t="s">
        <v>223</v>
      </c>
      <c r="B231" s="2">
        <v>13</v>
      </c>
      <c r="C231" s="8">
        <f t="shared" si="9"/>
        <v>-0.93241944771712981</v>
      </c>
      <c r="D231" t="str">
        <f t="shared" si="10"/>
        <v>No</v>
      </c>
      <c r="E231" s="8">
        <f t="shared" si="11"/>
        <v>0.29761904761904762</v>
      </c>
    </row>
    <row r="232" spans="1:5" ht="18.75" customHeight="1" x14ac:dyDescent="0.3">
      <c r="A232" t="s">
        <v>224</v>
      </c>
      <c r="B232" s="2">
        <v>13</v>
      </c>
      <c r="C232" s="8">
        <f t="shared" si="9"/>
        <v>-0.93241944771712981</v>
      </c>
      <c r="D232" t="str">
        <f t="shared" si="10"/>
        <v>No</v>
      </c>
      <c r="E232" s="8">
        <f t="shared" si="11"/>
        <v>0.29761904761904762</v>
      </c>
    </row>
    <row r="233" spans="1:5" ht="18.75" customHeight="1" x14ac:dyDescent="0.3">
      <c r="A233" t="s">
        <v>225</v>
      </c>
      <c r="B233" s="2">
        <v>13</v>
      </c>
      <c r="C233" s="8">
        <f t="shared" si="9"/>
        <v>-0.93241944771712981</v>
      </c>
      <c r="D233" t="str">
        <f t="shared" si="10"/>
        <v>No</v>
      </c>
      <c r="E233" s="8">
        <f t="shared" si="11"/>
        <v>0.29761904761904762</v>
      </c>
    </row>
    <row r="234" spans="1:5" ht="18.75" customHeight="1" x14ac:dyDescent="0.3">
      <c r="A234" t="s">
        <v>226</v>
      </c>
      <c r="B234" s="2">
        <v>13</v>
      </c>
      <c r="C234" s="8">
        <f t="shared" si="9"/>
        <v>-0.93241944771712981</v>
      </c>
      <c r="D234" t="str">
        <f t="shared" si="10"/>
        <v>No</v>
      </c>
      <c r="E234" s="8">
        <f t="shared" si="11"/>
        <v>0.29761904761904762</v>
      </c>
    </row>
    <row r="235" spans="1:5" ht="18.75" customHeight="1" x14ac:dyDescent="0.3">
      <c r="A235" t="s">
        <v>227</v>
      </c>
      <c r="B235" s="8">
        <v>14.5</v>
      </c>
      <c r="C235" s="8">
        <f t="shared" si="9"/>
        <v>-0.38780110285153013</v>
      </c>
      <c r="D235" t="str">
        <f t="shared" si="10"/>
        <v>No</v>
      </c>
      <c r="E235" s="8">
        <f t="shared" si="11"/>
        <v>0.38690476190476186</v>
      </c>
    </row>
    <row r="236" spans="1:5" ht="18.75" customHeight="1" x14ac:dyDescent="0.3">
      <c r="A236" t="s">
        <v>228</v>
      </c>
      <c r="B236" s="8">
        <v>12.5</v>
      </c>
      <c r="C236" s="8">
        <f t="shared" si="9"/>
        <v>-1.113958896005663</v>
      </c>
      <c r="D236" t="str">
        <f t="shared" si="10"/>
        <v>No</v>
      </c>
      <c r="E236" s="8">
        <f t="shared" si="11"/>
        <v>0.26785714285714285</v>
      </c>
    </row>
    <row r="237" spans="1:5" ht="18.75" customHeight="1" x14ac:dyDescent="0.3">
      <c r="A237" t="s">
        <v>229</v>
      </c>
      <c r="B237" s="8">
        <v>14.5</v>
      </c>
      <c r="C237" s="8">
        <f t="shared" si="9"/>
        <v>-0.38780110285153013</v>
      </c>
      <c r="D237" t="str">
        <f t="shared" si="10"/>
        <v>No</v>
      </c>
      <c r="E237" s="8">
        <f t="shared" si="11"/>
        <v>0.38690476190476186</v>
      </c>
    </row>
    <row r="238" spans="1:5" ht="18.75" customHeight="1" x14ac:dyDescent="0.3">
      <c r="A238" t="s">
        <v>230</v>
      </c>
      <c r="B238" s="2">
        <v>12</v>
      </c>
      <c r="C238" s="8">
        <f t="shared" si="9"/>
        <v>-1.2954983442941963</v>
      </c>
      <c r="D238" t="str">
        <f t="shared" si="10"/>
        <v>No</v>
      </c>
      <c r="E238" s="8">
        <f t="shared" si="11"/>
        <v>0.23809523809523808</v>
      </c>
    </row>
    <row r="239" spans="1:5" ht="18.75" customHeight="1" x14ac:dyDescent="0.3">
      <c r="A239" t="s">
        <v>165</v>
      </c>
      <c r="B239" s="2">
        <v>14</v>
      </c>
      <c r="C239" s="8">
        <f t="shared" si="9"/>
        <v>-0.56934055114006343</v>
      </c>
      <c r="D239" t="str">
        <f t="shared" si="10"/>
        <v>No</v>
      </c>
      <c r="E239" s="8">
        <f t="shared" si="11"/>
        <v>0.35714285714285715</v>
      </c>
    </row>
    <row r="240" spans="1:5" ht="18.75" customHeight="1" x14ac:dyDescent="0.3">
      <c r="A240" t="s">
        <v>231</v>
      </c>
      <c r="B240" s="8">
        <v>14.5</v>
      </c>
      <c r="C240" s="8">
        <f t="shared" si="9"/>
        <v>-0.38780110285153013</v>
      </c>
      <c r="D240" t="str">
        <f t="shared" si="10"/>
        <v>No</v>
      </c>
      <c r="E240" s="8">
        <f t="shared" si="11"/>
        <v>0.38690476190476186</v>
      </c>
    </row>
    <row r="241" spans="1:5" ht="18.75" customHeight="1" x14ac:dyDescent="0.3">
      <c r="A241" t="s">
        <v>185</v>
      </c>
      <c r="B241" s="8">
        <v>16.5</v>
      </c>
      <c r="C241" s="8">
        <f t="shared" si="9"/>
        <v>0.33835669030260274</v>
      </c>
      <c r="D241" t="str">
        <f t="shared" si="10"/>
        <v>No</v>
      </c>
      <c r="E241" s="8">
        <f t="shared" si="11"/>
        <v>0.50595238095238093</v>
      </c>
    </row>
    <row r="242" spans="1:5" ht="18.75" customHeight="1" x14ac:dyDescent="0.3">
      <c r="A242" t="s">
        <v>198</v>
      </c>
      <c r="B242" s="2">
        <v>17</v>
      </c>
      <c r="C242" s="8">
        <f t="shared" si="9"/>
        <v>0.51989613859113593</v>
      </c>
      <c r="D242" t="str">
        <f t="shared" si="10"/>
        <v>No</v>
      </c>
      <c r="E242" s="8">
        <f t="shared" si="11"/>
        <v>0.5357142857142857</v>
      </c>
    </row>
    <row r="243" spans="1:5" ht="18.75" customHeight="1" x14ac:dyDescent="0.3">
      <c r="A243" t="s">
        <v>159</v>
      </c>
      <c r="B243" s="2">
        <v>16</v>
      </c>
      <c r="C243" s="8">
        <f t="shared" si="9"/>
        <v>0.15681724201406952</v>
      </c>
      <c r="D243" t="str">
        <f t="shared" si="10"/>
        <v>No</v>
      </c>
      <c r="E243" s="8">
        <f t="shared" si="11"/>
        <v>0.47619047619047616</v>
      </c>
    </row>
    <row r="244" spans="1:5" ht="18.75" customHeight="1" x14ac:dyDescent="0.3">
      <c r="A244" t="s">
        <v>161</v>
      </c>
      <c r="B244" s="8">
        <v>16.5</v>
      </c>
      <c r="C244" s="8">
        <f t="shared" si="9"/>
        <v>0.33835669030260274</v>
      </c>
      <c r="D244" t="str">
        <f t="shared" si="10"/>
        <v>No</v>
      </c>
      <c r="E244" s="8">
        <f t="shared" si="11"/>
        <v>0.50595238095238093</v>
      </c>
    </row>
    <row r="245" spans="1:5" ht="18.75" customHeight="1" x14ac:dyDescent="0.3">
      <c r="A245" t="s">
        <v>189</v>
      </c>
      <c r="B245" s="2">
        <v>18</v>
      </c>
      <c r="C245" s="8">
        <f t="shared" si="9"/>
        <v>0.88297503516820242</v>
      </c>
      <c r="D245" t="str">
        <f t="shared" si="10"/>
        <v>No</v>
      </c>
      <c r="E245" s="8">
        <f t="shared" si="11"/>
        <v>0.59523809523809523</v>
      </c>
    </row>
    <row r="246" spans="1:5" ht="18.75" customHeight="1" x14ac:dyDescent="0.3">
      <c r="A246" t="s">
        <v>232</v>
      </c>
      <c r="B246" s="2">
        <v>17</v>
      </c>
      <c r="C246" s="8">
        <f t="shared" si="9"/>
        <v>0.51989613859113593</v>
      </c>
      <c r="D246" t="str">
        <f t="shared" si="10"/>
        <v>No</v>
      </c>
      <c r="E246" s="8">
        <f t="shared" si="11"/>
        <v>0.5357142857142857</v>
      </c>
    </row>
    <row r="247" spans="1:5" ht="18.75" customHeight="1" x14ac:dyDescent="0.3">
      <c r="A247" t="s">
        <v>233</v>
      </c>
      <c r="B247" s="8">
        <v>16.5</v>
      </c>
      <c r="C247" s="8">
        <f t="shared" si="9"/>
        <v>0.33835669030260274</v>
      </c>
      <c r="D247" t="str">
        <f t="shared" si="10"/>
        <v>No</v>
      </c>
      <c r="E247" s="8">
        <f t="shared" si="11"/>
        <v>0.50595238095238093</v>
      </c>
    </row>
    <row r="248" spans="1:5" ht="18.75" customHeight="1" x14ac:dyDescent="0.3">
      <c r="A248" t="s">
        <v>234</v>
      </c>
      <c r="B248" s="2">
        <v>17</v>
      </c>
      <c r="C248" s="8">
        <f t="shared" si="9"/>
        <v>0.51989613859113593</v>
      </c>
      <c r="D248" t="str">
        <f t="shared" si="10"/>
        <v>No</v>
      </c>
      <c r="E248" s="8">
        <f t="shared" si="11"/>
        <v>0.5357142857142857</v>
      </c>
    </row>
    <row r="249" spans="1:5" ht="18.75" customHeight="1" x14ac:dyDescent="0.3">
      <c r="A249" t="s">
        <v>162</v>
      </c>
      <c r="B249" s="2">
        <v>17</v>
      </c>
      <c r="C249" s="8">
        <f t="shared" si="9"/>
        <v>0.51989613859113593</v>
      </c>
      <c r="D249" t="str">
        <f t="shared" si="10"/>
        <v>No</v>
      </c>
      <c r="E249" s="8">
        <f t="shared" si="11"/>
        <v>0.5357142857142857</v>
      </c>
    </row>
    <row r="250" spans="1:5" ht="18.75" customHeight="1" x14ac:dyDescent="0.3">
      <c r="A250" t="s">
        <v>204</v>
      </c>
      <c r="B250" s="8">
        <v>15.5</v>
      </c>
      <c r="C250" s="8">
        <f t="shared" si="9"/>
        <v>-2.4722206274463705E-2</v>
      </c>
      <c r="D250" t="str">
        <f t="shared" si="10"/>
        <v>No</v>
      </c>
      <c r="E250" s="8">
        <f t="shared" si="11"/>
        <v>0.4464285714285714</v>
      </c>
    </row>
    <row r="251" spans="1:5" ht="18.75" customHeight="1" x14ac:dyDescent="0.3">
      <c r="A251" t="s">
        <v>229</v>
      </c>
      <c r="B251" s="2">
        <v>14</v>
      </c>
      <c r="C251" s="8">
        <f t="shared" si="9"/>
        <v>-0.56934055114006343</v>
      </c>
      <c r="D251" t="str">
        <f t="shared" si="10"/>
        <v>No</v>
      </c>
      <c r="E251" s="8">
        <f t="shared" si="11"/>
        <v>0.35714285714285715</v>
      </c>
    </row>
    <row r="252" spans="1:5" ht="18.75" customHeight="1" x14ac:dyDescent="0.3">
      <c r="A252" t="s">
        <v>235</v>
      </c>
      <c r="B252" s="8">
        <v>13.5</v>
      </c>
      <c r="C252" s="8">
        <f t="shared" si="9"/>
        <v>-0.75087999942859662</v>
      </c>
      <c r="D252" t="str">
        <f t="shared" si="10"/>
        <v>No</v>
      </c>
      <c r="E252" s="8">
        <f t="shared" si="11"/>
        <v>0.32738095238095238</v>
      </c>
    </row>
    <row r="253" spans="1:5" ht="18.75" customHeight="1" x14ac:dyDescent="0.3">
      <c r="A253" t="s">
        <v>236</v>
      </c>
      <c r="B253" s="8">
        <v>14.5</v>
      </c>
      <c r="C253" s="8">
        <f t="shared" si="9"/>
        <v>-0.38780110285153013</v>
      </c>
      <c r="D253" t="str">
        <f t="shared" si="10"/>
        <v>No</v>
      </c>
      <c r="E253" s="8">
        <f t="shared" si="11"/>
        <v>0.38690476190476186</v>
      </c>
    </row>
    <row r="254" spans="1:5" ht="18.75" customHeight="1" x14ac:dyDescent="0.3">
      <c r="A254" t="s">
        <v>208</v>
      </c>
      <c r="B254" s="2">
        <v>16</v>
      </c>
      <c r="C254" s="8">
        <f t="shared" si="9"/>
        <v>0.15681724201406952</v>
      </c>
      <c r="D254" t="str">
        <f t="shared" si="10"/>
        <v>No</v>
      </c>
      <c r="E254" s="8">
        <f t="shared" si="11"/>
        <v>0.47619047619047616</v>
      </c>
    </row>
    <row r="255" spans="1:5" ht="18.75" customHeight="1" x14ac:dyDescent="0.3">
      <c r="A255" t="s">
        <v>185</v>
      </c>
      <c r="B255" s="2">
        <v>17</v>
      </c>
      <c r="C255" s="8">
        <f t="shared" si="9"/>
        <v>0.51989613859113593</v>
      </c>
      <c r="D255" t="str">
        <f t="shared" si="10"/>
        <v>No</v>
      </c>
      <c r="E255" s="8">
        <f t="shared" si="11"/>
        <v>0.5357142857142857</v>
      </c>
    </row>
    <row r="256" spans="1:5" ht="18.75" customHeight="1" x14ac:dyDescent="0.3">
      <c r="A256" t="s">
        <v>237</v>
      </c>
      <c r="B256" s="8">
        <v>18.5</v>
      </c>
      <c r="C256" s="8">
        <f t="shared" si="9"/>
        <v>1.0645144834567357</v>
      </c>
      <c r="D256" t="str">
        <f t="shared" si="10"/>
        <v>No</v>
      </c>
      <c r="E256" s="8">
        <f t="shared" si="11"/>
        <v>0.625</v>
      </c>
    </row>
    <row r="257" spans="1:5" ht="18.75" customHeight="1" x14ac:dyDescent="0.3">
      <c r="A257" t="s">
        <v>238</v>
      </c>
      <c r="B257" s="2">
        <v>15</v>
      </c>
      <c r="C257" s="8">
        <f t="shared" si="9"/>
        <v>-0.20626165456299694</v>
      </c>
      <c r="D257" t="str">
        <f t="shared" si="10"/>
        <v>No</v>
      </c>
      <c r="E257" s="8">
        <f t="shared" si="11"/>
        <v>0.41666666666666663</v>
      </c>
    </row>
    <row r="258" spans="1:5" ht="18.75" customHeight="1" x14ac:dyDescent="0.3">
      <c r="A258" t="s">
        <v>160</v>
      </c>
      <c r="B258" s="2">
        <v>16</v>
      </c>
      <c r="C258" s="8">
        <f t="shared" ref="C258:C321" si="12">IFERROR((B258-$H$3)/$I$3,"")</f>
        <v>0.15681724201406952</v>
      </c>
      <c r="D258" t="str">
        <f t="shared" ref="D258:D321" si="13">IF(ABS(C258)&gt;2,"Yes","No")</f>
        <v>No</v>
      </c>
      <c r="E258" s="8">
        <f t="shared" ref="E258:E321" si="14">IFERROR((B258-$K$3) / ($L$3-$K$3),"")</f>
        <v>0.47619047619047616</v>
      </c>
    </row>
    <row r="259" spans="1:5" ht="18.75" customHeight="1" x14ac:dyDescent="0.3">
      <c r="A259" t="s">
        <v>185</v>
      </c>
      <c r="B259" s="8">
        <v>14.5</v>
      </c>
      <c r="C259" s="8">
        <f t="shared" si="12"/>
        <v>-0.38780110285153013</v>
      </c>
      <c r="D259" t="str">
        <f t="shared" si="13"/>
        <v>No</v>
      </c>
      <c r="E259" s="8">
        <f t="shared" si="14"/>
        <v>0.38690476190476186</v>
      </c>
    </row>
    <row r="260" spans="1:5" ht="18.75" customHeight="1" x14ac:dyDescent="0.3">
      <c r="A260" t="s">
        <v>232</v>
      </c>
      <c r="B260" s="2">
        <v>16</v>
      </c>
      <c r="C260" s="8">
        <f t="shared" si="12"/>
        <v>0.15681724201406952</v>
      </c>
      <c r="D260" t="str">
        <f t="shared" si="13"/>
        <v>No</v>
      </c>
      <c r="E260" s="8">
        <f t="shared" si="14"/>
        <v>0.47619047619047616</v>
      </c>
    </row>
    <row r="261" spans="1:5" ht="18.75" customHeight="1" x14ac:dyDescent="0.3">
      <c r="A261" t="s">
        <v>189</v>
      </c>
      <c r="B261" s="2">
        <v>19</v>
      </c>
      <c r="C261" s="8">
        <f t="shared" si="12"/>
        <v>1.2460539317452688</v>
      </c>
      <c r="D261" t="str">
        <f t="shared" si="13"/>
        <v>No</v>
      </c>
      <c r="E261" s="8">
        <f t="shared" si="14"/>
        <v>0.65476190476190477</v>
      </c>
    </row>
    <row r="262" spans="1:5" ht="18.75" customHeight="1" x14ac:dyDescent="0.3">
      <c r="A262" t="s">
        <v>239</v>
      </c>
      <c r="B262" s="2">
        <v>16</v>
      </c>
      <c r="C262" s="8">
        <f t="shared" si="12"/>
        <v>0.15681724201406952</v>
      </c>
      <c r="D262" t="str">
        <f t="shared" si="13"/>
        <v>No</v>
      </c>
      <c r="E262" s="8">
        <f t="shared" si="14"/>
        <v>0.47619047619047616</v>
      </c>
    </row>
    <row r="263" spans="1:5" ht="18.75" customHeight="1" x14ac:dyDescent="0.3">
      <c r="A263" t="s">
        <v>240</v>
      </c>
      <c r="B263" s="2">
        <v>21</v>
      </c>
      <c r="C263" s="8">
        <f t="shared" si="12"/>
        <v>1.9722117248994018</v>
      </c>
      <c r="D263" t="str">
        <f t="shared" si="13"/>
        <v>No</v>
      </c>
      <c r="E263" s="8">
        <f t="shared" si="14"/>
        <v>0.77380952380952372</v>
      </c>
    </row>
    <row r="264" spans="1:5" ht="18.75" customHeight="1" x14ac:dyDescent="0.3">
      <c r="A264" t="s">
        <v>241</v>
      </c>
      <c r="B264" s="2">
        <v>17</v>
      </c>
      <c r="C264" s="8">
        <f t="shared" si="12"/>
        <v>0.51989613859113593</v>
      </c>
      <c r="D264" t="str">
        <f t="shared" si="13"/>
        <v>No</v>
      </c>
      <c r="E264" s="8">
        <f t="shared" si="14"/>
        <v>0.5357142857142857</v>
      </c>
    </row>
    <row r="265" spans="1:5" ht="18.75" customHeight="1" x14ac:dyDescent="0.3">
      <c r="A265" t="s">
        <v>242</v>
      </c>
      <c r="B265" s="8">
        <v>18.5</v>
      </c>
      <c r="C265" s="8">
        <f t="shared" si="12"/>
        <v>1.0645144834567357</v>
      </c>
      <c r="D265" t="str">
        <f t="shared" si="13"/>
        <v>No</v>
      </c>
      <c r="E265" s="8">
        <f t="shared" si="14"/>
        <v>0.625</v>
      </c>
    </row>
    <row r="266" spans="1:5" ht="18.75" customHeight="1" x14ac:dyDescent="0.3">
      <c r="A266" t="s">
        <v>243</v>
      </c>
      <c r="B266" s="2">
        <v>19</v>
      </c>
      <c r="C266" s="8">
        <f t="shared" si="12"/>
        <v>1.2460539317452688</v>
      </c>
      <c r="D266" t="str">
        <f t="shared" si="13"/>
        <v>No</v>
      </c>
      <c r="E266" s="8">
        <f t="shared" si="14"/>
        <v>0.65476190476190477</v>
      </c>
    </row>
    <row r="267" spans="1:5" ht="18.75" customHeight="1" x14ac:dyDescent="0.3">
      <c r="A267" t="s">
        <v>162</v>
      </c>
      <c r="B267" s="8">
        <v>19.5</v>
      </c>
      <c r="C267" s="8">
        <f t="shared" si="12"/>
        <v>1.4275933800338021</v>
      </c>
      <c r="D267" t="str">
        <f t="shared" si="13"/>
        <v>No</v>
      </c>
      <c r="E267" s="8">
        <f t="shared" si="14"/>
        <v>0.68452380952380953</v>
      </c>
    </row>
    <row r="268" spans="1:5" ht="18.75" customHeight="1" x14ac:dyDescent="0.3">
      <c r="A268" t="s">
        <v>244</v>
      </c>
      <c r="B268" s="2">
        <v>21</v>
      </c>
      <c r="C268" s="8">
        <f t="shared" si="12"/>
        <v>1.9722117248994018</v>
      </c>
      <c r="D268" t="str">
        <f t="shared" si="13"/>
        <v>No</v>
      </c>
      <c r="E268" s="8">
        <f t="shared" si="14"/>
        <v>0.77380952380952372</v>
      </c>
    </row>
    <row r="269" spans="1:5" ht="18.75" customHeight="1" x14ac:dyDescent="0.3">
      <c r="A269" t="s">
        <v>245</v>
      </c>
      <c r="B269" s="2">
        <v>12</v>
      </c>
      <c r="C269" s="8">
        <f t="shared" si="12"/>
        <v>-1.2954983442941963</v>
      </c>
      <c r="D269" t="str">
        <f t="shared" si="13"/>
        <v>No</v>
      </c>
      <c r="E269" s="8">
        <f t="shared" si="14"/>
        <v>0.23809523809523808</v>
      </c>
    </row>
    <row r="270" spans="1:5" ht="18.75" customHeight="1" x14ac:dyDescent="0.3">
      <c r="A270" t="s">
        <v>164</v>
      </c>
      <c r="B270" s="8">
        <v>11.5</v>
      </c>
      <c r="C270" s="8">
        <f t="shared" si="12"/>
        <v>-1.4770377925827296</v>
      </c>
      <c r="D270" t="str">
        <f t="shared" si="13"/>
        <v>No</v>
      </c>
      <c r="E270" s="8">
        <f t="shared" si="14"/>
        <v>0.20833333333333331</v>
      </c>
    </row>
    <row r="271" spans="1:5" ht="18.75" customHeight="1" x14ac:dyDescent="0.3">
      <c r="A271" t="s">
        <v>246</v>
      </c>
      <c r="B271" s="8">
        <v>13.5</v>
      </c>
      <c r="C271" s="8">
        <f t="shared" si="12"/>
        <v>-0.75087999942859662</v>
      </c>
      <c r="D271" t="str">
        <f t="shared" si="13"/>
        <v>No</v>
      </c>
      <c r="E271" s="8">
        <f t="shared" si="14"/>
        <v>0.32738095238095238</v>
      </c>
    </row>
    <row r="272" spans="1:5" ht="18.75" customHeight="1" x14ac:dyDescent="0.3">
      <c r="A272" t="s">
        <v>247</v>
      </c>
      <c r="B272" s="8">
        <v>14.5</v>
      </c>
      <c r="C272" s="8">
        <f t="shared" si="12"/>
        <v>-0.38780110285153013</v>
      </c>
      <c r="D272" t="str">
        <f t="shared" si="13"/>
        <v>No</v>
      </c>
      <c r="E272" s="8">
        <f t="shared" si="14"/>
        <v>0.38690476190476186</v>
      </c>
    </row>
    <row r="273" spans="1:5" ht="18.75" customHeight="1" x14ac:dyDescent="0.3">
      <c r="A273" t="s">
        <v>248</v>
      </c>
      <c r="B273" s="2">
        <v>14</v>
      </c>
      <c r="C273" s="8">
        <f t="shared" si="12"/>
        <v>-0.56934055114006343</v>
      </c>
      <c r="D273" t="str">
        <f t="shared" si="13"/>
        <v>No</v>
      </c>
      <c r="E273" s="8">
        <f t="shared" si="14"/>
        <v>0.35714285714285715</v>
      </c>
    </row>
    <row r="274" spans="1:5" ht="18.75" customHeight="1" x14ac:dyDescent="0.3">
      <c r="A274" t="s">
        <v>225</v>
      </c>
      <c r="B274" s="8">
        <v>13.5</v>
      </c>
      <c r="C274" s="8">
        <f t="shared" si="12"/>
        <v>-0.75087999942859662</v>
      </c>
      <c r="D274" t="str">
        <f t="shared" si="13"/>
        <v>No</v>
      </c>
      <c r="E274" s="8">
        <f t="shared" si="14"/>
        <v>0.32738095238095238</v>
      </c>
    </row>
    <row r="275" spans="1:5" ht="18.75" customHeight="1" x14ac:dyDescent="0.3">
      <c r="A275" t="s">
        <v>249</v>
      </c>
      <c r="B275" s="8">
        <v>14.9</v>
      </c>
      <c r="C275" s="8">
        <f t="shared" si="12"/>
        <v>-0.24256954422070345</v>
      </c>
      <c r="D275" t="str">
        <f t="shared" si="13"/>
        <v>No</v>
      </c>
      <c r="E275" s="8">
        <f t="shared" si="14"/>
        <v>0.4107142857142857</v>
      </c>
    </row>
    <row r="276" spans="1:5" ht="18.75" customHeight="1" x14ac:dyDescent="0.3">
      <c r="A276" t="s">
        <v>231</v>
      </c>
      <c r="B276" s="8">
        <v>17.7</v>
      </c>
      <c r="C276" s="8">
        <f t="shared" si="12"/>
        <v>0.77405136619508219</v>
      </c>
      <c r="D276" t="str">
        <f t="shared" si="13"/>
        <v>No</v>
      </c>
      <c r="E276" s="8">
        <f t="shared" si="14"/>
        <v>0.57738095238095233</v>
      </c>
    </row>
    <row r="277" spans="1:5" ht="18.75" customHeight="1" x14ac:dyDescent="0.3">
      <c r="A277" t="s">
        <v>185</v>
      </c>
      <c r="B277" s="8">
        <v>13.6</v>
      </c>
      <c r="C277" s="8">
        <f t="shared" si="12"/>
        <v>-0.71457210977089014</v>
      </c>
      <c r="D277" t="str">
        <f t="shared" si="13"/>
        <v>No</v>
      </c>
      <c r="E277" s="8">
        <f t="shared" si="14"/>
        <v>0.33333333333333331</v>
      </c>
    </row>
    <row r="278" spans="1:5" ht="18.75" customHeight="1" x14ac:dyDescent="0.3">
      <c r="A278" t="s">
        <v>250</v>
      </c>
      <c r="B278" s="8">
        <v>22.1</v>
      </c>
      <c r="C278" s="8">
        <f t="shared" si="12"/>
        <v>2.3715985111341755</v>
      </c>
      <c r="D278" t="str">
        <f t="shared" si="13"/>
        <v>Yes</v>
      </c>
      <c r="E278" s="8">
        <f t="shared" si="14"/>
        <v>0.8392857142857143</v>
      </c>
    </row>
    <row r="279" spans="1:5" ht="18.75" customHeight="1" x14ac:dyDescent="0.3">
      <c r="A279" t="s">
        <v>251</v>
      </c>
      <c r="B279" s="8">
        <v>22.2</v>
      </c>
      <c r="C279" s="8">
        <f t="shared" si="12"/>
        <v>2.4079064007918811</v>
      </c>
      <c r="D279" t="str">
        <f t="shared" si="13"/>
        <v>Yes</v>
      </c>
      <c r="E279" s="8">
        <f t="shared" si="14"/>
        <v>0.84523809523809512</v>
      </c>
    </row>
    <row r="280" spans="1:5" ht="18.75" customHeight="1" x14ac:dyDescent="0.3">
      <c r="A280" t="s">
        <v>232</v>
      </c>
      <c r="B280" s="8">
        <v>14.5</v>
      </c>
      <c r="C280" s="8">
        <f t="shared" si="12"/>
        <v>-0.38780110285153013</v>
      </c>
      <c r="D280" t="str">
        <f t="shared" si="13"/>
        <v>No</v>
      </c>
      <c r="E280" s="8">
        <f t="shared" si="14"/>
        <v>0.38690476190476186</v>
      </c>
    </row>
    <row r="281" spans="1:5" ht="18.75" customHeight="1" x14ac:dyDescent="0.3">
      <c r="A281" t="s">
        <v>211</v>
      </c>
      <c r="B281" s="8">
        <v>15.4</v>
      </c>
      <c r="C281" s="8">
        <f t="shared" si="12"/>
        <v>-6.1030095932170222E-2</v>
      </c>
      <c r="D281" t="str">
        <f t="shared" si="13"/>
        <v>No</v>
      </c>
      <c r="E281" s="8">
        <f t="shared" si="14"/>
        <v>0.44047619047619047</v>
      </c>
    </row>
    <row r="282" spans="1:5" ht="18.75" customHeight="1" x14ac:dyDescent="0.3">
      <c r="A282" t="s">
        <v>252</v>
      </c>
      <c r="B282" s="8">
        <v>16.2</v>
      </c>
      <c r="C282" s="8">
        <f t="shared" si="12"/>
        <v>0.22943302132948254</v>
      </c>
      <c r="D282" t="str">
        <f t="shared" si="13"/>
        <v>No</v>
      </c>
      <c r="E282" s="8">
        <f t="shared" si="14"/>
        <v>0.48809523809523803</v>
      </c>
    </row>
    <row r="283" spans="1:5" ht="18.75" customHeight="1" x14ac:dyDescent="0.3">
      <c r="A283" t="s">
        <v>253</v>
      </c>
      <c r="B283" s="8">
        <v>17.8</v>
      </c>
      <c r="C283" s="8">
        <f t="shared" si="12"/>
        <v>0.81035925585278934</v>
      </c>
      <c r="D283" t="str">
        <f t="shared" si="13"/>
        <v>No</v>
      </c>
      <c r="E283" s="8">
        <f t="shared" si="14"/>
        <v>0.58333333333333337</v>
      </c>
    </row>
    <row r="284" spans="1:5" ht="18.75" customHeight="1" x14ac:dyDescent="0.3">
      <c r="A284" t="s">
        <v>159</v>
      </c>
      <c r="B284" s="8">
        <v>17.600000000000001</v>
      </c>
      <c r="C284" s="8">
        <f t="shared" si="12"/>
        <v>0.73774347653737637</v>
      </c>
      <c r="D284" t="str">
        <f t="shared" si="13"/>
        <v>No</v>
      </c>
      <c r="E284" s="8">
        <f t="shared" si="14"/>
        <v>0.57142857142857151</v>
      </c>
    </row>
    <row r="285" spans="1:5" ht="18.75" customHeight="1" x14ac:dyDescent="0.3">
      <c r="A285" t="s">
        <v>254</v>
      </c>
      <c r="B285" s="8">
        <v>17.7</v>
      </c>
      <c r="C285" s="8">
        <f t="shared" si="12"/>
        <v>0.77405136619508219</v>
      </c>
      <c r="D285" t="str">
        <f t="shared" si="13"/>
        <v>No</v>
      </c>
      <c r="E285" s="8">
        <f t="shared" si="14"/>
        <v>0.57738095238095233</v>
      </c>
    </row>
    <row r="286" spans="1:5" ht="18.75" customHeight="1" x14ac:dyDescent="0.3">
      <c r="A286" t="s">
        <v>162</v>
      </c>
      <c r="B286" s="8">
        <v>17.600000000000001</v>
      </c>
      <c r="C286" s="8">
        <f t="shared" si="12"/>
        <v>0.73774347653737637</v>
      </c>
      <c r="D286" t="str">
        <f t="shared" si="13"/>
        <v>No</v>
      </c>
      <c r="E286" s="8">
        <f t="shared" si="14"/>
        <v>0.57142857142857151</v>
      </c>
    </row>
    <row r="287" spans="1:5" ht="18.75" customHeight="1" x14ac:dyDescent="0.3">
      <c r="A287" t="s">
        <v>255</v>
      </c>
      <c r="B287" s="2">
        <v>21</v>
      </c>
      <c r="C287" s="8">
        <f t="shared" si="12"/>
        <v>1.9722117248994018</v>
      </c>
      <c r="D287" t="str">
        <f t="shared" si="13"/>
        <v>No</v>
      </c>
      <c r="E287" s="8">
        <f t="shared" si="14"/>
        <v>0.77380952380952372</v>
      </c>
    </row>
    <row r="288" spans="1:5" ht="18.75" customHeight="1" x14ac:dyDescent="0.3">
      <c r="A288" t="s">
        <v>256</v>
      </c>
      <c r="B288" s="8">
        <v>12.1</v>
      </c>
      <c r="C288" s="8">
        <f t="shared" si="12"/>
        <v>-1.2591904546364898</v>
      </c>
      <c r="D288" t="str">
        <f t="shared" si="13"/>
        <v>No</v>
      </c>
      <c r="E288" s="8">
        <f t="shared" si="14"/>
        <v>0.24404761904761901</v>
      </c>
    </row>
    <row r="289" spans="1:5" ht="18.75" customHeight="1" x14ac:dyDescent="0.3">
      <c r="A289" t="s">
        <v>257</v>
      </c>
      <c r="B289" s="2">
        <v>14</v>
      </c>
      <c r="C289" s="8">
        <f t="shared" si="12"/>
        <v>-0.56934055114006343</v>
      </c>
      <c r="D289" t="str">
        <f t="shared" si="13"/>
        <v>No</v>
      </c>
      <c r="E289" s="8">
        <f t="shared" si="14"/>
        <v>0.35714285714285715</v>
      </c>
    </row>
    <row r="290" spans="1:5" ht="18.75" customHeight="1" x14ac:dyDescent="0.3">
      <c r="A290" t="s">
        <v>258</v>
      </c>
      <c r="B290" s="8">
        <v>13.2</v>
      </c>
      <c r="C290" s="8">
        <f t="shared" si="12"/>
        <v>-0.85980366840171685</v>
      </c>
      <c r="D290" t="str">
        <f t="shared" si="13"/>
        <v>No</v>
      </c>
      <c r="E290" s="8">
        <f t="shared" si="14"/>
        <v>0.30952380952380948</v>
      </c>
    </row>
    <row r="291" spans="1:5" ht="18.75" customHeight="1" x14ac:dyDescent="0.3">
      <c r="A291" t="s">
        <v>229</v>
      </c>
      <c r="B291" s="8">
        <v>12.8</v>
      </c>
      <c r="C291" s="8">
        <f t="shared" si="12"/>
        <v>-1.0050352270325429</v>
      </c>
      <c r="D291" t="str">
        <f t="shared" si="13"/>
        <v>No</v>
      </c>
      <c r="E291" s="8">
        <f t="shared" si="14"/>
        <v>0.28571428571428575</v>
      </c>
    </row>
    <row r="292" spans="1:5" ht="18.75" customHeight="1" x14ac:dyDescent="0.3">
      <c r="A292" t="s">
        <v>259</v>
      </c>
      <c r="B292" s="2">
        <v>12</v>
      </c>
      <c r="C292" s="8">
        <f t="shared" si="12"/>
        <v>-1.2954983442941963</v>
      </c>
      <c r="D292" t="str">
        <f t="shared" si="13"/>
        <v>No</v>
      </c>
      <c r="E292" s="8">
        <f t="shared" si="14"/>
        <v>0.23809523809523808</v>
      </c>
    </row>
    <row r="293" spans="1:5" ht="18.75" customHeight="1" x14ac:dyDescent="0.3">
      <c r="A293" t="s">
        <v>260</v>
      </c>
      <c r="B293" s="2">
        <v>13</v>
      </c>
      <c r="C293" s="8">
        <f t="shared" si="12"/>
        <v>-0.93241944771712981</v>
      </c>
      <c r="D293" t="str">
        <f t="shared" si="13"/>
        <v>No</v>
      </c>
      <c r="E293" s="8">
        <f t="shared" si="14"/>
        <v>0.29761904761904762</v>
      </c>
    </row>
    <row r="294" spans="1:5" ht="18.75" customHeight="1" x14ac:dyDescent="0.3">
      <c r="A294" t="s">
        <v>261</v>
      </c>
      <c r="B294" s="2">
        <v>15</v>
      </c>
      <c r="C294" s="8">
        <f t="shared" si="12"/>
        <v>-0.20626165456299694</v>
      </c>
      <c r="D294" t="str">
        <f t="shared" si="13"/>
        <v>No</v>
      </c>
      <c r="E294" s="8">
        <f t="shared" si="14"/>
        <v>0.41666666666666663</v>
      </c>
    </row>
    <row r="295" spans="1:5" ht="18.75" customHeight="1" x14ac:dyDescent="0.3">
      <c r="A295" t="s">
        <v>234</v>
      </c>
      <c r="B295" s="2">
        <v>13</v>
      </c>
      <c r="C295" s="8">
        <f t="shared" si="12"/>
        <v>-0.93241944771712981</v>
      </c>
      <c r="D295" t="str">
        <f t="shared" si="13"/>
        <v>No</v>
      </c>
      <c r="E295" s="8">
        <f t="shared" si="14"/>
        <v>0.29761904761904762</v>
      </c>
    </row>
    <row r="296" spans="1:5" ht="18.75" customHeight="1" x14ac:dyDescent="0.3">
      <c r="A296" t="s">
        <v>189</v>
      </c>
      <c r="B296" s="8">
        <v>13.9</v>
      </c>
      <c r="C296" s="8">
        <f t="shared" si="12"/>
        <v>-0.60564844079776992</v>
      </c>
      <c r="D296" t="str">
        <f t="shared" si="13"/>
        <v>No</v>
      </c>
      <c r="E296" s="8">
        <f t="shared" si="14"/>
        <v>0.35119047619047622</v>
      </c>
    </row>
    <row r="297" spans="1:5" ht="18.75" customHeight="1" x14ac:dyDescent="0.3">
      <c r="A297" t="s">
        <v>262</v>
      </c>
      <c r="B297" s="8">
        <v>15.5</v>
      </c>
      <c r="C297" s="8">
        <f t="shared" si="12"/>
        <v>-2.4722206274463705E-2</v>
      </c>
      <c r="D297" t="str">
        <f t="shared" si="13"/>
        <v>No</v>
      </c>
      <c r="E297" s="8">
        <f t="shared" si="14"/>
        <v>0.4464285714285714</v>
      </c>
    </row>
    <row r="298" spans="1:5" ht="18.75" customHeight="1" x14ac:dyDescent="0.3">
      <c r="A298" t="s">
        <v>263</v>
      </c>
      <c r="B298" s="8">
        <v>15.9</v>
      </c>
      <c r="C298" s="8">
        <f t="shared" si="12"/>
        <v>0.12050935235636301</v>
      </c>
      <c r="D298" t="str">
        <f t="shared" si="13"/>
        <v>No</v>
      </c>
      <c r="E298" s="8">
        <f t="shared" si="14"/>
        <v>0.47023809523809523</v>
      </c>
    </row>
    <row r="299" spans="1:5" ht="18.75" customHeight="1" x14ac:dyDescent="0.3">
      <c r="A299" t="s">
        <v>264</v>
      </c>
      <c r="B299" s="8">
        <v>14.8</v>
      </c>
      <c r="C299" s="8">
        <f t="shared" si="12"/>
        <v>-0.27887743387840996</v>
      </c>
      <c r="D299" t="str">
        <f t="shared" si="13"/>
        <v>No</v>
      </c>
      <c r="E299" s="8">
        <f t="shared" si="14"/>
        <v>0.40476190476190477</v>
      </c>
    </row>
    <row r="300" spans="1:5" ht="18.75" customHeight="1" x14ac:dyDescent="0.3">
      <c r="A300" t="s">
        <v>265</v>
      </c>
      <c r="B300" s="8">
        <v>15.8</v>
      </c>
      <c r="C300" s="8">
        <f t="shared" si="12"/>
        <v>8.4201462698656485E-2</v>
      </c>
      <c r="D300" t="str">
        <f t="shared" si="13"/>
        <v>No</v>
      </c>
      <c r="E300" s="8">
        <f t="shared" si="14"/>
        <v>0.4642857142857143</v>
      </c>
    </row>
    <row r="301" spans="1:5" ht="18.75" customHeight="1" x14ac:dyDescent="0.3">
      <c r="A301" t="s">
        <v>266</v>
      </c>
      <c r="B301" s="2">
        <v>16</v>
      </c>
      <c r="C301" s="8">
        <f t="shared" si="12"/>
        <v>0.15681724201406952</v>
      </c>
      <c r="D301" t="str">
        <f t="shared" si="13"/>
        <v>No</v>
      </c>
      <c r="E301" s="8">
        <f t="shared" si="14"/>
        <v>0.47619047619047616</v>
      </c>
    </row>
    <row r="302" spans="1:5" ht="18.75" customHeight="1" x14ac:dyDescent="0.3">
      <c r="A302" t="s">
        <v>251</v>
      </c>
      <c r="B302" s="2">
        <v>17</v>
      </c>
      <c r="C302" s="8">
        <f t="shared" si="12"/>
        <v>0.51989613859113593</v>
      </c>
      <c r="D302" t="str">
        <f t="shared" si="13"/>
        <v>No</v>
      </c>
      <c r="E302" s="8">
        <f t="shared" si="14"/>
        <v>0.5357142857142857</v>
      </c>
    </row>
    <row r="303" spans="1:5" ht="18.75" customHeight="1" x14ac:dyDescent="0.3">
      <c r="A303" t="s">
        <v>267</v>
      </c>
      <c r="B303" s="8">
        <v>16.399999999999999</v>
      </c>
      <c r="C303" s="8">
        <f t="shared" si="12"/>
        <v>0.30204880064489559</v>
      </c>
      <c r="D303" t="str">
        <f t="shared" si="13"/>
        <v>No</v>
      </c>
      <c r="E303" s="8">
        <f t="shared" si="14"/>
        <v>0.49999999999999989</v>
      </c>
    </row>
    <row r="304" spans="1:5" ht="18.75" customHeight="1" x14ac:dyDescent="0.3">
      <c r="A304" t="s">
        <v>268</v>
      </c>
      <c r="B304" s="8">
        <v>16.899999999999999</v>
      </c>
      <c r="C304" s="8">
        <f t="shared" si="12"/>
        <v>0.48358824893342883</v>
      </c>
      <c r="D304" t="str">
        <f t="shared" si="13"/>
        <v>No</v>
      </c>
      <c r="E304" s="8">
        <f t="shared" si="14"/>
        <v>0.52976190476190466</v>
      </c>
    </row>
    <row r="305" spans="1:5" ht="18.75" customHeight="1" x14ac:dyDescent="0.3">
      <c r="A305" t="s">
        <v>269</v>
      </c>
      <c r="B305" s="2">
        <v>19</v>
      </c>
      <c r="C305" s="8">
        <f t="shared" si="12"/>
        <v>1.2460539317452688</v>
      </c>
      <c r="D305" t="str">
        <f t="shared" si="13"/>
        <v>No</v>
      </c>
      <c r="E305" s="8">
        <f t="shared" si="14"/>
        <v>0.65476190476190477</v>
      </c>
    </row>
    <row r="306" spans="1:5" ht="18.75" customHeight="1" x14ac:dyDescent="0.3">
      <c r="A306" t="s">
        <v>270</v>
      </c>
      <c r="B306" s="8">
        <v>17.7</v>
      </c>
      <c r="C306" s="8">
        <f t="shared" si="12"/>
        <v>0.77405136619508219</v>
      </c>
      <c r="D306" t="str">
        <f t="shared" si="13"/>
        <v>No</v>
      </c>
      <c r="E306" s="8">
        <f t="shared" si="14"/>
        <v>0.57738095238095233</v>
      </c>
    </row>
    <row r="307" spans="1:5" ht="18.75" customHeight="1" x14ac:dyDescent="0.3">
      <c r="A307" t="s">
        <v>271</v>
      </c>
      <c r="B307" s="8">
        <v>12.2</v>
      </c>
      <c r="C307" s="8">
        <f t="shared" si="12"/>
        <v>-1.2228825649787833</v>
      </c>
      <c r="D307" t="str">
        <f t="shared" si="13"/>
        <v>No</v>
      </c>
      <c r="E307" s="8">
        <f t="shared" si="14"/>
        <v>0.24999999999999994</v>
      </c>
    </row>
    <row r="308" spans="1:5" ht="18.75" customHeight="1" x14ac:dyDescent="0.3">
      <c r="A308" t="s">
        <v>272</v>
      </c>
      <c r="B308" s="8">
        <v>11.1</v>
      </c>
      <c r="C308" s="8">
        <f t="shared" si="12"/>
        <v>-1.6222693512135562</v>
      </c>
      <c r="D308" t="str">
        <f t="shared" si="13"/>
        <v>No</v>
      </c>
      <c r="E308" s="8">
        <f t="shared" si="14"/>
        <v>0.18452380952380951</v>
      </c>
    </row>
    <row r="309" spans="1:5" ht="18.75" customHeight="1" x14ac:dyDescent="0.3">
      <c r="A309" t="s">
        <v>273</v>
      </c>
      <c r="B309" s="8">
        <v>11.4</v>
      </c>
      <c r="C309" s="8">
        <f t="shared" si="12"/>
        <v>-1.5133456822404361</v>
      </c>
      <c r="D309" t="str">
        <f t="shared" si="13"/>
        <v>No</v>
      </c>
      <c r="E309" s="8">
        <f t="shared" si="14"/>
        <v>0.20238095238095238</v>
      </c>
    </row>
    <row r="310" spans="1:5" ht="18.75" customHeight="1" x14ac:dyDescent="0.3">
      <c r="A310" t="s">
        <v>230</v>
      </c>
      <c r="B310" s="8">
        <v>12.5</v>
      </c>
      <c r="C310" s="8">
        <f t="shared" si="12"/>
        <v>-1.113958896005663</v>
      </c>
      <c r="D310" t="str">
        <f t="shared" si="13"/>
        <v>No</v>
      </c>
      <c r="E310" s="8">
        <f t="shared" si="14"/>
        <v>0.26785714285714285</v>
      </c>
    </row>
    <row r="311" spans="1:5" ht="18.75" customHeight="1" x14ac:dyDescent="0.3">
      <c r="A311" t="s">
        <v>274</v>
      </c>
      <c r="B311" s="8">
        <v>13.7</v>
      </c>
      <c r="C311" s="8">
        <f t="shared" si="12"/>
        <v>-0.67826422011318355</v>
      </c>
      <c r="D311" t="str">
        <f t="shared" si="13"/>
        <v>No</v>
      </c>
      <c r="E311" s="8">
        <f t="shared" si="14"/>
        <v>0.33928571428571425</v>
      </c>
    </row>
    <row r="312" spans="1:5" ht="18.75" customHeight="1" x14ac:dyDescent="0.3">
      <c r="A312" t="s">
        <v>275</v>
      </c>
      <c r="B312" s="8">
        <v>14.5</v>
      </c>
      <c r="C312" s="8">
        <f t="shared" si="12"/>
        <v>-0.38780110285153013</v>
      </c>
      <c r="D312" t="str">
        <f t="shared" si="13"/>
        <v>No</v>
      </c>
      <c r="E312" s="8">
        <f t="shared" si="14"/>
        <v>0.38690476190476186</v>
      </c>
    </row>
    <row r="313" spans="1:5" ht="18.75" customHeight="1" x14ac:dyDescent="0.3">
      <c r="A313" t="s">
        <v>276</v>
      </c>
      <c r="B313" s="8">
        <v>14.9</v>
      </c>
      <c r="C313" s="8">
        <f t="shared" si="12"/>
        <v>-0.24256954422070345</v>
      </c>
      <c r="D313" t="str">
        <f t="shared" si="13"/>
        <v>No</v>
      </c>
      <c r="E313" s="8">
        <f t="shared" si="14"/>
        <v>0.4107142857142857</v>
      </c>
    </row>
    <row r="314" spans="1:5" ht="18.75" customHeight="1" x14ac:dyDescent="0.3">
      <c r="A314" t="s">
        <v>277</v>
      </c>
      <c r="B314" s="2">
        <v>19</v>
      </c>
      <c r="C314" s="8">
        <f t="shared" si="12"/>
        <v>1.2460539317452688</v>
      </c>
      <c r="D314" t="str">
        <f t="shared" si="13"/>
        <v>No</v>
      </c>
      <c r="E314" s="8">
        <f t="shared" si="14"/>
        <v>0.65476190476190477</v>
      </c>
    </row>
    <row r="315" spans="1:5" ht="18.75" customHeight="1" x14ac:dyDescent="0.3">
      <c r="A315" t="s">
        <v>278</v>
      </c>
      <c r="B315" s="8">
        <v>16.7</v>
      </c>
      <c r="C315" s="8">
        <f t="shared" si="12"/>
        <v>0.41097246961801576</v>
      </c>
      <c r="D315" t="str">
        <f t="shared" si="13"/>
        <v>No</v>
      </c>
      <c r="E315" s="8">
        <f t="shared" si="14"/>
        <v>0.51785714285714279</v>
      </c>
    </row>
    <row r="316" spans="1:5" ht="18.75" customHeight="1" x14ac:dyDescent="0.3">
      <c r="A316" t="s">
        <v>279</v>
      </c>
      <c r="B316" s="8">
        <v>14.4</v>
      </c>
      <c r="C316" s="8">
        <f t="shared" si="12"/>
        <v>-0.42410899250923667</v>
      </c>
      <c r="D316" t="str">
        <f t="shared" si="13"/>
        <v>No</v>
      </c>
      <c r="E316" s="8">
        <f t="shared" si="14"/>
        <v>0.38095238095238093</v>
      </c>
    </row>
    <row r="317" spans="1:5" ht="18.75" customHeight="1" x14ac:dyDescent="0.3">
      <c r="A317" t="s">
        <v>280</v>
      </c>
      <c r="B317" s="8">
        <v>14.5</v>
      </c>
      <c r="C317" s="8">
        <f t="shared" si="12"/>
        <v>-0.38780110285153013</v>
      </c>
      <c r="D317" t="str">
        <f t="shared" si="13"/>
        <v>No</v>
      </c>
      <c r="E317" s="8">
        <f t="shared" si="14"/>
        <v>0.38690476190476186</v>
      </c>
    </row>
    <row r="318" spans="1:5" ht="18.75" customHeight="1" x14ac:dyDescent="0.3">
      <c r="A318" t="s">
        <v>281</v>
      </c>
      <c r="B318" s="8">
        <v>15.4</v>
      </c>
      <c r="C318" s="8">
        <f t="shared" si="12"/>
        <v>-6.1030095932170222E-2</v>
      </c>
      <c r="D318" t="str">
        <f t="shared" si="13"/>
        <v>No</v>
      </c>
      <c r="E318" s="8">
        <f t="shared" si="14"/>
        <v>0.44047619047619047</v>
      </c>
    </row>
    <row r="319" spans="1:5" ht="18.75" customHeight="1" x14ac:dyDescent="0.3">
      <c r="A319" t="s">
        <v>251</v>
      </c>
      <c r="B319" s="8">
        <v>16.5</v>
      </c>
      <c r="C319" s="8">
        <f t="shared" si="12"/>
        <v>0.33835669030260274</v>
      </c>
      <c r="D319" t="str">
        <f t="shared" si="13"/>
        <v>No</v>
      </c>
      <c r="E319" s="8">
        <f t="shared" si="14"/>
        <v>0.50595238095238093</v>
      </c>
    </row>
    <row r="320" spans="1:5" ht="18.75" customHeight="1" x14ac:dyDescent="0.3">
      <c r="A320" t="s">
        <v>282</v>
      </c>
      <c r="B320" s="8">
        <v>17.600000000000001</v>
      </c>
      <c r="C320" s="8">
        <f t="shared" si="12"/>
        <v>0.73774347653737637</v>
      </c>
      <c r="D320" t="str">
        <f t="shared" si="13"/>
        <v>No</v>
      </c>
      <c r="E320" s="8">
        <f t="shared" si="14"/>
        <v>0.57142857142857151</v>
      </c>
    </row>
    <row r="321" spans="1:5" ht="18.75" customHeight="1" x14ac:dyDescent="0.3">
      <c r="A321" t="s">
        <v>283</v>
      </c>
      <c r="B321" s="8">
        <v>13.4</v>
      </c>
      <c r="C321" s="8">
        <f t="shared" si="12"/>
        <v>-0.78718788908630311</v>
      </c>
      <c r="D321" t="str">
        <f t="shared" si="13"/>
        <v>No</v>
      </c>
      <c r="E321" s="8">
        <f t="shared" si="14"/>
        <v>0.32142857142857145</v>
      </c>
    </row>
    <row r="322" spans="1:5" ht="18.75" customHeight="1" x14ac:dyDescent="0.3">
      <c r="A322" t="s">
        <v>284</v>
      </c>
      <c r="B322" s="8">
        <v>15.1</v>
      </c>
      <c r="C322" s="8">
        <f t="shared" ref="C322:C385" si="15">IFERROR((B322-$H$3)/$I$3,"")</f>
        <v>-0.16995376490529041</v>
      </c>
      <c r="D322" t="str">
        <f t="shared" ref="D322:D385" si="16">IF(ABS(C322)&gt;2,"Yes","No")</f>
        <v>No</v>
      </c>
      <c r="E322" s="8">
        <f t="shared" ref="E322:E385" si="17">IFERROR((B322-$K$3) / ($L$3-$K$3),"")</f>
        <v>0.42261904761904756</v>
      </c>
    </row>
    <row r="323" spans="1:5" ht="18.75" customHeight="1" x14ac:dyDescent="0.3">
      <c r="A323" t="s">
        <v>285</v>
      </c>
      <c r="B323" s="8">
        <v>15.8</v>
      </c>
      <c r="C323" s="8">
        <f t="shared" si="15"/>
        <v>8.4201462698656485E-2</v>
      </c>
      <c r="D323" t="str">
        <f t="shared" si="16"/>
        <v>No</v>
      </c>
      <c r="E323" s="8">
        <f t="shared" si="17"/>
        <v>0.4642857142857143</v>
      </c>
    </row>
    <row r="324" spans="1:5" ht="18.75" customHeight="1" x14ac:dyDescent="0.3">
      <c r="A324" t="s">
        <v>286</v>
      </c>
      <c r="B324" s="8">
        <v>18.7</v>
      </c>
      <c r="C324" s="8">
        <f t="shared" si="15"/>
        <v>1.1371302627721487</v>
      </c>
      <c r="D324" t="str">
        <f t="shared" si="16"/>
        <v>No</v>
      </c>
      <c r="E324" s="8">
        <f t="shared" si="17"/>
        <v>0.63690476190476186</v>
      </c>
    </row>
    <row r="325" spans="1:5" ht="18.75" customHeight="1" x14ac:dyDescent="0.3">
      <c r="A325" t="s">
        <v>224</v>
      </c>
      <c r="B325" s="8">
        <v>18.2</v>
      </c>
      <c r="C325" s="8">
        <f t="shared" si="15"/>
        <v>0.95559081448361549</v>
      </c>
      <c r="D325" t="str">
        <f t="shared" si="16"/>
        <v>No</v>
      </c>
      <c r="E325" s="8">
        <f t="shared" si="17"/>
        <v>0.6071428571428571</v>
      </c>
    </row>
    <row r="326" spans="1:5" ht="18.75" customHeight="1" x14ac:dyDescent="0.3">
      <c r="A326" t="s">
        <v>287</v>
      </c>
      <c r="B326" s="8">
        <v>19.2</v>
      </c>
      <c r="C326" s="8">
        <f t="shared" si="15"/>
        <v>1.318669711060682</v>
      </c>
      <c r="D326" t="str">
        <f t="shared" si="16"/>
        <v>No</v>
      </c>
      <c r="E326" s="8">
        <f t="shared" si="17"/>
        <v>0.66666666666666663</v>
      </c>
    </row>
    <row r="327" spans="1:5" ht="18.75" customHeight="1" x14ac:dyDescent="0.3">
      <c r="A327" t="s">
        <v>288</v>
      </c>
      <c r="B327" s="8">
        <v>17.2</v>
      </c>
      <c r="C327" s="8">
        <f t="shared" si="15"/>
        <v>0.592511917906549</v>
      </c>
      <c r="D327" t="str">
        <f t="shared" si="16"/>
        <v>No</v>
      </c>
      <c r="E327" s="8">
        <f t="shared" si="17"/>
        <v>0.54761904761904756</v>
      </c>
    </row>
    <row r="328" spans="1:5" ht="18.75" customHeight="1" x14ac:dyDescent="0.3">
      <c r="A328" t="s">
        <v>289</v>
      </c>
      <c r="B328" s="8">
        <v>15.8</v>
      </c>
      <c r="C328" s="8">
        <f t="shared" si="15"/>
        <v>8.4201462698656485E-2</v>
      </c>
      <c r="D328" t="str">
        <f t="shared" si="16"/>
        <v>No</v>
      </c>
      <c r="E328" s="8">
        <f t="shared" si="17"/>
        <v>0.4642857142857143</v>
      </c>
    </row>
    <row r="329" spans="1:5" ht="18.75" customHeight="1" x14ac:dyDescent="0.3">
      <c r="A329" t="s">
        <v>290</v>
      </c>
      <c r="B329" s="8">
        <v>17.2</v>
      </c>
      <c r="C329" s="8">
        <f t="shared" si="15"/>
        <v>0.592511917906549</v>
      </c>
      <c r="D329" t="str">
        <f t="shared" si="16"/>
        <v>No</v>
      </c>
      <c r="E329" s="8">
        <f t="shared" si="17"/>
        <v>0.54761904761904756</v>
      </c>
    </row>
    <row r="330" spans="1:5" ht="18.75" customHeight="1" x14ac:dyDescent="0.3">
      <c r="A330" t="s">
        <v>291</v>
      </c>
      <c r="B330" s="8">
        <v>16.7</v>
      </c>
      <c r="C330" s="8">
        <f t="shared" si="15"/>
        <v>0.41097246961801576</v>
      </c>
      <c r="D330" t="str">
        <f t="shared" si="16"/>
        <v>No</v>
      </c>
      <c r="E330" s="8">
        <f t="shared" si="17"/>
        <v>0.51785714285714279</v>
      </c>
    </row>
    <row r="331" spans="1:5" ht="18.75" customHeight="1" x14ac:dyDescent="0.3">
      <c r="A331" t="s">
        <v>292</v>
      </c>
      <c r="B331" s="8">
        <v>11.2</v>
      </c>
      <c r="C331" s="8">
        <f t="shared" si="15"/>
        <v>-1.5859614615558497</v>
      </c>
      <c r="D331" t="str">
        <f t="shared" si="16"/>
        <v>No</v>
      </c>
      <c r="E331" s="8">
        <f t="shared" si="17"/>
        <v>0.19047619047619044</v>
      </c>
    </row>
    <row r="332" spans="1:5" ht="18.75" customHeight="1" x14ac:dyDescent="0.3">
      <c r="A332" t="s">
        <v>273</v>
      </c>
      <c r="B332" s="8">
        <v>13.2</v>
      </c>
      <c r="C332" s="8">
        <f t="shared" si="15"/>
        <v>-0.85980366840171685</v>
      </c>
      <c r="D332" t="str">
        <f t="shared" si="16"/>
        <v>No</v>
      </c>
      <c r="E332" s="8">
        <f t="shared" si="17"/>
        <v>0.30952380952380948</v>
      </c>
    </row>
    <row r="333" spans="1:5" ht="18.75" customHeight="1" x14ac:dyDescent="0.3">
      <c r="A333" t="s">
        <v>293</v>
      </c>
      <c r="B333" s="8">
        <v>12.8</v>
      </c>
      <c r="C333" s="8">
        <f t="shared" si="15"/>
        <v>-1.0050352270325429</v>
      </c>
      <c r="D333" t="str">
        <f t="shared" si="16"/>
        <v>No</v>
      </c>
      <c r="E333" s="8">
        <f t="shared" si="17"/>
        <v>0.28571428571428575</v>
      </c>
    </row>
    <row r="334" spans="1:5" ht="18.75" customHeight="1" x14ac:dyDescent="0.3">
      <c r="A334" t="s">
        <v>294</v>
      </c>
      <c r="B334" s="8">
        <v>13.2</v>
      </c>
      <c r="C334" s="8">
        <f t="shared" si="15"/>
        <v>-0.85980366840171685</v>
      </c>
      <c r="D334" t="str">
        <f t="shared" si="16"/>
        <v>No</v>
      </c>
      <c r="E334" s="8">
        <f t="shared" si="17"/>
        <v>0.30952380952380948</v>
      </c>
    </row>
    <row r="335" spans="1:5" ht="18.75" customHeight="1" x14ac:dyDescent="0.3">
      <c r="A335" t="s">
        <v>295</v>
      </c>
      <c r="B335" s="8">
        <v>13.7</v>
      </c>
      <c r="C335" s="8">
        <f t="shared" si="15"/>
        <v>-0.67826422011318355</v>
      </c>
      <c r="D335" t="str">
        <f t="shared" si="16"/>
        <v>No</v>
      </c>
      <c r="E335" s="8">
        <f t="shared" si="17"/>
        <v>0.33928571428571425</v>
      </c>
    </row>
    <row r="336" spans="1:5" ht="18.75" customHeight="1" x14ac:dyDescent="0.3">
      <c r="A336" t="s">
        <v>296</v>
      </c>
      <c r="B336" s="8">
        <v>15.5</v>
      </c>
      <c r="C336" s="8">
        <f t="shared" si="15"/>
        <v>-2.4722206274463705E-2</v>
      </c>
      <c r="D336" t="str">
        <f t="shared" si="16"/>
        <v>No</v>
      </c>
      <c r="E336" s="8">
        <f t="shared" si="17"/>
        <v>0.4464285714285714</v>
      </c>
    </row>
    <row r="337" spans="1:5" ht="18.75" customHeight="1" x14ac:dyDescent="0.3">
      <c r="A337" t="s">
        <v>297</v>
      </c>
      <c r="B337" s="8">
        <v>14.4</v>
      </c>
      <c r="C337" s="8">
        <f t="shared" si="15"/>
        <v>-0.42410899250923667</v>
      </c>
      <c r="D337" t="str">
        <f t="shared" si="16"/>
        <v>No</v>
      </c>
      <c r="E337" s="8">
        <f t="shared" si="17"/>
        <v>0.38095238095238093</v>
      </c>
    </row>
    <row r="338" spans="1:5" ht="18.75" customHeight="1" x14ac:dyDescent="0.3">
      <c r="A338" t="s">
        <v>298</v>
      </c>
      <c r="B338" s="8">
        <v>13.2</v>
      </c>
      <c r="C338" s="8">
        <f t="shared" si="15"/>
        <v>-0.85980366840171685</v>
      </c>
      <c r="D338" t="str">
        <f t="shared" si="16"/>
        <v>No</v>
      </c>
      <c r="E338" s="8">
        <f t="shared" si="17"/>
        <v>0.30952380952380948</v>
      </c>
    </row>
    <row r="339" spans="1:5" ht="18.75" customHeight="1" x14ac:dyDescent="0.3">
      <c r="A339" t="s">
        <v>299</v>
      </c>
      <c r="B339" s="2">
        <v>16</v>
      </c>
      <c r="C339" s="8">
        <f t="shared" si="15"/>
        <v>0.15681724201406952</v>
      </c>
      <c r="D339" t="str">
        <f t="shared" si="16"/>
        <v>No</v>
      </c>
      <c r="E339" s="8">
        <f t="shared" si="17"/>
        <v>0.47619047619047616</v>
      </c>
    </row>
    <row r="340" spans="1:5" ht="18.75" customHeight="1" x14ac:dyDescent="0.3">
      <c r="A340" t="s">
        <v>300</v>
      </c>
      <c r="B340" s="8">
        <v>14.9</v>
      </c>
      <c r="C340" s="8">
        <f t="shared" si="15"/>
        <v>-0.24256954422070345</v>
      </c>
      <c r="D340" t="str">
        <f t="shared" si="16"/>
        <v>No</v>
      </c>
      <c r="E340" s="8">
        <f t="shared" si="17"/>
        <v>0.4107142857142857</v>
      </c>
    </row>
    <row r="341" spans="1:5" ht="18.75" customHeight="1" x14ac:dyDescent="0.3">
      <c r="A341" t="s">
        <v>301</v>
      </c>
      <c r="B341" s="8">
        <v>13.2</v>
      </c>
      <c r="C341" s="8">
        <f t="shared" si="15"/>
        <v>-0.85980366840171685</v>
      </c>
      <c r="D341" t="str">
        <f t="shared" si="16"/>
        <v>No</v>
      </c>
      <c r="E341" s="8">
        <f t="shared" si="17"/>
        <v>0.30952380952380948</v>
      </c>
    </row>
    <row r="342" spans="1:5" ht="18.75" customHeight="1" x14ac:dyDescent="0.3">
      <c r="A342" t="s">
        <v>302</v>
      </c>
      <c r="B342" s="8">
        <v>17.3</v>
      </c>
      <c r="C342" s="8">
        <f t="shared" si="15"/>
        <v>0.62881980756425615</v>
      </c>
      <c r="D342" t="str">
        <f t="shared" si="16"/>
        <v>No</v>
      </c>
      <c r="E342" s="8">
        <f t="shared" si="17"/>
        <v>0.5535714285714286</v>
      </c>
    </row>
    <row r="343" spans="1:5" ht="18.75" customHeight="1" x14ac:dyDescent="0.3">
      <c r="A343" t="s">
        <v>303</v>
      </c>
      <c r="B343" s="2">
        <v>15</v>
      </c>
      <c r="C343" s="8">
        <f t="shared" si="15"/>
        <v>-0.20626165456299694</v>
      </c>
      <c r="D343" t="str">
        <f t="shared" si="16"/>
        <v>No</v>
      </c>
      <c r="E343" s="8">
        <f t="shared" si="17"/>
        <v>0.41666666666666663</v>
      </c>
    </row>
    <row r="344" spans="1:5" ht="18.75" customHeight="1" x14ac:dyDescent="0.3">
      <c r="A344" t="s">
        <v>304</v>
      </c>
      <c r="B344" s="8">
        <v>11.3</v>
      </c>
      <c r="C344" s="8">
        <f t="shared" si="15"/>
        <v>-1.5496535718981426</v>
      </c>
      <c r="D344" t="str">
        <f t="shared" si="16"/>
        <v>No</v>
      </c>
      <c r="E344" s="8">
        <f t="shared" si="17"/>
        <v>0.19642857142857145</v>
      </c>
    </row>
    <row r="345" spans="1:5" ht="18.75" customHeight="1" x14ac:dyDescent="0.3">
      <c r="A345" t="s">
        <v>305</v>
      </c>
      <c r="B345" s="8">
        <v>12.9</v>
      </c>
      <c r="C345" s="8">
        <f t="shared" si="15"/>
        <v>-0.96872733737483641</v>
      </c>
      <c r="D345" t="str">
        <f t="shared" si="16"/>
        <v>No</v>
      </c>
      <c r="E345" s="8">
        <f t="shared" si="17"/>
        <v>0.29166666666666669</v>
      </c>
    </row>
    <row r="346" spans="1:5" ht="18.75" customHeight="1" x14ac:dyDescent="0.3">
      <c r="A346" t="s">
        <v>306</v>
      </c>
      <c r="B346" s="8">
        <v>15.4</v>
      </c>
      <c r="C346" s="8">
        <f t="shared" si="15"/>
        <v>-6.1030095932170222E-2</v>
      </c>
      <c r="D346" t="str">
        <f t="shared" si="16"/>
        <v>No</v>
      </c>
      <c r="E346" s="8">
        <f t="shared" si="17"/>
        <v>0.44047619047619047</v>
      </c>
    </row>
    <row r="347" spans="1:5" ht="18.75" customHeight="1" x14ac:dyDescent="0.3">
      <c r="A347" t="s">
        <v>307</v>
      </c>
      <c r="B347" s="8">
        <v>16.600000000000001</v>
      </c>
      <c r="C347" s="8">
        <f t="shared" si="15"/>
        <v>0.37466457996030988</v>
      </c>
      <c r="D347" t="str">
        <f t="shared" si="16"/>
        <v>No</v>
      </c>
      <c r="E347" s="8">
        <f t="shared" si="17"/>
        <v>0.51190476190476197</v>
      </c>
    </row>
    <row r="348" spans="1:5" ht="18.75" customHeight="1" x14ac:dyDescent="0.3">
      <c r="A348" t="s">
        <v>308</v>
      </c>
      <c r="B348" s="8">
        <v>18.2</v>
      </c>
      <c r="C348" s="8">
        <f t="shared" si="15"/>
        <v>0.95559081448361549</v>
      </c>
      <c r="D348" t="str">
        <f t="shared" si="16"/>
        <v>No</v>
      </c>
      <c r="E348" s="8">
        <f t="shared" si="17"/>
        <v>0.6071428571428571</v>
      </c>
    </row>
    <row r="349" spans="1:5" ht="18.75" customHeight="1" x14ac:dyDescent="0.3">
      <c r="A349" t="s">
        <v>309</v>
      </c>
      <c r="B349" s="8">
        <v>18.2</v>
      </c>
      <c r="C349" s="8">
        <f t="shared" si="15"/>
        <v>0.95559081448361549</v>
      </c>
      <c r="D349" t="str">
        <f t="shared" si="16"/>
        <v>No</v>
      </c>
      <c r="E349" s="8">
        <f t="shared" si="17"/>
        <v>0.6071428571428571</v>
      </c>
    </row>
    <row r="350" spans="1:5" ht="18.75" customHeight="1" x14ac:dyDescent="0.3">
      <c r="A350" t="s">
        <v>310</v>
      </c>
      <c r="B350" s="2">
        <v>13</v>
      </c>
      <c r="C350" s="8">
        <f t="shared" si="15"/>
        <v>-0.93241944771712981</v>
      </c>
      <c r="D350" t="str">
        <f t="shared" si="16"/>
        <v>No</v>
      </c>
      <c r="E350" s="8">
        <f t="shared" si="17"/>
        <v>0.29761904761904762</v>
      </c>
    </row>
    <row r="351" spans="1:5" ht="18.75" customHeight="1" x14ac:dyDescent="0.3">
      <c r="A351" t="s">
        <v>163</v>
      </c>
      <c r="B351" s="8">
        <v>14.9</v>
      </c>
      <c r="C351" s="8">
        <f t="shared" si="15"/>
        <v>-0.24256954422070345</v>
      </c>
      <c r="D351" t="str">
        <f t="shared" si="16"/>
        <v>No</v>
      </c>
      <c r="E351" s="8">
        <f t="shared" si="17"/>
        <v>0.4107142857142857</v>
      </c>
    </row>
    <row r="352" spans="1:5" ht="18.75" customHeight="1" x14ac:dyDescent="0.3">
      <c r="A352" t="s">
        <v>311</v>
      </c>
      <c r="B352" s="8">
        <v>15.2</v>
      </c>
      <c r="C352" s="8">
        <f t="shared" si="15"/>
        <v>-0.1336458752475839</v>
      </c>
      <c r="D352" t="str">
        <f t="shared" si="16"/>
        <v>No</v>
      </c>
      <c r="E352" s="8">
        <f t="shared" si="17"/>
        <v>0.42857142857142849</v>
      </c>
    </row>
    <row r="353" spans="1:5" ht="18.75" customHeight="1" x14ac:dyDescent="0.3">
      <c r="A353" t="s">
        <v>194</v>
      </c>
      <c r="B353" s="8">
        <v>14.3</v>
      </c>
      <c r="C353" s="8">
        <f t="shared" si="15"/>
        <v>-0.46041688216694321</v>
      </c>
      <c r="D353" t="str">
        <f t="shared" si="16"/>
        <v>No</v>
      </c>
      <c r="E353" s="8">
        <f t="shared" si="17"/>
        <v>0.375</v>
      </c>
    </row>
    <row r="354" spans="1:5" ht="18.75" customHeight="1" x14ac:dyDescent="0.3">
      <c r="A354" t="s">
        <v>312</v>
      </c>
      <c r="B354" s="8">
        <v>13.2</v>
      </c>
      <c r="C354" s="8">
        <f t="shared" si="15"/>
        <v>-0.85980366840171685</v>
      </c>
      <c r="D354" t="str">
        <f t="shared" si="16"/>
        <v>No</v>
      </c>
      <c r="E354" s="8">
        <f t="shared" si="17"/>
        <v>0.30952380952380948</v>
      </c>
    </row>
    <row r="355" spans="1:5" ht="18.75" customHeight="1" x14ac:dyDescent="0.3">
      <c r="A355" t="s">
        <v>313</v>
      </c>
      <c r="B355" s="2">
        <v>15</v>
      </c>
      <c r="C355" s="8">
        <f t="shared" si="15"/>
        <v>-0.20626165456299694</v>
      </c>
      <c r="D355" t="str">
        <f t="shared" si="16"/>
        <v>No</v>
      </c>
      <c r="E355" s="8">
        <f t="shared" si="17"/>
        <v>0.41666666666666663</v>
      </c>
    </row>
    <row r="356" spans="1:5" ht="18.75" customHeight="1" x14ac:dyDescent="0.3">
      <c r="A356" t="s">
        <v>314</v>
      </c>
      <c r="B356" s="8">
        <v>13.4</v>
      </c>
      <c r="C356" s="8">
        <f t="shared" si="15"/>
        <v>-0.78718788908630311</v>
      </c>
      <c r="D356" t="str">
        <f t="shared" si="16"/>
        <v>No</v>
      </c>
      <c r="E356" s="8">
        <f t="shared" si="17"/>
        <v>0.32142857142857145</v>
      </c>
    </row>
    <row r="357" spans="1:5" ht="18.75" customHeight="1" x14ac:dyDescent="0.3">
      <c r="A357" t="s">
        <v>230</v>
      </c>
      <c r="B357" s="8">
        <v>15.4</v>
      </c>
      <c r="C357" s="8">
        <f t="shared" si="15"/>
        <v>-6.1030095932170222E-2</v>
      </c>
      <c r="D357" t="str">
        <f t="shared" si="16"/>
        <v>No</v>
      </c>
      <c r="E357" s="8">
        <f t="shared" si="17"/>
        <v>0.44047619047619047</v>
      </c>
    </row>
    <row r="358" spans="1:5" ht="18.75" customHeight="1" x14ac:dyDescent="0.3">
      <c r="A358" t="s">
        <v>315</v>
      </c>
      <c r="B358" s="8">
        <v>17.399999999999999</v>
      </c>
      <c r="C358" s="8">
        <f t="shared" si="15"/>
        <v>0.66512769722196208</v>
      </c>
      <c r="D358" t="str">
        <f t="shared" si="16"/>
        <v>No</v>
      </c>
      <c r="E358" s="8">
        <f t="shared" si="17"/>
        <v>0.55952380952380942</v>
      </c>
    </row>
    <row r="359" spans="1:5" ht="18.75" customHeight="1" x14ac:dyDescent="0.3">
      <c r="A359" t="s">
        <v>296</v>
      </c>
      <c r="B359" s="8">
        <v>22.2</v>
      </c>
      <c r="C359" s="8">
        <f t="shared" si="15"/>
        <v>2.4079064007918811</v>
      </c>
      <c r="D359" t="str">
        <f t="shared" si="16"/>
        <v>Yes</v>
      </c>
      <c r="E359" s="8">
        <f t="shared" si="17"/>
        <v>0.84523809523809512</v>
      </c>
    </row>
    <row r="360" spans="1:5" ht="18.75" customHeight="1" x14ac:dyDescent="0.3">
      <c r="A360" t="s">
        <v>231</v>
      </c>
      <c r="B360" s="8">
        <v>14.4</v>
      </c>
      <c r="C360" s="8">
        <f t="shared" si="15"/>
        <v>-0.42410899250923667</v>
      </c>
      <c r="D360" t="str">
        <f t="shared" si="16"/>
        <v>No</v>
      </c>
      <c r="E360" s="8">
        <f t="shared" si="17"/>
        <v>0.38095238095238093</v>
      </c>
    </row>
    <row r="361" spans="1:5" ht="18.75" customHeight="1" x14ac:dyDescent="0.3">
      <c r="A361" t="s">
        <v>304</v>
      </c>
      <c r="B361" s="8">
        <v>16.5</v>
      </c>
      <c r="C361" s="8">
        <f t="shared" si="15"/>
        <v>0.33835669030260274</v>
      </c>
      <c r="D361" t="str">
        <f t="shared" si="16"/>
        <v>No</v>
      </c>
      <c r="E361" s="8">
        <f t="shared" si="17"/>
        <v>0.50595238095238093</v>
      </c>
    </row>
    <row r="362" spans="1:5" ht="18.75" customHeight="1" x14ac:dyDescent="0.3">
      <c r="A362" t="s">
        <v>251</v>
      </c>
      <c r="B362" s="8">
        <v>15.5</v>
      </c>
      <c r="C362" s="8">
        <f t="shared" si="15"/>
        <v>-2.4722206274463705E-2</v>
      </c>
      <c r="D362" t="str">
        <f t="shared" si="16"/>
        <v>No</v>
      </c>
      <c r="E362" s="8">
        <f t="shared" si="17"/>
        <v>0.4464285714285714</v>
      </c>
    </row>
    <row r="363" spans="1:5" ht="18.75" customHeight="1" x14ac:dyDescent="0.3">
      <c r="A363" t="s">
        <v>316</v>
      </c>
      <c r="B363" s="8">
        <v>18.100000000000001</v>
      </c>
      <c r="C363" s="8">
        <f t="shared" si="15"/>
        <v>0.91928292482590956</v>
      </c>
      <c r="D363" t="str">
        <f t="shared" si="16"/>
        <v>No</v>
      </c>
      <c r="E363" s="8">
        <f t="shared" si="17"/>
        <v>0.60119047619047628</v>
      </c>
    </row>
    <row r="364" spans="1:5" ht="18.75" customHeight="1" x14ac:dyDescent="0.3">
      <c r="A364" t="s">
        <v>290</v>
      </c>
      <c r="B364" s="8">
        <v>20.100000000000001</v>
      </c>
      <c r="C364" s="8">
        <f t="shared" si="15"/>
        <v>1.6454407179800425</v>
      </c>
      <c r="D364" t="str">
        <f t="shared" si="16"/>
        <v>No</v>
      </c>
      <c r="E364" s="8">
        <f t="shared" si="17"/>
        <v>0.72023809523809534</v>
      </c>
    </row>
    <row r="365" spans="1:5" ht="18.75" customHeight="1" x14ac:dyDescent="0.3">
      <c r="A365" t="s">
        <v>317</v>
      </c>
      <c r="B365" s="8">
        <v>14.3</v>
      </c>
      <c r="C365" s="8">
        <f t="shared" si="15"/>
        <v>-0.46041688216694321</v>
      </c>
      <c r="D365" t="str">
        <f t="shared" si="16"/>
        <v>No</v>
      </c>
      <c r="E365" s="8">
        <f t="shared" si="17"/>
        <v>0.375</v>
      </c>
    </row>
    <row r="366" spans="1:5" ht="18.75" customHeight="1" x14ac:dyDescent="0.3">
      <c r="A366" t="s">
        <v>286</v>
      </c>
      <c r="B366" s="8">
        <v>18.7</v>
      </c>
      <c r="C366" s="8">
        <f t="shared" si="15"/>
        <v>1.1371302627721487</v>
      </c>
      <c r="D366" t="str">
        <f t="shared" si="16"/>
        <v>No</v>
      </c>
      <c r="E366" s="8">
        <f t="shared" si="17"/>
        <v>0.63690476190476186</v>
      </c>
    </row>
    <row r="367" spans="1:5" ht="18.75" customHeight="1" x14ac:dyDescent="0.3">
      <c r="A367" t="s">
        <v>318</v>
      </c>
      <c r="B367" s="8">
        <v>12.9</v>
      </c>
      <c r="C367" s="8">
        <f t="shared" si="15"/>
        <v>-0.96872733737483641</v>
      </c>
      <c r="D367" t="str">
        <f t="shared" si="16"/>
        <v>No</v>
      </c>
      <c r="E367" s="8">
        <f t="shared" si="17"/>
        <v>0.29166666666666669</v>
      </c>
    </row>
    <row r="368" spans="1:5" ht="18.75" customHeight="1" x14ac:dyDescent="0.3">
      <c r="A368" t="s">
        <v>319</v>
      </c>
      <c r="B368" s="8">
        <v>14.4</v>
      </c>
      <c r="C368" s="8">
        <f t="shared" si="15"/>
        <v>-0.42410899250923667</v>
      </c>
      <c r="D368" t="str">
        <f t="shared" si="16"/>
        <v>No</v>
      </c>
      <c r="E368" s="8">
        <f t="shared" si="17"/>
        <v>0.38095238095238093</v>
      </c>
    </row>
    <row r="369" spans="1:5" ht="18.75" customHeight="1" x14ac:dyDescent="0.3">
      <c r="A369" t="s">
        <v>320</v>
      </c>
      <c r="B369" s="8">
        <v>16.399999999999999</v>
      </c>
      <c r="C369" s="8">
        <f t="shared" si="15"/>
        <v>0.30204880064489559</v>
      </c>
      <c r="D369" t="str">
        <f t="shared" si="16"/>
        <v>No</v>
      </c>
      <c r="E369" s="8">
        <f t="shared" si="17"/>
        <v>0.49999999999999989</v>
      </c>
    </row>
    <row r="370" spans="1:5" ht="18.75" customHeight="1" x14ac:dyDescent="0.3">
      <c r="A370" t="s">
        <v>318</v>
      </c>
      <c r="B370" s="8">
        <v>15.7</v>
      </c>
      <c r="C370" s="8">
        <f t="shared" si="15"/>
        <v>4.7893573040949329E-2</v>
      </c>
      <c r="D370" t="str">
        <f t="shared" si="16"/>
        <v>No</v>
      </c>
      <c r="E370" s="8">
        <f t="shared" si="17"/>
        <v>0.45833333333333326</v>
      </c>
    </row>
    <row r="371" spans="1:5" ht="18.75" customHeight="1" x14ac:dyDescent="0.3">
      <c r="A371" t="s">
        <v>268</v>
      </c>
      <c r="B371" s="8">
        <v>16.399999999999999</v>
      </c>
      <c r="C371" s="8">
        <f t="shared" si="15"/>
        <v>0.30204880064489559</v>
      </c>
      <c r="D371" t="str">
        <f t="shared" si="16"/>
        <v>No</v>
      </c>
      <c r="E371" s="8">
        <f t="shared" si="17"/>
        <v>0.49999999999999989</v>
      </c>
    </row>
    <row r="372" spans="1:5" ht="18.75" customHeight="1" x14ac:dyDescent="0.3">
      <c r="A372" t="s">
        <v>321</v>
      </c>
      <c r="B372" s="8">
        <v>16.2</v>
      </c>
      <c r="C372" s="8">
        <f t="shared" si="15"/>
        <v>0.22943302132948254</v>
      </c>
      <c r="D372" t="str">
        <f t="shared" si="16"/>
        <v>No</v>
      </c>
      <c r="E372" s="8">
        <f t="shared" si="17"/>
        <v>0.48809523809523803</v>
      </c>
    </row>
    <row r="373" spans="1:5" ht="18.75" customHeight="1" x14ac:dyDescent="0.3">
      <c r="A373" t="s">
        <v>322</v>
      </c>
      <c r="B373" s="8">
        <v>14.9</v>
      </c>
      <c r="C373" s="8">
        <f t="shared" si="15"/>
        <v>-0.24256954422070345</v>
      </c>
      <c r="D373" t="str">
        <f t="shared" si="16"/>
        <v>No</v>
      </c>
      <c r="E373" s="8">
        <f t="shared" si="17"/>
        <v>0.4107142857142857</v>
      </c>
    </row>
    <row r="374" spans="1:5" ht="18.75" customHeight="1" x14ac:dyDescent="0.3">
      <c r="A374" t="s">
        <v>323</v>
      </c>
      <c r="B374" s="8">
        <v>20.7</v>
      </c>
      <c r="C374" s="8">
        <f t="shared" si="15"/>
        <v>1.8632880559262817</v>
      </c>
      <c r="D374" t="str">
        <f t="shared" si="16"/>
        <v>No</v>
      </c>
      <c r="E374" s="8">
        <f t="shared" si="17"/>
        <v>0.75595238095238093</v>
      </c>
    </row>
    <row r="375" spans="1:5" ht="18.75" customHeight="1" x14ac:dyDescent="0.3">
      <c r="A375" t="s">
        <v>304</v>
      </c>
      <c r="B375" s="8">
        <v>12.6</v>
      </c>
      <c r="C375" s="8">
        <f t="shared" si="15"/>
        <v>-1.0776510063479565</v>
      </c>
      <c r="D375" t="str">
        <f t="shared" si="16"/>
        <v>No</v>
      </c>
      <c r="E375" s="8">
        <f t="shared" si="17"/>
        <v>0.27380952380952378</v>
      </c>
    </row>
    <row r="376" spans="1:5" ht="18.75" customHeight="1" x14ac:dyDescent="0.3">
      <c r="A376" t="s">
        <v>240</v>
      </c>
      <c r="B376" s="8">
        <v>15.8</v>
      </c>
      <c r="C376" s="8">
        <f t="shared" si="15"/>
        <v>8.4201462698656485E-2</v>
      </c>
      <c r="D376" t="str">
        <f t="shared" si="16"/>
        <v>No</v>
      </c>
      <c r="E376" s="8">
        <f t="shared" si="17"/>
        <v>0.4642857142857143</v>
      </c>
    </row>
    <row r="377" spans="1:5" ht="18.75" customHeight="1" x14ac:dyDescent="0.3">
      <c r="A377" t="s">
        <v>324</v>
      </c>
      <c r="B377" s="8">
        <v>17.100000000000001</v>
      </c>
      <c r="C377" s="8">
        <f t="shared" si="15"/>
        <v>0.55620402824884319</v>
      </c>
      <c r="D377" t="str">
        <f t="shared" si="16"/>
        <v>No</v>
      </c>
      <c r="E377" s="8">
        <f t="shared" si="17"/>
        <v>0.54166666666666674</v>
      </c>
    </row>
    <row r="378" spans="1:5" ht="18.75" customHeight="1" x14ac:dyDescent="0.3">
      <c r="A378" t="s">
        <v>325</v>
      </c>
      <c r="B378" s="8">
        <v>16.600000000000001</v>
      </c>
      <c r="C378" s="8">
        <f t="shared" si="15"/>
        <v>0.37466457996030988</v>
      </c>
      <c r="D378" t="str">
        <f t="shared" si="16"/>
        <v>No</v>
      </c>
      <c r="E378" s="8">
        <f t="shared" si="17"/>
        <v>0.51190476190476197</v>
      </c>
    </row>
    <row r="379" spans="1:5" ht="18.75" customHeight="1" x14ac:dyDescent="0.3">
      <c r="A379" t="s">
        <v>326</v>
      </c>
      <c r="B379" s="2">
        <v>19</v>
      </c>
      <c r="C379" s="8">
        <f t="shared" si="15"/>
        <v>1.2460539317452688</v>
      </c>
      <c r="D379" t="str">
        <f t="shared" si="16"/>
        <v>No</v>
      </c>
      <c r="E379" s="8">
        <f t="shared" si="17"/>
        <v>0.65476190476190477</v>
      </c>
    </row>
    <row r="380" spans="1:5" ht="18.75" customHeight="1" x14ac:dyDescent="0.3">
      <c r="A380" t="s">
        <v>327</v>
      </c>
      <c r="B380" s="2">
        <v>18</v>
      </c>
      <c r="C380" s="8">
        <f t="shared" si="15"/>
        <v>0.88297503516820242</v>
      </c>
      <c r="D380" t="str">
        <f t="shared" si="16"/>
        <v>No</v>
      </c>
      <c r="E380" s="8">
        <f t="shared" si="17"/>
        <v>0.59523809523809523</v>
      </c>
    </row>
    <row r="381" spans="1:5" ht="18.75" customHeight="1" x14ac:dyDescent="0.3">
      <c r="A381" t="s">
        <v>328</v>
      </c>
      <c r="B381" s="8">
        <v>11.6</v>
      </c>
      <c r="C381" s="8">
        <f t="shared" si="15"/>
        <v>-1.4407299029250229</v>
      </c>
      <c r="D381" t="str">
        <f t="shared" si="16"/>
        <v>No</v>
      </c>
      <c r="E381" s="8">
        <f t="shared" si="17"/>
        <v>0.21428571428571425</v>
      </c>
    </row>
    <row r="382" spans="1:5" ht="18.75" customHeight="1" x14ac:dyDescent="0.3">
      <c r="A382" t="s">
        <v>329</v>
      </c>
      <c r="B382" s="8">
        <v>14.5</v>
      </c>
      <c r="C382" s="8">
        <f t="shared" si="15"/>
        <v>-0.38780110285153013</v>
      </c>
      <c r="D382" t="str">
        <f t="shared" si="16"/>
        <v>No</v>
      </c>
      <c r="E382" s="8">
        <f t="shared" si="17"/>
        <v>0.38690476190476186</v>
      </c>
    </row>
    <row r="383" spans="1:5" ht="18.75" customHeight="1" x14ac:dyDescent="0.3">
      <c r="A383" t="s">
        <v>330</v>
      </c>
      <c r="B383" s="2">
        <v>13</v>
      </c>
      <c r="C383" s="8">
        <f t="shared" si="15"/>
        <v>-0.93241944771712981</v>
      </c>
      <c r="D383" t="str">
        <f t="shared" si="16"/>
        <v>No</v>
      </c>
      <c r="E383" s="8">
        <f t="shared" si="17"/>
        <v>0.29761904761904762</v>
      </c>
    </row>
    <row r="384" spans="1:5" ht="18.75" customHeight="1" x14ac:dyDescent="0.3">
      <c r="A384" t="s">
        <v>331</v>
      </c>
      <c r="B384" s="8">
        <v>19.600000000000001</v>
      </c>
      <c r="C384" s="8">
        <f t="shared" si="15"/>
        <v>1.4639012696915092</v>
      </c>
      <c r="D384" t="str">
        <f t="shared" si="16"/>
        <v>No</v>
      </c>
      <c r="E384" s="8">
        <f t="shared" si="17"/>
        <v>0.69047619047619058</v>
      </c>
    </row>
    <row r="385" spans="1:5" ht="18.75" customHeight="1" x14ac:dyDescent="0.3">
      <c r="A385" t="s">
        <v>332</v>
      </c>
      <c r="B385" s="8">
        <v>18.600000000000001</v>
      </c>
      <c r="C385" s="8">
        <f t="shared" si="15"/>
        <v>1.1008223731144429</v>
      </c>
      <c r="D385" t="str">
        <f t="shared" si="16"/>
        <v>No</v>
      </c>
      <c r="E385" s="8">
        <f t="shared" si="17"/>
        <v>0.63095238095238104</v>
      </c>
    </row>
    <row r="386" spans="1:5" ht="18.75" customHeight="1" x14ac:dyDescent="0.3">
      <c r="A386" t="s">
        <v>333</v>
      </c>
      <c r="B386" s="2">
        <v>16</v>
      </c>
      <c r="C386" s="8">
        <f t="shared" ref="C386:C399" si="18">IFERROR((B386-$H$3)/$I$3,"")</f>
        <v>0.15681724201406952</v>
      </c>
      <c r="D386" t="str">
        <f t="shared" ref="D386:D399" si="19">IF(ABS(C386)&gt;2,"Yes","No")</f>
        <v>No</v>
      </c>
      <c r="E386" s="8">
        <f t="shared" ref="E386:E399" si="20">IFERROR((B386-$K$3) / ($L$3-$K$3),"")</f>
        <v>0.47619047619047616</v>
      </c>
    </row>
    <row r="387" spans="1:5" ht="18.75" customHeight="1" x14ac:dyDescent="0.3">
      <c r="A387" t="s">
        <v>334</v>
      </c>
      <c r="B387" s="8">
        <v>16.2</v>
      </c>
      <c r="C387" s="8">
        <f t="shared" si="18"/>
        <v>0.22943302132948254</v>
      </c>
      <c r="D387" t="str">
        <f t="shared" si="19"/>
        <v>No</v>
      </c>
      <c r="E387" s="8">
        <f t="shared" si="20"/>
        <v>0.48809523809523803</v>
      </c>
    </row>
    <row r="388" spans="1:5" ht="18.75" customHeight="1" x14ac:dyDescent="0.3">
      <c r="A388" t="s">
        <v>335</v>
      </c>
      <c r="B388" s="8">
        <v>17.3</v>
      </c>
      <c r="C388" s="8">
        <f t="shared" si="18"/>
        <v>0.62881980756425615</v>
      </c>
      <c r="D388" t="str">
        <f t="shared" si="19"/>
        <v>No</v>
      </c>
      <c r="E388" s="8">
        <f t="shared" si="20"/>
        <v>0.5535714285714286</v>
      </c>
    </row>
    <row r="389" spans="1:5" ht="18.75" customHeight="1" x14ac:dyDescent="0.3">
      <c r="A389" t="s">
        <v>298</v>
      </c>
      <c r="B389" s="2">
        <v>18</v>
      </c>
      <c r="C389" s="8">
        <f t="shared" si="18"/>
        <v>0.88297503516820242</v>
      </c>
      <c r="D389" t="str">
        <f t="shared" si="19"/>
        <v>No</v>
      </c>
      <c r="E389" s="8">
        <f t="shared" si="20"/>
        <v>0.59523809523809523</v>
      </c>
    </row>
    <row r="390" spans="1:5" ht="18.75" customHeight="1" x14ac:dyDescent="0.3">
      <c r="A390" t="s">
        <v>336</v>
      </c>
      <c r="B390" s="8">
        <v>16.399999999999999</v>
      </c>
      <c r="C390" s="8">
        <f t="shared" si="18"/>
        <v>0.30204880064489559</v>
      </c>
      <c r="D390" t="str">
        <f t="shared" si="19"/>
        <v>No</v>
      </c>
      <c r="E390" s="8">
        <f t="shared" si="20"/>
        <v>0.49999999999999989</v>
      </c>
    </row>
    <row r="391" spans="1:5" ht="18.75" customHeight="1" x14ac:dyDescent="0.3">
      <c r="A391" t="s">
        <v>337</v>
      </c>
      <c r="B391" s="8">
        <v>15.6</v>
      </c>
      <c r="C391" s="8">
        <f t="shared" si="18"/>
        <v>1.158568338324281E-2</v>
      </c>
      <c r="D391" t="str">
        <f t="shared" si="19"/>
        <v>No</v>
      </c>
      <c r="E391" s="8">
        <f t="shared" si="20"/>
        <v>0.45238095238095233</v>
      </c>
    </row>
    <row r="392" spans="1:5" ht="18.75" customHeight="1" x14ac:dyDescent="0.3">
      <c r="A392" t="s">
        <v>338</v>
      </c>
      <c r="B392" s="8">
        <v>17.3</v>
      </c>
      <c r="C392" s="8">
        <f t="shared" si="18"/>
        <v>0.62881980756425615</v>
      </c>
      <c r="D392" t="str">
        <f t="shared" si="19"/>
        <v>No</v>
      </c>
      <c r="E392" s="8">
        <f t="shared" si="20"/>
        <v>0.5535714285714286</v>
      </c>
    </row>
    <row r="393" spans="1:5" ht="18.75" customHeight="1" x14ac:dyDescent="0.3">
      <c r="A393" t="s">
        <v>339</v>
      </c>
      <c r="B393" s="8">
        <v>19.399999999999999</v>
      </c>
      <c r="C393" s="8">
        <f t="shared" si="18"/>
        <v>1.3912854903760949</v>
      </c>
      <c r="D393" t="str">
        <f t="shared" si="19"/>
        <v>No</v>
      </c>
      <c r="E393" s="8">
        <f t="shared" si="20"/>
        <v>0.67857142857142849</v>
      </c>
    </row>
    <row r="394" spans="1:5" ht="18.75" customHeight="1" x14ac:dyDescent="0.3">
      <c r="A394" t="s">
        <v>340</v>
      </c>
      <c r="B394" s="8">
        <v>18.600000000000001</v>
      </c>
      <c r="C394" s="8">
        <f t="shared" si="18"/>
        <v>1.1008223731144429</v>
      </c>
      <c r="D394" t="str">
        <f t="shared" si="19"/>
        <v>No</v>
      </c>
      <c r="E394" s="8">
        <f t="shared" si="20"/>
        <v>0.63095238095238104</v>
      </c>
    </row>
    <row r="395" spans="1:5" ht="18.75" customHeight="1" x14ac:dyDescent="0.3">
      <c r="A395" t="s">
        <v>341</v>
      </c>
      <c r="B395" s="8">
        <v>14.7</v>
      </c>
      <c r="C395" s="8">
        <f t="shared" si="18"/>
        <v>-0.31518532353611711</v>
      </c>
      <c r="D395" t="str">
        <f t="shared" si="19"/>
        <v>No</v>
      </c>
      <c r="E395" s="8">
        <f t="shared" si="20"/>
        <v>0.39880952380952372</v>
      </c>
    </row>
    <row r="396" spans="1:5" ht="18.75" customHeight="1" x14ac:dyDescent="0.3">
      <c r="A396" t="s">
        <v>342</v>
      </c>
      <c r="B396" s="8">
        <v>20.5</v>
      </c>
      <c r="C396" s="8">
        <f t="shared" si="18"/>
        <v>1.7906722766108685</v>
      </c>
      <c r="D396" t="str">
        <f t="shared" si="19"/>
        <v>No</v>
      </c>
      <c r="E396" s="8">
        <f t="shared" si="20"/>
        <v>0.74404761904761907</v>
      </c>
    </row>
    <row r="397" spans="1:5" ht="18.75" customHeight="1" x14ac:dyDescent="0.3">
      <c r="A397" t="s">
        <v>343</v>
      </c>
      <c r="B397" s="8">
        <v>14.7</v>
      </c>
      <c r="C397" s="8">
        <f t="shared" si="18"/>
        <v>-0.31518532353611711</v>
      </c>
      <c r="D397" t="str">
        <f t="shared" si="19"/>
        <v>No</v>
      </c>
      <c r="E397" s="8">
        <f t="shared" si="20"/>
        <v>0.39880952380952372</v>
      </c>
    </row>
    <row r="398" spans="1:5" ht="18.75" customHeight="1" x14ac:dyDescent="0.3">
      <c r="A398" t="s">
        <v>344</v>
      </c>
      <c r="B398" s="8">
        <v>16.399999999999999</v>
      </c>
      <c r="C398" s="8">
        <f t="shared" si="18"/>
        <v>0.30204880064489559</v>
      </c>
      <c r="D398" t="str">
        <f t="shared" si="19"/>
        <v>No</v>
      </c>
      <c r="E398" s="8">
        <f t="shared" si="20"/>
        <v>0.49999999999999989</v>
      </c>
    </row>
    <row r="399" spans="1:5" ht="18.75" customHeight="1" x14ac:dyDescent="0.3">
      <c r="A399" t="s">
        <v>345</v>
      </c>
      <c r="B399" s="2">
        <v>17</v>
      </c>
      <c r="C399" s="8">
        <f t="shared" si="18"/>
        <v>0.51989613859113593</v>
      </c>
      <c r="D399" t="str">
        <f t="shared" si="19"/>
        <v>No</v>
      </c>
      <c r="E399" s="8">
        <f t="shared" si="20"/>
        <v>0.5357142857142857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Z399"/>
  <sheetViews>
    <sheetView workbookViewId="0"/>
  </sheetViews>
  <sheetFormatPr defaultRowHeight="14.4" x14ac:dyDescent="0.3"/>
  <cols>
    <col min="1" max="1" width="37" bestFit="1" customWidth="1"/>
    <col min="2" max="2" width="13.5546875" style="1" bestFit="1" customWidth="1"/>
    <col min="3" max="3" width="11.6640625" style="1" bestFit="1" customWidth="1"/>
    <col min="4" max="4" width="12.6640625" style="1" bestFit="1" customWidth="1"/>
    <col min="5" max="5" width="11.5546875" style="1" bestFit="1" customWidth="1"/>
    <col min="6" max="6" width="11.6640625" bestFit="1" customWidth="1"/>
    <col min="7" max="7" width="13.5546875" bestFit="1" customWidth="1"/>
    <col min="8" max="8" width="16.5546875" bestFit="1" customWidth="1"/>
    <col min="9" max="9" width="12.6640625" style="6" bestFit="1" customWidth="1"/>
    <col min="10" max="10" width="13.5546875" bestFit="1" customWidth="1"/>
    <col min="11" max="11" width="16.5546875" bestFit="1" customWidth="1"/>
    <col min="12" max="12" width="12.6640625" bestFit="1" customWidth="1"/>
    <col min="13" max="13" width="11.6640625" bestFit="1" customWidth="1"/>
    <col min="14" max="14" width="16.5546875" bestFit="1" customWidth="1"/>
    <col min="15" max="15" width="12" bestFit="1" customWidth="1"/>
    <col min="16" max="16" width="13.5546875" bestFit="1" customWidth="1"/>
    <col min="17" max="18" width="16.33203125" bestFit="1" customWidth="1"/>
    <col min="19" max="19" width="13.44140625" bestFit="1" customWidth="1"/>
    <col min="20" max="20" width="13.6640625" bestFit="1" customWidth="1"/>
    <col min="21" max="21" width="13.5546875" style="6" bestFit="1" customWidth="1"/>
    <col min="22" max="22" width="13.5546875" bestFit="1" customWidth="1"/>
    <col min="23" max="23" width="25" style="6" bestFit="1" customWidth="1"/>
    <col min="24" max="24" width="19.109375" style="6" bestFit="1" customWidth="1"/>
    <col min="25" max="25" width="10.44140625" style="6" bestFit="1" customWidth="1"/>
    <col min="26" max="26" width="17.109375" style="6" bestFit="1" customWidth="1"/>
  </cols>
  <sheetData>
    <row r="1" spans="1:26" s="10" customFormat="1" ht="18.75" customHeight="1" x14ac:dyDescent="0.3">
      <c r="A1" s="11" t="s">
        <v>31</v>
      </c>
      <c r="B1" s="12" t="s">
        <v>33</v>
      </c>
      <c r="C1" s="12" t="s">
        <v>36</v>
      </c>
      <c r="D1" s="12" t="s">
        <v>38</v>
      </c>
      <c r="E1" s="12" t="s">
        <v>39</v>
      </c>
      <c r="F1" s="11" t="s">
        <v>385</v>
      </c>
      <c r="H1" s="10" t="s">
        <v>386</v>
      </c>
      <c r="I1" s="29"/>
      <c r="K1" s="10" t="s">
        <v>387</v>
      </c>
      <c r="U1" s="29"/>
      <c r="W1" s="29"/>
      <c r="X1" s="29"/>
      <c r="Y1" s="29"/>
      <c r="Z1" s="29"/>
    </row>
    <row r="2" spans="1:26" ht="18.75" customHeight="1" x14ac:dyDescent="0.3">
      <c r="A2" t="s">
        <v>41</v>
      </c>
      <c r="B2" s="2">
        <v>26</v>
      </c>
      <c r="C2" s="2">
        <v>113</v>
      </c>
      <c r="D2" s="8">
        <v>12.5</v>
      </c>
      <c r="E2" s="2">
        <v>70</v>
      </c>
      <c r="F2" t="str">
        <f t="shared" ref="F2:F65" si="0">IF(AND(C2&gt;100,D2&lt;13,B2&gt;32.5),"High Performance",IF(AND(C2&lt;= 100,C2&gt;=60,D2&gt;=13,D2&lt;=19,B2&gt;=17,B2&lt;=32.5),"Mid Range","Economy"))</f>
        <v>Economy</v>
      </c>
      <c r="H2" s="17" t="s">
        <v>388</v>
      </c>
      <c r="I2" s="30"/>
    </row>
    <row r="3" spans="1:26" ht="18.75" customHeight="1" x14ac:dyDescent="0.3">
      <c r="A3" t="s">
        <v>42</v>
      </c>
      <c r="B3" s="2">
        <v>25</v>
      </c>
      <c r="C3" s="2">
        <v>95</v>
      </c>
      <c r="D3" s="8">
        <v>17.5</v>
      </c>
      <c r="E3" s="2">
        <v>70</v>
      </c>
      <c r="F3" t="str">
        <f t="shared" si="0"/>
        <v>Mid Range</v>
      </c>
    </row>
    <row r="4" spans="1:26" ht="18.75" customHeight="1" x14ac:dyDescent="0.3">
      <c r="A4" t="s">
        <v>43</v>
      </c>
      <c r="B4" s="2">
        <v>24</v>
      </c>
      <c r="C4" s="2">
        <v>90</v>
      </c>
      <c r="D4" s="8">
        <v>14.5</v>
      </c>
      <c r="E4" s="2">
        <v>70</v>
      </c>
      <c r="F4" t="str">
        <f t="shared" si="0"/>
        <v>Mid Range</v>
      </c>
      <c r="H4" t="s">
        <v>389</v>
      </c>
      <c r="I4" s="8">
        <v>23.514572864321607</v>
      </c>
    </row>
    <row r="5" spans="1:26" ht="18.75" customHeight="1" x14ac:dyDescent="0.3">
      <c r="A5" t="s">
        <v>44</v>
      </c>
      <c r="B5" s="2">
        <v>25</v>
      </c>
      <c r="C5" s="2">
        <v>87</v>
      </c>
      <c r="D5" s="8">
        <v>17.5</v>
      </c>
      <c r="E5" s="2">
        <v>70</v>
      </c>
      <c r="F5" t="str">
        <f t="shared" si="0"/>
        <v>Mid Range</v>
      </c>
      <c r="H5" t="s">
        <v>354</v>
      </c>
      <c r="I5" s="8">
        <v>0.39177989274268959</v>
      </c>
    </row>
    <row r="6" spans="1:26" ht="18.75" customHeight="1" x14ac:dyDescent="0.3">
      <c r="A6" t="s">
        <v>45</v>
      </c>
      <c r="B6" s="2">
        <v>26</v>
      </c>
      <c r="C6" s="2">
        <v>46</v>
      </c>
      <c r="D6" s="8">
        <v>20.5</v>
      </c>
      <c r="E6" s="2">
        <v>70</v>
      </c>
      <c r="F6" t="str">
        <f t="shared" si="0"/>
        <v>Economy</v>
      </c>
      <c r="H6" t="s">
        <v>390</v>
      </c>
      <c r="I6" s="2">
        <v>23</v>
      </c>
    </row>
    <row r="7" spans="1:26" ht="18.75" customHeight="1" x14ac:dyDescent="0.3">
      <c r="A7" t="s">
        <v>46</v>
      </c>
      <c r="B7" s="2">
        <v>28</v>
      </c>
      <c r="C7" s="2">
        <v>90</v>
      </c>
      <c r="D7" s="2">
        <v>14</v>
      </c>
      <c r="E7" s="2">
        <v>71</v>
      </c>
      <c r="F7" t="str">
        <f t="shared" si="0"/>
        <v>Mid Range</v>
      </c>
      <c r="H7" t="s">
        <v>391</v>
      </c>
      <c r="I7" s="2">
        <v>13</v>
      </c>
    </row>
    <row r="8" spans="1:26" ht="18.75" customHeight="1" x14ac:dyDescent="0.3">
      <c r="A8" t="s">
        <v>47</v>
      </c>
      <c r="B8" s="2">
        <v>30</v>
      </c>
      <c r="C8" s="2">
        <v>76</v>
      </c>
      <c r="D8" s="8">
        <v>14.5</v>
      </c>
      <c r="E8" s="2">
        <v>71</v>
      </c>
      <c r="F8" t="str">
        <f t="shared" si="0"/>
        <v>Mid Range</v>
      </c>
      <c r="H8" t="s">
        <v>392</v>
      </c>
      <c r="I8" s="8">
        <v>7.8159843125657824</v>
      </c>
    </row>
    <row r="9" spans="1:26" ht="18.75" customHeight="1" x14ac:dyDescent="0.3">
      <c r="A9" t="s">
        <v>48</v>
      </c>
      <c r="B9" s="2">
        <v>30</v>
      </c>
      <c r="C9" s="2">
        <v>70</v>
      </c>
      <c r="D9" s="8">
        <v>19.5</v>
      </c>
      <c r="E9" s="2">
        <v>71</v>
      </c>
      <c r="F9" t="str">
        <f t="shared" si="0"/>
        <v>Economy</v>
      </c>
      <c r="H9" t="s">
        <v>393</v>
      </c>
      <c r="I9" s="8">
        <v>61.089610774274412</v>
      </c>
    </row>
    <row r="10" spans="1:26" ht="18.75" customHeight="1" x14ac:dyDescent="0.3">
      <c r="A10" t="s">
        <v>49</v>
      </c>
      <c r="B10" s="2">
        <v>27</v>
      </c>
      <c r="C10" s="2">
        <v>60</v>
      </c>
      <c r="D10" s="2">
        <v>19</v>
      </c>
      <c r="E10" s="2">
        <v>71</v>
      </c>
      <c r="F10" t="str">
        <f t="shared" si="0"/>
        <v>Mid Range</v>
      </c>
      <c r="H10" t="s">
        <v>394</v>
      </c>
      <c r="I10" s="8">
        <v>-0.51078126521231182</v>
      </c>
    </row>
    <row r="11" spans="1:26" ht="18.75" customHeight="1" x14ac:dyDescent="0.3">
      <c r="A11" t="s">
        <v>50</v>
      </c>
      <c r="B11" s="2">
        <v>18</v>
      </c>
      <c r="C11" s="2">
        <v>112</v>
      </c>
      <c r="D11" s="8">
        <v>14.5</v>
      </c>
      <c r="E11" s="2">
        <v>72</v>
      </c>
      <c r="F11" t="str">
        <f t="shared" si="0"/>
        <v>Economy</v>
      </c>
      <c r="H11" t="s">
        <v>395</v>
      </c>
      <c r="I11" s="8">
        <v>0.45706634399491886</v>
      </c>
    </row>
    <row r="12" spans="1:26" ht="18.75" customHeight="1" x14ac:dyDescent="0.3">
      <c r="A12" t="s">
        <v>51</v>
      </c>
      <c r="B12" s="2">
        <v>26</v>
      </c>
      <c r="C12" s="2">
        <v>69</v>
      </c>
      <c r="D12" s="2">
        <v>18</v>
      </c>
      <c r="E12" s="2">
        <v>72</v>
      </c>
      <c r="F12" t="str">
        <f t="shared" si="0"/>
        <v>Mid Range</v>
      </c>
      <c r="H12" t="s">
        <v>396</v>
      </c>
      <c r="I12" s="8">
        <v>37.6</v>
      </c>
    </row>
    <row r="13" spans="1:26" ht="18.75" customHeight="1" x14ac:dyDescent="0.3">
      <c r="A13" t="s">
        <v>52</v>
      </c>
      <c r="B13" s="2">
        <v>22</v>
      </c>
      <c r="C13" s="2">
        <v>76</v>
      </c>
      <c r="D13" s="2">
        <v>18</v>
      </c>
      <c r="E13" s="2">
        <v>72</v>
      </c>
      <c r="F13" t="str">
        <f t="shared" si="0"/>
        <v>Mid Range</v>
      </c>
      <c r="H13" t="s">
        <v>397</v>
      </c>
      <c r="I13" s="2">
        <v>9</v>
      </c>
    </row>
    <row r="14" spans="1:26" ht="18.75" customHeight="1" x14ac:dyDescent="0.3">
      <c r="A14" t="s">
        <v>53</v>
      </c>
      <c r="B14" s="2">
        <v>21</v>
      </c>
      <c r="C14" s="2">
        <v>87</v>
      </c>
      <c r="D14" s="8">
        <v>19.5</v>
      </c>
      <c r="E14" s="2">
        <v>72</v>
      </c>
      <c r="F14" t="str">
        <f t="shared" si="0"/>
        <v>Economy</v>
      </c>
      <c r="H14" t="s">
        <v>398</v>
      </c>
      <c r="I14" s="8">
        <v>46.6</v>
      </c>
    </row>
    <row r="15" spans="1:26" ht="18.75" customHeight="1" x14ac:dyDescent="0.3">
      <c r="A15" t="s">
        <v>54</v>
      </c>
      <c r="B15" s="2">
        <v>23</v>
      </c>
      <c r="C15" s="2">
        <v>54</v>
      </c>
      <c r="D15" s="8">
        <v>23.5</v>
      </c>
      <c r="E15" s="2">
        <v>72</v>
      </c>
      <c r="F15" t="str">
        <f t="shared" si="0"/>
        <v>Economy</v>
      </c>
      <c r="H15" t="s">
        <v>399</v>
      </c>
      <c r="I15" s="8">
        <v>9358.7999999999993</v>
      </c>
    </row>
    <row r="16" spans="1:26" ht="18.75" customHeight="1" x14ac:dyDescent="0.3">
      <c r="A16" t="s">
        <v>55</v>
      </c>
      <c r="B16" s="2">
        <v>24</v>
      </c>
      <c r="C16" s="2">
        <v>110</v>
      </c>
      <c r="D16" s="2">
        <v>14</v>
      </c>
      <c r="E16" s="2">
        <v>73</v>
      </c>
      <c r="F16" t="str">
        <f t="shared" si="0"/>
        <v>Economy</v>
      </c>
      <c r="H16" s="21" t="s">
        <v>400</v>
      </c>
      <c r="I16" s="22">
        <v>398</v>
      </c>
    </row>
    <row r="17" spans="1:26" ht="18.75" customHeight="1" x14ac:dyDescent="0.3">
      <c r="A17" t="s">
        <v>56</v>
      </c>
      <c r="B17" s="2">
        <v>26</v>
      </c>
      <c r="C17" s="2">
        <v>90</v>
      </c>
      <c r="D17" s="8">
        <v>15.5</v>
      </c>
      <c r="E17" s="2">
        <v>73</v>
      </c>
      <c r="F17" t="str">
        <f t="shared" si="0"/>
        <v>Mid Range</v>
      </c>
    </row>
    <row r="18" spans="1:26" ht="18.75" customHeight="1" x14ac:dyDescent="0.3">
      <c r="A18" t="s">
        <v>57</v>
      </c>
      <c r="B18" s="2">
        <v>19</v>
      </c>
      <c r="C18" s="2">
        <v>112</v>
      </c>
      <c r="D18" s="8">
        <v>15.5</v>
      </c>
      <c r="E18" s="2">
        <v>73</v>
      </c>
      <c r="F18" t="str">
        <f t="shared" si="0"/>
        <v>Economy</v>
      </c>
    </row>
    <row r="19" spans="1:26" ht="18.75" customHeight="1" x14ac:dyDescent="0.3">
      <c r="A19" t="s">
        <v>58</v>
      </c>
      <c r="B19" s="2">
        <v>20</v>
      </c>
      <c r="C19" s="2">
        <v>91</v>
      </c>
      <c r="D19" s="2">
        <v>14</v>
      </c>
      <c r="E19" s="2">
        <v>73</v>
      </c>
      <c r="F19" t="str">
        <f t="shared" si="0"/>
        <v>Mid Range</v>
      </c>
    </row>
    <row r="20" spans="1:26" ht="18.75" customHeight="1" x14ac:dyDescent="0.3">
      <c r="A20" t="s">
        <v>59</v>
      </c>
      <c r="B20" s="2">
        <v>24</v>
      </c>
      <c r="C20" s="2">
        <v>75</v>
      </c>
      <c r="D20" s="8">
        <v>15.5</v>
      </c>
      <c r="E20" s="2">
        <v>73</v>
      </c>
      <c r="F20" t="str">
        <f t="shared" si="0"/>
        <v>Mid Range</v>
      </c>
      <c r="H20" s="17" t="s">
        <v>401</v>
      </c>
      <c r="I20" s="30"/>
      <c r="Q20" t="s">
        <v>402</v>
      </c>
      <c r="W20" s="6" t="s">
        <v>403</v>
      </c>
    </row>
    <row r="21" spans="1:26" ht="18.75" customHeight="1" x14ac:dyDescent="0.3">
      <c r="A21" t="s">
        <v>60</v>
      </c>
      <c r="B21" s="2">
        <v>29</v>
      </c>
      <c r="C21" s="2">
        <v>49</v>
      </c>
      <c r="D21" s="8">
        <v>19.5</v>
      </c>
      <c r="E21" s="2">
        <v>73</v>
      </c>
      <c r="F21" t="str">
        <f t="shared" si="0"/>
        <v>Economy</v>
      </c>
      <c r="Q21" t="s">
        <v>404</v>
      </c>
      <c r="R21" t="s">
        <v>405</v>
      </c>
      <c r="S21" t="s">
        <v>406</v>
      </c>
      <c r="T21" t="s">
        <v>388</v>
      </c>
      <c r="U21" s="6" t="s">
        <v>400</v>
      </c>
      <c r="W21" s="6" t="s">
        <v>407</v>
      </c>
      <c r="X21" s="6" t="s">
        <v>385</v>
      </c>
    </row>
    <row r="22" spans="1:26" ht="18.75" customHeight="1" x14ac:dyDescent="0.3">
      <c r="A22" t="s">
        <v>61</v>
      </c>
      <c r="B22" s="2">
        <v>26</v>
      </c>
      <c r="C22" s="2">
        <v>46</v>
      </c>
      <c r="D22" s="2">
        <v>21</v>
      </c>
      <c r="E22" s="2">
        <v>73</v>
      </c>
      <c r="F22" t="str">
        <f t="shared" si="0"/>
        <v>Economy</v>
      </c>
      <c r="H22" t="s">
        <v>389</v>
      </c>
      <c r="I22" s="8">
        <v>81.532258064516128</v>
      </c>
      <c r="Q22" t="s">
        <v>408</v>
      </c>
      <c r="R22" t="s">
        <v>409</v>
      </c>
      <c r="S22" t="s">
        <v>410</v>
      </c>
      <c r="T22" t="s">
        <v>411</v>
      </c>
      <c r="U22" s="2">
        <v>1</v>
      </c>
      <c r="W22" s="6" t="s">
        <v>39</v>
      </c>
      <c r="X22" s="6" t="s">
        <v>412</v>
      </c>
      <c r="Y22" s="6" t="s">
        <v>413</v>
      </c>
      <c r="Z22" s="6" t="s">
        <v>408</v>
      </c>
    </row>
    <row r="23" spans="1:26" ht="18.75" customHeight="1" x14ac:dyDescent="0.3">
      <c r="A23" t="s">
        <v>62</v>
      </c>
      <c r="B23" s="2">
        <v>29</v>
      </c>
      <c r="C23" s="2">
        <v>83</v>
      </c>
      <c r="D23" s="8">
        <v>16.5</v>
      </c>
      <c r="E23" s="2">
        <v>74</v>
      </c>
      <c r="F23" t="str">
        <f t="shared" si="0"/>
        <v>Mid Range</v>
      </c>
      <c r="H23" t="s">
        <v>354</v>
      </c>
      <c r="I23" s="8">
        <v>2.6249542557959766</v>
      </c>
      <c r="Q23" t="s">
        <v>413</v>
      </c>
      <c r="R23" t="s">
        <v>414</v>
      </c>
      <c r="S23" t="s">
        <v>415</v>
      </c>
      <c r="T23" t="s">
        <v>416</v>
      </c>
      <c r="U23" s="2">
        <v>153</v>
      </c>
      <c r="W23" s="2">
        <v>70</v>
      </c>
      <c r="X23" s="2">
        <v>20</v>
      </c>
      <c r="Y23" s="2">
        <v>9</v>
      </c>
    </row>
    <row r="24" spans="1:26" ht="18.75" customHeight="1" x14ac:dyDescent="0.3">
      <c r="A24" t="s">
        <v>60</v>
      </c>
      <c r="B24" s="2">
        <v>24</v>
      </c>
      <c r="C24" s="2">
        <v>75</v>
      </c>
      <c r="D24" s="8">
        <v>15.5</v>
      </c>
      <c r="E24" s="2">
        <v>74</v>
      </c>
      <c r="F24" t="str">
        <f t="shared" si="0"/>
        <v>Mid Range</v>
      </c>
      <c r="H24" t="s">
        <v>390</v>
      </c>
      <c r="I24" s="2">
        <v>78</v>
      </c>
      <c r="Q24" t="s">
        <v>412</v>
      </c>
      <c r="R24" t="s">
        <v>417</v>
      </c>
      <c r="S24" t="s">
        <v>418</v>
      </c>
      <c r="T24" t="s">
        <v>419</v>
      </c>
      <c r="U24" s="2">
        <v>244</v>
      </c>
      <c r="W24" s="2">
        <v>71</v>
      </c>
      <c r="X24" s="2">
        <v>13</v>
      </c>
      <c r="Y24" s="2">
        <v>15</v>
      </c>
    </row>
    <row r="25" spans="1:26" ht="18.75" customHeight="1" x14ac:dyDescent="0.3">
      <c r="A25" t="s">
        <v>63</v>
      </c>
      <c r="B25" s="2">
        <v>26</v>
      </c>
      <c r="C25" s="2">
        <v>67</v>
      </c>
      <c r="D25" s="8">
        <v>15.5</v>
      </c>
      <c r="E25" s="2">
        <v>74</v>
      </c>
      <c r="F25" t="str">
        <f t="shared" si="0"/>
        <v>Mid Range</v>
      </c>
      <c r="H25" t="s">
        <v>391</v>
      </c>
      <c r="I25" s="2">
        <v>71</v>
      </c>
      <c r="W25" s="2">
        <v>72</v>
      </c>
      <c r="X25" s="2">
        <v>17</v>
      </c>
      <c r="Y25" s="2">
        <v>11</v>
      </c>
    </row>
    <row r="26" spans="1:26" ht="18.75" customHeight="1" x14ac:dyDescent="0.3">
      <c r="A26" t="s">
        <v>59</v>
      </c>
      <c r="B26" s="2">
        <v>26</v>
      </c>
      <c r="C26" s="2">
        <v>78</v>
      </c>
      <c r="D26" s="8">
        <v>14.5</v>
      </c>
      <c r="E26" s="2">
        <v>74</v>
      </c>
      <c r="F26" t="str">
        <f t="shared" si="0"/>
        <v>Mid Range</v>
      </c>
      <c r="H26" t="s">
        <v>392</v>
      </c>
      <c r="I26" s="8">
        <v>20.668910479058333</v>
      </c>
      <c r="W26" s="2">
        <v>73</v>
      </c>
      <c r="X26" s="2">
        <v>29</v>
      </c>
      <c r="Y26" s="2">
        <v>11</v>
      </c>
    </row>
    <row r="27" spans="1:26" ht="18.75" customHeight="1" x14ac:dyDescent="0.3">
      <c r="A27" t="s">
        <v>64</v>
      </c>
      <c r="B27" s="2">
        <v>31</v>
      </c>
      <c r="C27" s="2">
        <v>67</v>
      </c>
      <c r="D27" s="2">
        <v>16</v>
      </c>
      <c r="E27" s="2">
        <v>74</v>
      </c>
      <c r="F27" t="str">
        <f t="shared" si="0"/>
        <v>Mid Range</v>
      </c>
      <c r="H27" t="s">
        <v>393</v>
      </c>
      <c r="I27" s="8">
        <v>427.2038603913274</v>
      </c>
      <c r="W27" s="2">
        <v>74</v>
      </c>
      <c r="X27" s="2">
        <v>12</v>
      </c>
      <c r="Y27" s="2">
        <v>15</v>
      </c>
    </row>
    <row r="28" spans="1:26" ht="18.75" customHeight="1" x14ac:dyDescent="0.3">
      <c r="A28" t="s">
        <v>65</v>
      </c>
      <c r="B28" s="2">
        <v>26</v>
      </c>
      <c r="C28" s="2">
        <v>75</v>
      </c>
      <c r="D28" s="2">
        <v>14</v>
      </c>
      <c r="E28" s="2">
        <v>74</v>
      </c>
      <c r="F28" t="str">
        <f t="shared" si="0"/>
        <v>Mid Range</v>
      </c>
      <c r="H28" t="s">
        <v>394</v>
      </c>
      <c r="I28" s="8">
        <v>-0.22845818194903433</v>
      </c>
      <c r="W28" s="2">
        <v>75</v>
      </c>
      <c r="X28" s="2">
        <v>15</v>
      </c>
      <c r="Y28" s="2">
        <v>15</v>
      </c>
    </row>
    <row r="29" spans="1:26" ht="18.75" customHeight="1" x14ac:dyDescent="0.3">
      <c r="A29" t="s">
        <v>55</v>
      </c>
      <c r="B29" s="2">
        <v>25</v>
      </c>
      <c r="C29" s="2">
        <v>115</v>
      </c>
      <c r="D29" s="8">
        <v>13.5</v>
      </c>
      <c r="E29" s="2">
        <v>75</v>
      </c>
      <c r="F29" t="str">
        <f t="shared" si="0"/>
        <v>Economy</v>
      </c>
      <c r="H29" t="s">
        <v>395</v>
      </c>
      <c r="I29" s="8">
        <v>0.38782242954567625</v>
      </c>
      <c r="W29" s="2">
        <v>76</v>
      </c>
      <c r="X29" s="2">
        <v>20</v>
      </c>
      <c r="Y29" s="2">
        <v>14</v>
      </c>
    </row>
    <row r="30" spans="1:26" ht="18.75" customHeight="1" x14ac:dyDescent="0.3">
      <c r="A30" t="s">
        <v>66</v>
      </c>
      <c r="B30" s="2">
        <v>29</v>
      </c>
      <c r="C30" s="2">
        <v>70</v>
      </c>
      <c r="D30" s="2">
        <v>14</v>
      </c>
      <c r="E30" s="2">
        <v>75</v>
      </c>
      <c r="F30" t="str">
        <f t="shared" si="0"/>
        <v>Mid Range</v>
      </c>
      <c r="H30" t="s">
        <v>396</v>
      </c>
      <c r="I30" s="2">
        <v>87</v>
      </c>
      <c r="W30" s="2">
        <v>77</v>
      </c>
      <c r="X30" s="2">
        <v>15</v>
      </c>
      <c r="Y30" s="2">
        <v>13</v>
      </c>
    </row>
    <row r="31" spans="1:26" ht="18.75" customHeight="1" x14ac:dyDescent="0.3">
      <c r="A31" t="s">
        <v>58</v>
      </c>
      <c r="B31" s="2">
        <v>23</v>
      </c>
      <c r="C31" s="2">
        <v>95</v>
      </c>
      <c r="D31" s="2">
        <v>15</v>
      </c>
      <c r="E31" s="2">
        <v>75</v>
      </c>
      <c r="F31" t="str">
        <f t="shared" si="0"/>
        <v>Mid Range</v>
      </c>
      <c r="H31" t="s">
        <v>397</v>
      </c>
      <c r="I31" s="2">
        <v>46</v>
      </c>
      <c r="W31" s="2">
        <v>78</v>
      </c>
      <c r="X31" s="2">
        <v>21</v>
      </c>
      <c r="Y31" s="2">
        <v>15</v>
      </c>
    </row>
    <row r="32" spans="1:26" ht="18.75" customHeight="1" x14ac:dyDescent="0.3">
      <c r="A32" t="s">
        <v>67</v>
      </c>
      <c r="B32" s="2">
        <v>22</v>
      </c>
      <c r="C32" s="2">
        <v>98</v>
      </c>
      <c r="D32" s="8">
        <v>14.5</v>
      </c>
      <c r="E32" s="2">
        <v>75</v>
      </c>
      <c r="F32" t="str">
        <f t="shared" si="0"/>
        <v>Mid Range</v>
      </c>
      <c r="H32" t="s">
        <v>398</v>
      </c>
      <c r="I32" s="2">
        <v>133</v>
      </c>
      <c r="W32" s="2">
        <v>79</v>
      </c>
      <c r="X32" s="2">
        <v>23</v>
      </c>
      <c r="Y32" s="2">
        <v>6</v>
      </c>
    </row>
    <row r="33" spans="1:26" ht="18.75" customHeight="1" x14ac:dyDescent="0.3">
      <c r="A33" t="s">
        <v>63</v>
      </c>
      <c r="B33" s="2">
        <v>25</v>
      </c>
      <c r="C33" s="2">
        <v>71</v>
      </c>
      <c r="D33" s="8">
        <v>16.5</v>
      </c>
      <c r="E33" s="2">
        <v>75</v>
      </c>
      <c r="F33" t="str">
        <f t="shared" si="0"/>
        <v>Mid Range</v>
      </c>
      <c r="H33" t="s">
        <v>399</v>
      </c>
      <c r="I33" s="2">
        <v>5055</v>
      </c>
      <c r="W33" s="2">
        <v>80</v>
      </c>
      <c r="X33" s="2">
        <v>19</v>
      </c>
      <c r="Y33" s="2">
        <v>9</v>
      </c>
      <c r="Z33" s="2">
        <v>1</v>
      </c>
    </row>
    <row r="34" spans="1:26" ht="18.75" customHeight="1" x14ac:dyDescent="0.3">
      <c r="A34" t="s">
        <v>44</v>
      </c>
      <c r="B34" s="2">
        <v>23</v>
      </c>
      <c r="C34" s="2">
        <v>88</v>
      </c>
      <c r="D34" s="2">
        <v>17</v>
      </c>
      <c r="E34" s="2">
        <v>75</v>
      </c>
      <c r="F34" t="str">
        <f t="shared" si="0"/>
        <v>Mid Range</v>
      </c>
      <c r="H34" s="21" t="s">
        <v>400</v>
      </c>
      <c r="I34" s="22">
        <v>62</v>
      </c>
      <c r="W34" s="2">
        <v>81</v>
      </c>
      <c r="X34" s="2">
        <v>21</v>
      </c>
      <c r="Y34" s="2">
        <v>8</v>
      </c>
    </row>
    <row r="35" spans="1:26" ht="18.75" customHeight="1" x14ac:dyDescent="0.3">
      <c r="A35" t="s">
        <v>66</v>
      </c>
      <c r="B35" s="8">
        <v>29.5</v>
      </c>
      <c r="C35" s="2">
        <v>71</v>
      </c>
      <c r="D35" s="8">
        <v>12.2</v>
      </c>
      <c r="E35" s="2">
        <v>76</v>
      </c>
      <c r="F35" t="str">
        <f t="shared" si="0"/>
        <v>Economy</v>
      </c>
      <c r="W35" s="2">
        <v>82</v>
      </c>
      <c r="X35" s="2">
        <v>19</v>
      </c>
      <c r="Y35" s="2">
        <v>12</v>
      </c>
    </row>
    <row r="36" spans="1:26" ht="18.75" customHeight="1" x14ac:dyDescent="0.3">
      <c r="A36" t="s">
        <v>68</v>
      </c>
      <c r="B36" s="2">
        <v>27</v>
      </c>
      <c r="C36" s="2">
        <v>83</v>
      </c>
      <c r="D36" s="8">
        <v>15.3</v>
      </c>
      <c r="E36" s="2">
        <v>76</v>
      </c>
      <c r="F36" t="str">
        <f t="shared" si="0"/>
        <v>Mid Range</v>
      </c>
    </row>
    <row r="37" spans="1:26" ht="18.75" customHeight="1" x14ac:dyDescent="0.3">
      <c r="A37" t="s">
        <v>46</v>
      </c>
      <c r="B37" s="2">
        <v>25</v>
      </c>
      <c r="C37" s="2">
        <v>81</v>
      </c>
      <c r="D37" s="8">
        <v>16.899999999999999</v>
      </c>
      <c r="E37" s="2">
        <v>76</v>
      </c>
      <c r="F37" t="str">
        <f t="shared" si="0"/>
        <v>Mid Range</v>
      </c>
    </row>
    <row r="38" spans="1:26" ht="18.75" customHeight="1" x14ac:dyDescent="0.3">
      <c r="A38" t="s">
        <v>69</v>
      </c>
      <c r="B38" s="2">
        <v>29</v>
      </c>
      <c r="C38" s="2">
        <v>70</v>
      </c>
      <c r="D38" s="8">
        <v>14.2</v>
      </c>
      <c r="E38" s="2">
        <v>76</v>
      </c>
      <c r="F38" t="str">
        <f t="shared" si="0"/>
        <v>Mid Range</v>
      </c>
      <c r="H38" s="17" t="s">
        <v>420</v>
      </c>
      <c r="I38" s="30"/>
    </row>
    <row r="39" spans="1:26" ht="18.75" customHeight="1" x14ac:dyDescent="0.3">
      <c r="A39" t="s">
        <v>70</v>
      </c>
      <c r="B39" s="2">
        <v>28</v>
      </c>
      <c r="C39" s="2">
        <v>86</v>
      </c>
      <c r="D39" s="8">
        <v>15.5</v>
      </c>
      <c r="E39" s="2">
        <v>76</v>
      </c>
      <c r="F39" t="str">
        <f t="shared" si="0"/>
        <v>Mid Range</v>
      </c>
    </row>
    <row r="40" spans="1:26" ht="18.75" customHeight="1" x14ac:dyDescent="0.3">
      <c r="A40" t="s">
        <v>71</v>
      </c>
      <c r="B40" s="2">
        <v>20</v>
      </c>
      <c r="C40" s="2">
        <v>102</v>
      </c>
      <c r="D40" s="8">
        <v>15.7</v>
      </c>
      <c r="E40" s="2">
        <v>76</v>
      </c>
      <c r="F40" t="str">
        <f t="shared" si="0"/>
        <v>Economy</v>
      </c>
      <c r="H40" t="s">
        <v>389</v>
      </c>
      <c r="I40" s="8">
        <v>15.568090452261293</v>
      </c>
    </row>
    <row r="41" spans="1:26" ht="18.75" customHeight="1" x14ac:dyDescent="0.3">
      <c r="A41" t="s">
        <v>44</v>
      </c>
      <c r="B41" s="2">
        <v>19</v>
      </c>
      <c r="C41" s="2">
        <v>88</v>
      </c>
      <c r="D41" s="8">
        <v>21.9</v>
      </c>
      <c r="E41" s="2">
        <v>76</v>
      </c>
      <c r="F41" t="str">
        <f t="shared" si="0"/>
        <v>Economy</v>
      </c>
      <c r="H41" t="s">
        <v>354</v>
      </c>
      <c r="I41" s="8">
        <v>0.13823045568333292</v>
      </c>
    </row>
    <row r="42" spans="1:26" ht="18.75" customHeight="1" x14ac:dyDescent="0.3">
      <c r="A42" t="s">
        <v>72</v>
      </c>
      <c r="B42" s="8">
        <v>16.5</v>
      </c>
      <c r="C42" s="2">
        <v>120</v>
      </c>
      <c r="D42" s="8">
        <v>16.7</v>
      </c>
      <c r="E42" s="2">
        <v>76</v>
      </c>
      <c r="F42" t="str">
        <f t="shared" si="0"/>
        <v>Economy</v>
      </c>
      <c r="H42" t="s">
        <v>390</v>
      </c>
      <c r="I42" s="8">
        <v>15.5</v>
      </c>
    </row>
    <row r="43" spans="1:26" ht="18.75" customHeight="1" x14ac:dyDescent="0.3">
      <c r="A43" t="s">
        <v>73</v>
      </c>
      <c r="B43" s="8">
        <v>21.5</v>
      </c>
      <c r="C43" s="2">
        <v>110</v>
      </c>
      <c r="D43" s="8">
        <v>12.8</v>
      </c>
      <c r="E43" s="2">
        <v>77</v>
      </c>
      <c r="F43" t="str">
        <f t="shared" si="0"/>
        <v>Economy</v>
      </c>
      <c r="H43" t="s">
        <v>391</v>
      </c>
      <c r="I43" s="8">
        <v>14.5</v>
      </c>
    </row>
    <row r="44" spans="1:26" ht="18.75" customHeight="1" x14ac:dyDescent="0.3">
      <c r="A44" t="s">
        <v>74</v>
      </c>
      <c r="B44" s="2">
        <v>29</v>
      </c>
      <c r="C44" s="2">
        <v>78</v>
      </c>
      <c r="D44" s="8">
        <v>14.5</v>
      </c>
      <c r="E44" s="2">
        <v>77</v>
      </c>
      <c r="F44" t="str">
        <f t="shared" si="0"/>
        <v>Mid Range</v>
      </c>
      <c r="H44" t="s">
        <v>392</v>
      </c>
      <c r="I44" s="8">
        <v>2.7576889298127703</v>
      </c>
    </row>
    <row r="45" spans="1:26" ht="18.75" customHeight="1" x14ac:dyDescent="0.3">
      <c r="A45" t="s">
        <v>63</v>
      </c>
      <c r="B45" s="8">
        <v>30.5</v>
      </c>
      <c r="C45" s="2">
        <v>78</v>
      </c>
      <c r="D45" s="8">
        <v>14.1</v>
      </c>
      <c r="E45" s="2">
        <v>77</v>
      </c>
      <c r="F45" t="str">
        <f t="shared" si="0"/>
        <v>Mid Range</v>
      </c>
      <c r="H45" t="s">
        <v>393</v>
      </c>
      <c r="I45" s="8">
        <v>7.6048482336119019</v>
      </c>
    </row>
    <row r="46" spans="1:26" ht="18.75" customHeight="1" x14ac:dyDescent="0.3">
      <c r="A46" t="s">
        <v>75</v>
      </c>
      <c r="B46" s="2">
        <v>36</v>
      </c>
      <c r="C46" s="2">
        <v>58</v>
      </c>
      <c r="D46" s="8">
        <v>18.600000000000001</v>
      </c>
      <c r="E46" s="2">
        <v>77</v>
      </c>
      <c r="F46" t="str">
        <f t="shared" si="0"/>
        <v>Economy</v>
      </c>
      <c r="H46" t="s">
        <v>394</v>
      </c>
      <c r="I46" s="8">
        <v>0.41949688297068732</v>
      </c>
    </row>
    <row r="47" spans="1:26" ht="18.75" customHeight="1" x14ac:dyDescent="0.3">
      <c r="A47" t="s">
        <v>76</v>
      </c>
      <c r="B47" s="8">
        <v>21.6</v>
      </c>
      <c r="C47" s="2">
        <v>115</v>
      </c>
      <c r="D47" s="8">
        <v>15.7</v>
      </c>
      <c r="E47" s="2">
        <v>78</v>
      </c>
      <c r="F47" t="str">
        <f t="shared" si="0"/>
        <v>Economy</v>
      </c>
      <c r="H47" t="s">
        <v>395</v>
      </c>
      <c r="I47" s="8">
        <v>0.27877684462590535</v>
      </c>
    </row>
    <row r="48" spans="1:26" ht="18.75" customHeight="1" x14ac:dyDescent="0.3">
      <c r="A48" t="s">
        <v>77</v>
      </c>
      <c r="B48" s="8">
        <v>31.5</v>
      </c>
      <c r="C48" s="2">
        <v>71</v>
      </c>
      <c r="D48" s="8">
        <v>14.9</v>
      </c>
      <c r="E48" s="2">
        <v>78</v>
      </c>
      <c r="F48" t="str">
        <f t="shared" si="0"/>
        <v>Mid Range</v>
      </c>
      <c r="H48" t="s">
        <v>396</v>
      </c>
      <c r="I48" s="8">
        <v>16.8</v>
      </c>
    </row>
    <row r="49" spans="1:9" ht="18.75" customHeight="1" x14ac:dyDescent="0.3">
      <c r="A49" t="s">
        <v>78</v>
      </c>
      <c r="B49" s="8">
        <v>43.1</v>
      </c>
      <c r="C49" s="2">
        <v>48</v>
      </c>
      <c r="D49" s="8">
        <v>21.5</v>
      </c>
      <c r="E49" s="2">
        <v>78</v>
      </c>
      <c r="F49" t="str">
        <f t="shared" si="0"/>
        <v>Economy</v>
      </c>
      <c r="H49" t="s">
        <v>397</v>
      </c>
      <c r="I49" s="2">
        <v>8</v>
      </c>
    </row>
    <row r="50" spans="1:9" ht="18.75" customHeight="1" x14ac:dyDescent="0.3">
      <c r="A50" t="s">
        <v>79</v>
      </c>
      <c r="B50" s="8">
        <v>20.3</v>
      </c>
      <c r="C50" s="2">
        <v>103</v>
      </c>
      <c r="D50" s="8">
        <v>15.9</v>
      </c>
      <c r="E50" s="2">
        <v>78</v>
      </c>
      <c r="F50" t="str">
        <f t="shared" si="0"/>
        <v>Economy</v>
      </c>
      <c r="H50" t="s">
        <v>398</v>
      </c>
      <c r="I50" s="8">
        <v>24.8</v>
      </c>
    </row>
    <row r="51" spans="1:9" ht="18.75" customHeight="1" x14ac:dyDescent="0.3">
      <c r="A51" t="s">
        <v>80</v>
      </c>
      <c r="B51" s="2">
        <v>17</v>
      </c>
      <c r="C51" s="2">
        <v>125</v>
      </c>
      <c r="D51" s="8">
        <v>13.6</v>
      </c>
      <c r="E51" s="2">
        <v>78</v>
      </c>
      <c r="F51" t="str">
        <f t="shared" si="0"/>
        <v>Economy</v>
      </c>
      <c r="H51" t="s">
        <v>399</v>
      </c>
      <c r="I51" s="8">
        <v>6196.0999999999949</v>
      </c>
    </row>
    <row r="52" spans="1:9" ht="18.75" customHeight="1" x14ac:dyDescent="0.3">
      <c r="A52" t="s">
        <v>81</v>
      </c>
      <c r="B52" s="8">
        <v>16.2</v>
      </c>
      <c r="C52" s="2">
        <v>133</v>
      </c>
      <c r="D52" s="8">
        <v>15.8</v>
      </c>
      <c r="E52" s="2">
        <v>78</v>
      </c>
      <c r="F52" t="str">
        <f t="shared" si="0"/>
        <v>Economy</v>
      </c>
      <c r="H52" s="21" t="s">
        <v>400</v>
      </c>
      <c r="I52" s="22">
        <v>398</v>
      </c>
    </row>
    <row r="53" spans="1:9" ht="18.75" customHeight="1" x14ac:dyDescent="0.3">
      <c r="A53" t="s">
        <v>82</v>
      </c>
      <c r="B53" s="8">
        <v>31.9</v>
      </c>
      <c r="C53" s="2">
        <v>71</v>
      </c>
      <c r="D53" s="2">
        <v>14</v>
      </c>
      <c r="E53" s="2">
        <v>79</v>
      </c>
      <c r="F53" t="str">
        <f t="shared" si="0"/>
        <v>Mid Range</v>
      </c>
    </row>
    <row r="54" spans="1:9" ht="18.75" customHeight="1" x14ac:dyDescent="0.3">
      <c r="A54" t="s">
        <v>83</v>
      </c>
      <c r="B54" s="8">
        <v>37.299999999999997</v>
      </c>
      <c r="C54" s="2">
        <v>69</v>
      </c>
      <c r="D54" s="8">
        <v>14.7</v>
      </c>
      <c r="E54" s="2">
        <v>79</v>
      </c>
      <c r="F54" t="str">
        <f t="shared" si="0"/>
        <v>Economy</v>
      </c>
    </row>
    <row r="55" spans="1:9" ht="18.75" customHeight="1" x14ac:dyDescent="0.3">
      <c r="A55" t="s">
        <v>44</v>
      </c>
      <c r="B55" s="8">
        <v>27.2</v>
      </c>
      <c r="C55" s="2">
        <v>71</v>
      </c>
      <c r="D55" s="8">
        <v>24.8</v>
      </c>
      <c r="E55" s="2">
        <v>79</v>
      </c>
      <c r="F55" t="str">
        <f t="shared" si="0"/>
        <v>Economy</v>
      </c>
    </row>
    <row r="56" spans="1:9" ht="18.75" customHeight="1" x14ac:dyDescent="0.3">
      <c r="A56" t="s">
        <v>84</v>
      </c>
      <c r="B56" s="8">
        <v>25.4</v>
      </c>
      <c r="C56" s="2">
        <v>77</v>
      </c>
      <c r="D56" s="8">
        <v>20.100000000000001</v>
      </c>
      <c r="E56" s="2">
        <v>79</v>
      </c>
      <c r="F56" t="str">
        <f t="shared" si="0"/>
        <v>Economy</v>
      </c>
    </row>
    <row r="57" spans="1:9" ht="18.75" customHeight="1" x14ac:dyDescent="0.3">
      <c r="A57" t="s">
        <v>85</v>
      </c>
      <c r="B57" s="8">
        <v>34.299999999999997</v>
      </c>
      <c r="C57" s="2">
        <v>78</v>
      </c>
      <c r="D57" s="8">
        <v>15.8</v>
      </c>
      <c r="E57" s="2">
        <v>80</v>
      </c>
      <c r="F57" t="str">
        <f t="shared" si="0"/>
        <v>Economy</v>
      </c>
    </row>
    <row r="58" spans="1:9" ht="18.75" customHeight="1" x14ac:dyDescent="0.3">
      <c r="A58" t="s">
        <v>69</v>
      </c>
      <c r="B58" s="8">
        <v>41.5</v>
      </c>
      <c r="C58" s="2">
        <v>76</v>
      </c>
      <c r="D58" s="8">
        <v>14.7</v>
      </c>
      <c r="E58" s="2">
        <v>80</v>
      </c>
      <c r="F58" t="str">
        <f t="shared" si="0"/>
        <v>Economy</v>
      </c>
    </row>
    <row r="59" spans="1:9" ht="18.75" customHeight="1" x14ac:dyDescent="0.3">
      <c r="A59" t="s">
        <v>86</v>
      </c>
      <c r="B59" s="2">
        <v>35</v>
      </c>
      <c r="C59" s="2">
        <v>88</v>
      </c>
      <c r="D59" s="8">
        <v>15.1</v>
      </c>
      <c r="E59" s="2">
        <v>80</v>
      </c>
      <c r="F59" t="str">
        <f t="shared" si="0"/>
        <v>Economy</v>
      </c>
    </row>
    <row r="60" spans="1:9" ht="18.75" customHeight="1" x14ac:dyDescent="0.3">
      <c r="A60" t="s">
        <v>87</v>
      </c>
      <c r="B60" s="8">
        <v>29.8</v>
      </c>
      <c r="C60" s="2">
        <v>62</v>
      </c>
      <c r="D60" s="8">
        <v>15.3</v>
      </c>
      <c r="E60" s="2">
        <v>80</v>
      </c>
      <c r="F60" t="str">
        <f t="shared" si="0"/>
        <v>Mid Range</v>
      </c>
    </row>
    <row r="61" spans="1:9" ht="18.75" customHeight="1" x14ac:dyDescent="0.3">
      <c r="A61" t="s">
        <v>88</v>
      </c>
      <c r="B61" s="8">
        <v>44.3</v>
      </c>
      <c r="C61" s="2">
        <v>48</v>
      </c>
      <c r="D61" s="8">
        <v>21.7</v>
      </c>
      <c r="E61" s="2">
        <v>80</v>
      </c>
      <c r="F61" t="str">
        <f t="shared" si="0"/>
        <v>Economy</v>
      </c>
    </row>
    <row r="62" spans="1:9" ht="18.75" customHeight="1" x14ac:dyDescent="0.3">
      <c r="A62" t="s">
        <v>89</v>
      </c>
      <c r="B62" s="2">
        <v>30</v>
      </c>
      <c r="C62" s="2">
        <v>67</v>
      </c>
      <c r="D62" s="8">
        <v>21.8</v>
      </c>
      <c r="E62" s="2">
        <v>80</v>
      </c>
      <c r="F62" t="str">
        <f t="shared" si="0"/>
        <v>Economy</v>
      </c>
    </row>
    <row r="63" spans="1:9" ht="18.75" customHeight="1" x14ac:dyDescent="0.3">
      <c r="A63" t="s">
        <v>90</v>
      </c>
      <c r="B63" s="8">
        <v>43.4</v>
      </c>
      <c r="C63" s="2">
        <v>48</v>
      </c>
      <c r="D63" s="8">
        <v>23.7</v>
      </c>
      <c r="E63" s="2">
        <v>80</v>
      </c>
      <c r="F63" t="str">
        <f t="shared" si="0"/>
        <v>Economy</v>
      </c>
    </row>
    <row r="64" spans="1:9" ht="18.75" customHeight="1" x14ac:dyDescent="0.3">
      <c r="A64" t="s">
        <v>91</v>
      </c>
      <c r="B64" s="8">
        <v>40.9</v>
      </c>
      <c r="D64" s="8">
        <v>17.3</v>
      </c>
      <c r="E64" s="2">
        <v>80</v>
      </c>
      <c r="F64" t="str">
        <f t="shared" si="0"/>
        <v>Economy</v>
      </c>
    </row>
    <row r="65" spans="1:6" ht="18.75" customHeight="1" x14ac:dyDescent="0.3">
      <c r="A65" t="s">
        <v>92</v>
      </c>
      <c r="B65" s="8">
        <v>36.4</v>
      </c>
      <c r="C65" s="2">
        <v>67</v>
      </c>
      <c r="D65" s="8">
        <v>19.899999999999999</v>
      </c>
      <c r="E65" s="2">
        <v>80</v>
      </c>
      <c r="F65" t="str">
        <f t="shared" si="0"/>
        <v>Economy</v>
      </c>
    </row>
    <row r="66" spans="1:6" ht="18.75" customHeight="1" x14ac:dyDescent="0.3">
      <c r="A66" t="s">
        <v>93</v>
      </c>
      <c r="B66" s="2">
        <v>33</v>
      </c>
      <c r="C66" s="2">
        <v>74</v>
      </c>
      <c r="D66" s="8">
        <v>14.2</v>
      </c>
      <c r="E66" s="2">
        <v>81</v>
      </c>
      <c r="F66" t="str">
        <f t="shared" ref="F66:F129" si="1">IF(AND(C66&gt;100,D66&lt;13,B66&gt;32.5),"High Performance",IF(AND(C66&lt;= 100,C66&gt;=60,D66&gt;=13,D66&lt;=19,B66&gt;=17,B66&lt;=32.5),"Mid Range","Economy"))</f>
        <v>Economy</v>
      </c>
    </row>
    <row r="67" spans="1:6" ht="18.75" customHeight="1" x14ac:dyDescent="0.3">
      <c r="A67" t="s">
        <v>94</v>
      </c>
      <c r="B67" s="8">
        <v>28.1</v>
      </c>
      <c r="C67" s="2">
        <v>80</v>
      </c>
      <c r="D67" s="8">
        <v>20.399999999999999</v>
      </c>
      <c r="E67" s="2">
        <v>81</v>
      </c>
      <c r="F67" t="str">
        <f t="shared" si="1"/>
        <v>Economy</v>
      </c>
    </row>
    <row r="68" spans="1:6" ht="18.75" customHeight="1" x14ac:dyDescent="0.3">
      <c r="A68" t="s">
        <v>95</v>
      </c>
      <c r="B68" s="8">
        <v>34.5</v>
      </c>
      <c r="D68" s="8">
        <v>15.8</v>
      </c>
      <c r="E68" s="2">
        <v>81</v>
      </c>
      <c r="F68" t="str">
        <f t="shared" si="1"/>
        <v>Economy</v>
      </c>
    </row>
    <row r="69" spans="1:6" ht="18.75" customHeight="1" x14ac:dyDescent="0.3">
      <c r="A69" t="s">
        <v>96</v>
      </c>
      <c r="B69" s="8">
        <v>30.7</v>
      </c>
      <c r="C69" s="2">
        <v>76</v>
      </c>
      <c r="D69" s="8">
        <v>19.600000000000001</v>
      </c>
      <c r="E69" s="2">
        <v>81</v>
      </c>
      <c r="F69" t="str">
        <f t="shared" si="1"/>
        <v>Economy</v>
      </c>
    </row>
    <row r="70" spans="1:6" ht="18.75" customHeight="1" x14ac:dyDescent="0.3">
      <c r="A70" t="s">
        <v>97</v>
      </c>
      <c r="B70" s="2">
        <v>36</v>
      </c>
      <c r="C70" s="2">
        <v>74</v>
      </c>
      <c r="D70" s="8">
        <v>15.3</v>
      </c>
      <c r="E70" s="2">
        <v>82</v>
      </c>
      <c r="F70" t="str">
        <f t="shared" si="1"/>
        <v>Economy</v>
      </c>
    </row>
    <row r="71" spans="1:6" ht="18.75" customHeight="1" x14ac:dyDescent="0.3">
      <c r="A71" t="s">
        <v>98</v>
      </c>
      <c r="B71" s="2">
        <v>44</v>
      </c>
      <c r="C71" s="2">
        <v>52</v>
      </c>
      <c r="D71" s="8">
        <v>24.6</v>
      </c>
      <c r="E71" s="2">
        <v>82</v>
      </c>
      <c r="F71" t="str">
        <f t="shared" si="1"/>
        <v>Economy</v>
      </c>
    </row>
    <row r="72" spans="1:6" ht="18.75" customHeight="1" x14ac:dyDescent="0.3">
      <c r="A72" t="s">
        <v>99</v>
      </c>
      <c r="B72" s="2">
        <v>27</v>
      </c>
      <c r="C72" s="2">
        <v>88</v>
      </c>
      <c r="D72" s="8">
        <v>14.5</v>
      </c>
      <c r="E72" s="2">
        <v>70</v>
      </c>
      <c r="F72" t="str">
        <f t="shared" si="1"/>
        <v>Mid Range</v>
      </c>
    </row>
    <row r="73" spans="1:6" ht="18.75" customHeight="1" x14ac:dyDescent="0.3">
      <c r="A73" t="s">
        <v>100</v>
      </c>
      <c r="B73" s="2">
        <v>24</v>
      </c>
      <c r="C73" s="2">
        <v>95</v>
      </c>
      <c r="D73" s="2">
        <v>15</v>
      </c>
      <c r="E73" s="2">
        <v>70</v>
      </c>
      <c r="F73" t="str">
        <f t="shared" si="1"/>
        <v>Mid Range</v>
      </c>
    </row>
    <row r="74" spans="1:6" ht="18.75" customHeight="1" x14ac:dyDescent="0.3">
      <c r="A74" t="s">
        <v>101</v>
      </c>
      <c r="B74" s="2">
        <v>35</v>
      </c>
      <c r="C74" s="2">
        <v>69</v>
      </c>
      <c r="D74" s="2">
        <v>18</v>
      </c>
      <c r="E74" s="2">
        <v>71</v>
      </c>
      <c r="F74" t="str">
        <f t="shared" si="1"/>
        <v>Economy</v>
      </c>
    </row>
    <row r="75" spans="1:6" ht="18.75" customHeight="1" x14ac:dyDescent="0.3">
      <c r="A75" t="s">
        <v>102</v>
      </c>
      <c r="B75" s="2">
        <v>25</v>
      </c>
      <c r="C75" s="2">
        <v>95</v>
      </c>
      <c r="D75" s="2">
        <v>14</v>
      </c>
      <c r="E75" s="2">
        <v>71</v>
      </c>
      <c r="F75" t="str">
        <f t="shared" si="1"/>
        <v>Mid Range</v>
      </c>
    </row>
    <row r="76" spans="1:6" ht="18.75" customHeight="1" x14ac:dyDescent="0.3">
      <c r="A76" t="s">
        <v>99</v>
      </c>
      <c r="B76" s="2">
        <v>27</v>
      </c>
      <c r="C76" s="2">
        <v>88</v>
      </c>
      <c r="D76" s="8">
        <v>14.5</v>
      </c>
      <c r="E76" s="2">
        <v>71</v>
      </c>
      <c r="F76" t="str">
        <f t="shared" si="1"/>
        <v>Mid Range</v>
      </c>
    </row>
    <row r="77" spans="1:6" ht="18.75" customHeight="1" x14ac:dyDescent="0.3">
      <c r="A77" t="s">
        <v>103</v>
      </c>
      <c r="B77" s="2">
        <v>31</v>
      </c>
      <c r="C77" s="2">
        <v>65</v>
      </c>
      <c r="D77" s="2">
        <v>19</v>
      </c>
      <c r="E77" s="2">
        <v>71</v>
      </c>
      <c r="F77" t="str">
        <f t="shared" si="1"/>
        <v>Mid Range</v>
      </c>
    </row>
    <row r="78" spans="1:6" ht="18.75" customHeight="1" x14ac:dyDescent="0.3">
      <c r="A78" t="s">
        <v>104</v>
      </c>
      <c r="B78" s="2">
        <v>19</v>
      </c>
      <c r="C78" s="2">
        <v>97</v>
      </c>
      <c r="D78" s="8">
        <v>13.5</v>
      </c>
      <c r="E78" s="2">
        <v>72</v>
      </c>
      <c r="F78" t="str">
        <f t="shared" si="1"/>
        <v>Mid Range</v>
      </c>
    </row>
    <row r="79" spans="1:6" ht="18.75" customHeight="1" x14ac:dyDescent="0.3">
      <c r="A79" t="s">
        <v>105</v>
      </c>
      <c r="B79" s="2">
        <v>27</v>
      </c>
      <c r="C79" s="2">
        <v>88</v>
      </c>
      <c r="D79" s="8">
        <v>16.5</v>
      </c>
      <c r="E79" s="2">
        <v>72</v>
      </c>
      <c r="F79" t="str">
        <f t="shared" si="1"/>
        <v>Mid Range</v>
      </c>
    </row>
    <row r="80" spans="1:6" ht="18.75" customHeight="1" x14ac:dyDescent="0.3">
      <c r="A80" t="s">
        <v>106</v>
      </c>
      <c r="B80" s="2">
        <v>24</v>
      </c>
      <c r="C80" s="2">
        <v>95</v>
      </c>
      <c r="D80" s="8">
        <v>15.5</v>
      </c>
      <c r="E80" s="2">
        <v>72</v>
      </c>
      <c r="F80" t="str">
        <f t="shared" si="1"/>
        <v>Mid Range</v>
      </c>
    </row>
    <row r="81" spans="1:6" ht="18.75" customHeight="1" x14ac:dyDescent="0.3">
      <c r="A81" t="s">
        <v>107</v>
      </c>
      <c r="B81" s="2">
        <v>28</v>
      </c>
      <c r="C81" s="2">
        <v>92</v>
      </c>
      <c r="D81" s="2">
        <v>17</v>
      </c>
      <c r="E81" s="2">
        <v>72</v>
      </c>
      <c r="F81" t="str">
        <f t="shared" si="1"/>
        <v>Mid Range</v>
      </c>
    </row>
    <row r="82" spans="1:6" ht="18.75" customHeight="1" x14ac:dyDescent="0.3">
      <c r="A82" t="s">
        <v>108</v>
      </c>
      <c r="B82" s="2">
        <v>23</v>
      </c>
      <c r="C82" s="2">
        <v>97</v>
      </c>
      <c r="D82" s="8">
        <v>14.5</v>
      </c>
      <c r="E82" s="2">
        <v>72</v>
      </c>
      <c r="F82" t="str">
        <f t="shared" si="1"/>
        <v>Mid Range</v>
      </c>
    </row>
    <row r="83" spans="1:6" ht="18.75" customHeight="1" x14ac:dyDescent="0.3">
      <c r="A83" t="s">
        <v>109</v>
      </c>
      <c r="B83" s="2">
        <v>18</v>
      </c>
      <c r="C83" s="2">
        <v>90</v>
      </c>
      <c r="D83" s="8">
        <v>13.5</v>
      </c>
      <c r="E83" s="2">
        <v>73</v>
      </c>
      <c r="F83" t="str">
        <f t="shared" si="1"/>
        <v>Mid Range</v>
      </c>
    </row>
    <row r="84" spans="1:6" ht="18.75" customHeight="1" x14ac:dyDescent="0.3">
      <c r="A84" t="s">
        <v>110</v>
      </c>
      <c r="B84" s="2">
        <v>22</v>
      </c>
      <c r="C84" s="2">
        <v>94</v>
      </c>
      <c r="D84" s="8">
        <v>16.5</v>
      </c>
      <c r="E84" s="2">
        <v>73</v>
      </c>
      <c r="F84" t="str">
        <f t="shared" si="1"/>
        <v>Mid Range</v>
      </c>
    </row>
    <row r="85" spans="1:6" ht="18.75" customHeight="1" x14ac:dyDescent="0.3">
      <c r="A85" t="s">
        <v>111</v>
      </c>
      <c r="B85" s="2">
        <v>20</v>
      </c>
      <c r="C85" s="2">
        <v>88</v>
      </c>
      <c r="D85" s="2">
        <v>19</v>
      </c>
      <c r="E85" s="2">
        <v>73</v>
      </c>
      <c r="F85" t="str">
        <f t="shared" si="1"/>
        <v>Mid Range</v>
      </c>
    </row>
    <row r="86" spans="1:6" ht="18.75" customHeight="1" x14ac:dyDescent="0.3">
      <c r="A86" t="s">
        <v>112</v>
      </c>
      <c r="B86" s="2">
        <v>20</v>
      </c>
      <c r="C86" s="2">
        <v>122</v>
      </c>
      <c r="D86" s="8">
        <v>13.5</v>
      </c>
      <c r="E86" s="2">
        <v>73</v>
      </c>
      <c r="F86" t="str">
        <f t="shared" si="1"/>
        <v>Economy</v>
      </c>
    </row>
    <row r="87" spans="1:6" ht="18.75" customHeight="1" x14ac:dyDescent="0.3">
      <c r="A87" t="s">
        <v>113</v>
      </c>
      <c r="B87" s="2">
        <v>24</v>
      </c>
      <c r="C87" s="2">
        <v>97</v>
      </c>
      <c r="D87" s="2">
        <v>15</v>
      </c>
      <c r="E87" s="2">
        <v>74</v>
      </c>
      <c r="F87" t="str">
        <f t="shared" si="1"/>
        <v>Mid Range</v>
      </c>
    </row>
    <row r="88" spans="1:6" ht="18.75" customHeight="1" x14ac:dyDescent="0.3">
      <c r="A88" t="s">
        <v>114</v>
      </c>
      <c r="B88" s="2">
        <v>26</v>
      </c>
      <c r="C88" s="2">
        <v>93</v>
      </c>
      <c r="D88" s="8">
        <v>15.5</v>
      </c>
      <c r="E88" s="2">
        <v>74</v>
      </c>
      <c r="F88" t="str">
        <f t="shared" si="1"/>
        <v>Mid Range</v>
      </c>
    </row>
    <row r="89" spans="1:6" ht="18.75" customHeight="1" x14ac:dyDescent="0.3">
      <c r="A89" t="s">
        <v>103</v>
      </c>
      <c r="B89" s="2">
        <v>32</v>
      </c>
      <c r="C89" s="2">
        <v>65</v>
      </c>
      <c r="D89" s="2">
        <v>21</v>
      </c>
      <c r="E89" s="2">
        <v>74</v>
      </c>
      <c r="F89" t="str">
        <f t="shared" si="1"/>
        <v>Economy</v>
      </c>
    </row>
    <row r="90" spans="1:6" ht="18.75" customHeight="1" x14ac:dyDescent="0.3">
      <c r="A90" t="s">
        <v>115</v>
      </c>
      <c r="B90" s="2">
        <v>31</v>
      </c>
      <c r="C90" s="2">
        <v>67</v>
      </c>
      <c r="D90" s="2">
        <v>19</v>
      </c>
      <c r="E90" s="2">
        <v>74</v>
      </c>
      <c r="F90" t="str">
        <f t="shared" si="1"/>
        <v>Mid Range</v>
      </c>
    </row>
    <row r="91" spans="1:6" ht="18.75" customHeight="1" x14ac:dyDescent="0.3">
      <c r="A91" t="s">
        <v>102</v>
      </c>
      <c r="B91" s="2">
        <v>31</v>
      </c>
      <c r="C91" s="2">
        <v>52</v>
      </c>
      <c r="D91" s="8">
        <v>16.5</v>
      </c>
      <c r="E91" s="2">
        <v>74</v>
      </c>
      <c r="F91" t="str">
        <f t="shared" si="1"/>
        <v>Economy</v>
      </c>
    </row>
    <row r="92" spans="1:6" ht="18.75" customHeight="1" x14ac:dyDescent="0.3">
      <c r="A92" t="s">
        <v>116</v>
      </c>
      <c r="B92" s="2">
        <v>32</v>
      </c>
      <c r="C92" s="2">
        <v>61</v>
      </c>
      <c r="D92" s="2">
        <v>19</v>
      </c>
      <c r="E92" s="2">
        <v>74</v>
      </c>
      <c r="F92" t="str">
        <f t="shared" si="1"/>
        <v>Mid Range</v>
      </c>
    </row>
    <row r="93" spans="1:6" ht="18.75" customHeight="1" x14ac:dyDescent="0.3">
      <c r="A93" t="s">
        <v>116</v>
      </c>
      <c r="B93" s="2">
        <v>24</v>
      </c>
      <c r="C93" s="2">
        <v>97</v>
      </c>
      <c r="D93" s="2">
        <v>17</v>
      </c>
      <c r="E93" s="2">
        <v>75</v>
      </c>
      <c r="F93" t="str">
        <f t="shared" si="1"/>
        <v>Mid Range</v>
      </c>
    </row>
    <row r="94" spans="1:6" ht="18.75" customHeight="1" x14ac:dyDescent="0.3">
      <c r="A94" t="s">
        <v>102</v>
      </c>
      <c r="B94" s="2">
        <v>24</v>
      </c>
      <c r="C94" s="2">
        <v>96</v>
      </c>
      <c r="D94" s="8">
        <v>13.5</v>
      </c>
      <c r="E94" s="2">
        <v>75</v>
      </c>
      <c r="F94" t="str">
        <f t="shared" si="1"/>
        <v>Mid Range</v>
      </c>
    </row>
    <row r="95" spans="1:6" ht="18.75" customHeight="1" x14ac:dyDescent="0.3">
      <c r="A95" t="s">
        <v>117</v>
      </c>
      <c r="B95" s="2">
        <v>29</v>
      </c>
      <c r="C95" s="2">
        <v>75</v>
      </c>
      <c r="D95" s="2">
        <v>16</v>
      </c>
      <c r="E95" s="2">
        <v>75</v>
      </c>
      <c r="F95" t="str">
        <f t="shared" si="1"/>
        <v>Mid Range</v>
      </c>
    </row>
    <row r="96" spans="1:6" ht="18.75" customHeight="1" x14ac:dyDescent="0.3">
      <c r="A96" t="s">
        <v>118</v>
      </c>
      <c r="B96" s="2">
        <v>33</v>
      </c>
      <c r="C96" s="2">
        <v>53</v>
      </c>
      <c r="D96" s="8">
        <v>17.5</v>
      </c>
      <c r="E96" s="2">
        <v>75</v>
      </c>
      <c r="F96" t="str">
        <f t="shared" si="1"/>
        <v>Economy</v>
      </c>
    </row>
    <row r="97" spans="1:6" ht="18.75" customHeight="1" x14ac:dyDescent="0.3">
      <c r="A97" t="s">
        <v>119</v>
      </c>
      <c r="B97" s="2">
        <v>32</v>
      </c>
      <c r="C97" s="2">
        <v>70</v>
      </c>
      <c r="D97" s="2">
        <v>17</v>
      </c>
      <c r="E97" s="2">
        <v>76</v>
      </c>
      <c r="F97" t="str">
        <f t="shared" si="1"/>
        <v>Mid Range</v>
      </c>
    </row>
    <row r="98" spans="1:6" ht="18.75" customHeight="1" x14ac:dyDescent="0.3">
      <c r="A98" t="s">
        <v>117</v>
      </c>
      <c r="B98" s="2">
        <v>28</v>
      </c>
      <c r="C98" s="2">
        <v>75</v>
      </c>
      <c r="D98" s="8">
        <v>16.399999999999999</v>
      </c>
      <c r="E98" s="2">
        <v>76</v>
      </c>
      <c r="F98" t="str">
        <f t="shared" si="1"/>
        <v>Mid Range</v>
      </c>
    </row>
    <row r="99" spans="1:6" ht="18.75" customHeight="1" x14ac:dyDescent="0.3">
      <c r="A99" t="s">
        <v>113</v>
      </c>
      <c r="B99" s="2">
        <v>33</v>
      </c>
      <c r="C99" s="2">
        <v>53</v>
      </c>
      <c r="D99" s="8">
        <v>17.399999999999999</v>
      </c>
      <c r="E99" s="2">
        <v>76</v>
      </c>
      <c r="F99" t="str">
        <f t="shared" si="1"/>
        <v>Economy</v>
      </c>
    </row>
    <row r="100" spans="1:6" ht="18.75" customHeight="1" x14ac:dyDescent="0.3">
      <c r="A100" t="s">
        <v>112</v>
      </c>
      <c r="B100" s="2">
        <v>19</v>
      </c>
      <c r="C100" s="2">
        <v>108</v>
      </c>
      <c r="D100" s="8">
        <v>15.5</v>
      </c>
      <c r="E100" s="2">
        <v>76</v>
      </c>
      <c r="F100" t="str">
        <f t="shared" si="1"/>
        <v>Economy</v>
      </c>
    </row>
    <row r="101" spans="1:6" ht="18.75" customHeight="1" x14ac:dyDescent="0.3">
      <c r="A101" t="s">
        <v>120</v>
      </c>
      <c r="B101" s="8">
        <v>21.5</v>
      </c>
      <c r="C101" s="2">
        <v>110</v>
      </c>
      <c r="D101" s="8">
        <v>13.5</v>
      </c>
      <c r="E101" s="2">
        <v>77</v>
      </c>
      <c r="F101" t="str">
        <f t="shared" si="1"/>
        <v>Economy</v>
      </c>
    </row>
    <row r="102" spans="1:6" ht="18.75" customHeight="1" x14ac:dyDescent="0.3">
      <c r="A102" t="s">
        <v>121</v>
      </c>
      <c r="B102" s="8">
        <v>33.5</v>
      </c>
      <c r="C102" s="2">
        <v>70</v>
      </c>
      <c r="D102" s="8">
        <v>16.8</v>
      </c>
      <c r="E102" s="2">
        <v>77</v>
      </c>
      <c r="F102" t="str">
        <f t="shared" si="1"/>
        <v>Economy</v>
      </c>
    </row>
    <row r="103" spans="1:6" ht="18.75" customHeight="1" x14ac:dyDescent="0.3">
      <c r="A103" t="s">
        <v>122</v>
      </c>
      <c r="B103" s="2">
        <v>30</v>
      </c>
      <c r="C103" s="2">
        <v>67</v>
      </c>
      <c r="D103" s="8">
        <v>16.399999999999999</v>
      </c>
      <c r="E103" s="2">
        <v>77</v>
      </c>
      <c r="F103" t="str">
        <f t="shared" si="1"/>
        <v>Mid Range</v>
      </c>
    </row>
    <row r="104" spans="1:6" ht="18.75" customHeight="1" x14ac:dyDescent="0.3">
      <c r="A104" t="s">
        <v>123</v>
      </c>
      <c r="B104" s="8">
        <v>31.5</v>
      </c>
      <c r="C104" s="2">
        <v>68</v>
      </c>
      <c r="D104" s="8">
        <v>18.5</v>
      </c>
      <c r="E104" s="2">
        <v>77</v>
      </c>
      <c r="F104" t="str">
        <f t="shared" si="1"/>
        <v>Mid Range</v>
      </c>
    </row>
    <row r="105" spans="1:6" ht="18.75" customHeight="1" x14ac:dyDescent="0.3">
      <c r="A105" t="s">
        <v>124</v>
      </c>
      <c r="B105" s="2">
        <v>26</v>
      </c>
      <c r="C105" s="2">
        <v>75</v>
      </c>
      <c r="D105" s="8">
        <v>18.2</v>
      </c>
      <c r="E105" s="2">
        <v>77</v>
      </c>
      <c r="F105" t="str">
        <f t="shared" si="1"/>
        <v>Mid Range</v>
      </c>
    </row>
    <row r="106" spans="1:6" ht="18.75" customHeight="1" x14ac:dyDescent="0.3">
      <c r="A106" t="s">
        <v>125</v>
      </c>
      <c r="B106" s="2">
        <v>22</v>
      </c>
      <c r="C106" s="2">
        <v>97</v>
      </c>
      <c r="D106" s="8">
        <v>14.5</v>
      </c>
      <c r="E106" s="2">
        <v>77</v>
      </c>
      <c r="F106" t="str">
        <f t="shared" si="1"/>
        <v>Mid Range</v>
      </c>
    </row>
    <row r="107" spans="1:6" ht="18.75" customHeight="1" x14ac:dyDescent="0.3">
      <c r="A107" t="s">
        <v>126</v>
      </c>
      <c r="B107" s="8">
        <v>27.2</v>
      </c>
      <c r="C107" s="2">
        <v>97</v>
      </c>
      <c r="D107" s="8">
        <v>14.7</v>
      </c>
      <c r="E107" s="2">
        <v>78</v>
      </c>
      <c r="F107" t="str">
        <f t="shared" si="1"/>
        <v>Mid Range</v>
      </c>
    </row>
    <row r="108" spans="1:6" ht="18.75" customHeight="1" x14ac:dyDescent="0.3">
      <c r="A108" t="s">
        <v>127</v>
      </c>
      <c r="B108" s="8">
        <v>23.9</v>
      </c>
      <c r="C108" s="2">
        <v>97</v>
      </c>
      <c r="D108" s="8">
        <v>14.9</v>
      </c>
      <c r="E108" s="2">
        <v>78</v>
      </c>
      <c r="F108" t="str">
        <f t="shared" si="1"/>
        <v>Mid Range</v>
      </c>
    </row>
    <row r="109" spans="1:6" ht="18.75" customHeight="1" x14ac:dyDescent="0.3">
      <c r="A109" t="s">
        <v>128</v>
      </c>
      <c r="B109" s="8">
        <v>21.1</v>
      </c>
      <c r="C109" s="2">
        <v>95</v>
      </c>
      <c r="D109" s="8">
        <v>14.8</v>
      </c>
      <c r="E109" s="2">
        <v>78</v>
      </c>
      <c r="F109" t="str">
        <f t="shared" si="1"/>
        <v>Mid Range</v>
      </c>
    </row>
    <row r="110" spans="1:6" ht="18.75" customHeight="1" x14ac:dyDescent="0.3">
      <c r="A110" t="s">
        <v>102</v>
      </c>
      <c r="B110" s="8">
        <v>27.5</v>
      </c>
      <c r="C110" s="2">
        <v>95</v>
      </c>
      <c r="D110" s="8">
        <v>14.2</v>
      </c>
      <c r="E110" s="2">
        <v>78</v>
      </c>
      <c r="F110" t="str">
        <f t="shared" si="1"/>
        <v>Mid Range</v>
      </c>
    </row>
    <row r="111" spans="1:6" ht="18.75" customHeight="1" x14ac:dyDescent="0.3">
      <c r="A111" t="s">
        <v>129</v>
      </c>
      <c r="B111" s="8">
        <v>39.4</v>
      </c>
      <c r="C111" s="2">
        <v>70</v>
      </c>
      <c r="D111" s="8">
        <v>18.600000000000001</v>
      </c>
      <c r="E111" s="2">
        <v>78</v>
      </c>
      <c r="F111" t="str">
        <f t="shared" si="1"/>
        <v>Economy</v>
      </c>
    </row>
    <row r="112" spans="1:6" ht="18.75" customHeight="1" x14ac:dyDescent="0.3">
      <c r="A112" t="s">
        <v>118</v>
      </c>
      <c r="B112" s="8">
        <v>36.1</v>
      </c>
      <c r="C112" s="2">
        <v>60</v>
      </c>
      <c r="D112" s="8">
        <v>16.399999999999999</v>
      </c>
      <c r="E112" s="2">
        <v>78</v>
      </c>
      <c r="F112" t="str">
        <f t="shared" si="1"/>
        <v>Economy</v>
      </c>
    </row>
    <row r="113" spans="1:6" ht="18.75" customHeight="1" x14ac:dyDescent="0.3">
      <c r="A113" t="s">
        <v>130</v>
      </c>
      <c r="B113" s="8">
        <v>29.5</v>
      </c>
      <c r="C113" s="2">
        <v>68</v>
      </c>
      <c r="D113" s="8">
        <v>16.600000000000001</v>
      </c>
      <c r="E113" s="2">
        <v>78</v>
      </c>
      <c r="F113" t="str">
        <f t="shared" si="1"/>
        <v>Mid Range</v>
      </c>
    </row>
    <row r="114" spans="1:6" ht="18.75" customHeight="1" x14ac:dyDescent="0.3">
      <c r="A114" t="s">
        <v>131</v>
      </c>
      <c r="B114" s="8">
        <v>32.799999999999997</v>
      </c>
      <c r="C114" s="2">
        <v>52</v>
      </c>
      <c r="D114" s="8">
        <v>19.399999999999999</v>
      </c>
      <c r="E114" s="2">
        <v>78</v>
      </c>
      <c r="F114" t="str">
        <f t="shared" si="1"/>
        <v>Economy</v>
      </c>
    </row>
    <row r="115" spans="1:6" ht="18.75" customHeight="1" x14ac:dyDescent="0.3">
      <c r="A115" t="s">
        <v>132</v>
      </c>
      <c r="B115" s="8">
        <v>34.1</v>
      </c>
      <c r="C115" s="2">
        <v>65</v>
      </c>
      <c r="D115" s="8">
        <v>15.2</v>
      </c>
      <c r="E115" s="2">
        <v>79</v>
      </c>
      <c r="F115" t="str">
        <f t="shared" si="1"/>
        <v>Economy</v>
      </c>
    </row>
    <row r="116" spans="1:6" ht="18.75" customHeight="1" x14ac:dyDescent="0.3">
      <c r="A116" t="s">
        <v>133</v>
      </c>
      <c r="B116" s="8">
        <v>31.8</v>
      </c>
      <c r="C116" s="2">
        <v>65</v>
      </c>
      <c r="D116" s="8">
        <v>19.2</v>
      </c>
      <c r="E116" s="2">
        <v>79</v>
      </c>
      <c r="F116" t="str">
        <f t="shared" si="1"/>
        <v>Economy</v>
      </c>
    </row>
    <row r="117" spans="1:6" ht="18.75" customHeight="1" x14ac:dyDescent="0.3">
      <c r="A117" t="s">
        <v>134</v>
      </c>
      <c r="B117" s="8">
        <v>23.7</v>
      </c>
      <c r="C117" s="2">
        <v>100</v>
      </c>
      <c r="D117" s="8">
        <v>12.5</v>
      </c>
      <c r="E117" s="2">
        <v>80</v>
      </c>
      <c r="F117" t="str">
        <f t="shared" si="1"/>
        <v>Economy</v>
      </c>
    </row>
    <row r="118" spans="1:6" ht="18.75" customHeight="1" x14ac:dyDescent="0.3">
      <c r="A118" t="s">
        <v>135</v>
      </c>
      <c r="B118" s="2">
        <v>37</v>
      </c>
      <c r="C118" s="2">
        <v>92</v>
      </c>
      <c r="D118" s="2">
        <v>15</v>
      </c>
      <c r="E118" s="2">
        <v>80</v>
      </c>
      <c r="F118" t="str">
        <f t="shared" si="1"/>
        <v>Economy</v>
      </c>
    </row>
    <row r="119" spans="1:6" ht="18.75" customHeight="1" x14ac:dyDescent="0.3">
      <c r="A119" t="s">
        <v>136</v>
      </c>
      <c r="B119" s="8">
        <v>44.6</v>
      </c>
      <c r="C119" s="2">
        <v>67</v>
      </c>
      <c r="D119" s="8">
        <v>13.8</v>
      </c>
      <c r="E119" s="2">
        <v>80</v>
      </c>
      <c r="F119" t="str">
        <f t="shared" si="1"/>
        <v>Economy</v>
      </c>
    </row>
    <row r="120" spans="1:6" ht="18.75" customHeight="1" x14ac:dyDescent="0.3">
      <c r="A120" t="s">
        <v>137</v>
      </c>
      <c r="B120" s="8">
        <v>29.8</v>
      </c>
      <c r="C120" s="2">
        <v>90</v>
      </c>
      <c r="D120" s="8">
        <v>15.5</v>
      </c>
      <c r="E120" s="2">
        <v>80</v>
      </c>
      <c r="F120" t="str">
        <f t="shared" si="1"/>
        <v>Mid Range</v>
      </c>
    </row>
    <row r="121" spans="1:6" ht="18.75" customHeight="1" x14ac:dyDescent="0.3">
      <c r="A121" t="s">
        <v>117</v>
      </c>
      <c r="B121" s="8">
        <v>32.200000000000003</v>
      </c>
      <c r="C121" s="2">
        <v>75</v>
      </c>
      <c r="D121" s="8">
        <v>15.2</v>
      </c>
      <c r="E121" s="2">
        <v>80</v>
      </c>
      <c r="F121" t="str">
        <f t="shared" si="1"/>
        <v>Mid Range</v>
      </c>
    </row>
    <row r="122" spans="1:6" ht="18.75" customHeight="1" x14ac:dyDescent="0.3">
      <c r="A122" t="s">
        <v>138</v>
      </c>
      <c r="B122" s="8">
        <v>37.200000000000003</v>
      </c>
      <c r="C122" s="2">
        <v>65</v>
      </c>
      <c r="D122" s="8">
        <v>16.399999999999999</v>
      </c>
      <c r="E122" s="2">
        <v>80</v>
      </c>
      <c r="F122" t="str">
        <f t="shared" si="1"/>
        <v>Economy</v>
      </c>
    </row>
    <row r="123" spans="1:6" ht="18.75" customHeight="1" x14ac:dyDescent="0.3">
      <c r="A123" t="s">
        <v>139</v>
      </c>
      <c r="B123" s="8">
        <v>32.4</v>
      </c>
      <c r="C123" s="2">
        <v>72</v>
      </c>
      <c r="D123" s="2">
        <v>17</v>
      </c>
      <c r="E123" s="2">
        <v>80</v>
      </c>
      <c r="F123" t="str">
        <f t="shared" si="1"/>
        <v>Mid Range</v>
      </c>
    </row>
    <row r="124" spans="1:6" ht="18.75" customHeight="1" x14ac:dyDescent="0.3">
      <c r="A124" t="s">
        <v>122</v>
      </c>
      <c r="B124" s="8">
        <v>33.799999999999997</v>
      </c>
      <c r="C124" s="2">
        <v>67</v>
      </c>
      <c r="D124" s="2">
        <v>18</v>
      </c>
      <c r="E124" s="2">
        <v>80</v>
      </c>
      <c r="F124" t="str">
        <f t="shared" si="1"/>
        <v>Economy</v>
      </c>
    </row>
    <row r="125" spans="1:6" ht="18.75" customHeight="1" x14ac:dyDescent="0.3">
      <c r="A125" t="s">
        <v>133</v>
      </c>
      <c r="B125" s="8">
        <v>40.799999999999997</v>
      </c>
      <c r="C125" s="2">
        <v>65</v>
      </c>
      <c r="D125" s="8">
        <v>19.2</v>
      </c>
      <c r="E125" s="2">
        <v>80</v>
      </c>
      <c r="F125" t="str">
        <f t="shared" si="1"/>
        <v>Economy</v>
      </c>
    </row>
    <row r="126" spans="1:6" ht="18.75" customHeight="1" x14ac:dyDescent="0.3">
      <c r="A126" t="s">
        <v>140</v>
      </c>
      <c r="B126" s="8">
        <v>46.6</v>
      </c>
      <c r="C126" s="2">
        <v>65</v>
      </c>
      <c r="D126" s="8">
        <v>17.899999999999999</v>
      </c>
      <c r="E126" s="2">
        <v>80</v>
      </c>
      <c r="F126" t="str">
        <f t="shared" si="1"/>
        <v>Economy</v>
      </c>
    </row>
    <row r="127" spans="1:6" ht="18.75" customHeight="1" x14ac:dyDescent="0.3">
      <c r="A127" t="s">
        <v>141</v>
      </c>
      <c r="B127" s="8">
        <v>38.1</v>
      </c>
      <c r="C127" s="2">
        <v>60</v>
      </c>
      <c r="D127" s="8">
        <v>18.8</v>
      </c>
      <c r="E127" s="2">
        <v>80</v>
      </c>
      <c r="F127" t="str">
        <f t="shared" si="1"/>
        <v>Economy</v>
      </c>
    </row>
    <row r="128" spans="1:6" ht="18.75" customHeight="1" x14ac:dyDescent="0.3">
      <c r="A128" t="s">
        <v>142</v>
      </c>
      <c r="B128" s="8">
        <v>31.3</v>
      </c>
      <c r="C128" s="2">
        <v>75</v>
      </c>
      <c r="D128" s="8">
        <v>17.5</v>
      </c>
      <c r="E128" s="2">
        <v>80</v>
      </c>
      <c r="F128" t="str">
        <f t="shared" si="1"/>
        <v>Mid Range</v>
      </c>
    </row>
    <row r="129" spans="1:6" ht="18.75" customHeight="1" x14ac:dyDescent="0.3">
      <c r="A129" t="s">
        <v>143</v>
      </c>
      <c r="B129" s="8">
        <v>32.700000000000003</v>
      </c>
      <c r="C129" s="2">
        <v>132</v>
      </c>
      <c r="D129" s="8">
        <v>11.4</v>
      </c>
      <c r="E129" s="2">
        <v>80</v>
      </c>
      <c r="F129" t="str">
        <f t="shared" si="1"/>
        <v>High Performance</v>
      </c>
    </row>
    <row r="130" spans="1:6" ht="18.75" customHeight="1" x14ac:dyDescent="0.3">
      <c r="A130" t="s">
        <v>144</v>
      </c>
      <c r="B130" s="8">
        <v>32.9</v>
      </c>
      <c r="C130" s="2">
        <v>100</v>
      </c>
      <c r="D130" s="8">
        <v>14.8</v>
      </c>
      <c r="E130" s="2">
        <v>81</v>
      </c>
      <c r="F130" t="str">
        <f t="shared" ref="F130:F193" si="2">IF(AND(C130&gt;100,D130&lt;13,B130&gt;32.5),"High Performance",IF(AND(C130&lt;= 100,C130&gt;=60,D130&gt;=13,D130&lt;=19,B130&gt;=17,B130&lt;=32.5),"Mid Range","Economy"))</f>
        <v>Economy</v>
      </c>
    </row>
    <row r="131" spans="1:6" ht="18.75" customHeight="1" x14ac:dyDescent="0.3">
      <c r="A131" t="s">
        <v>145</v>
      </c>
      <c r="B131" s="8">
        <v>34.1</v>
      </c>
      <c r="C131" s="2">
        <v>68</v>
      </c>
      <c r="D131" s="2">
        <v>16</v>
      </c>
      <c r="E131" s="2">
        <v>81</v>
      </c>
      <c r="F131" t="str">
        <f t="shared" si="2"/>
        <v>Economy</v>
      </c>
    </row>
    <row r="132" spans="1:6" ht="18.75" customHeight="1" x14ac:dyDescent="0.3">
      <c r="A132" t="s">
        <v>146</v>
      </c>
      <c r="B132" s="8">
        <v>35.1</v>
      </c>
      <c r="C132" s="2">
        <v>60</v>
      </c>
      <c r="D132" s="8">
        <v>16.100000000000001</v>
      </c>
      <c r="E132" s="2">
        <v>81</v>
      </c>
      <c r="F132" t="str">
        <f t="shared" si="2"/>
        <v>Economy</v>
      </c>
    </row>
    <row r="133" spans="1:6" ht="18.75" customHeight="1" x14ac:dyDescent="0.3">
      <c r="A133" t="s">
        <v>147</v>
      </c>
      <c r="B133" s="8">
        <v>33.700000000000003</v>
      </c>
      <c r="C133" s="2">
        <v>75</v>
      </c>
      <c r="D133" s="8">
        <v>14.4</v>
      </c>
      <c r="E133" s="2">
        <v>81</v>
      </c>
      <c r="F133" t="str">
        <f t="shared" si="2"/>
        <v>Economy</v>
      </c>
    </row>
    <row r="134" spans="1:6" ht="18.75" customHeight="1" x14ac:dyDescent="0.3">
      <c r="A134" t="s">
        <v>148</v>
      </c>
      <c r="B134" s="8">
        <v>39.1</v>
      </c>
      <c r="C134" s="2">
        <v>58</v>
      </c>
      <c r="D134" s="8">
        <v>16.899999999999999</v>
      </c>
      <c r="E134" s="2">
        <v>81</v>
      </c>
      <c r="F134" t="str">
        <f t="shared" si="2"/>
        <v>Economy</v>
      </c>
    </row>
    <row r="135" spans="1:6" ht="18.75" customHeight="1" x14ac:dyDescent="0.3">
      <c r="A135" t="s">
        <v>149</v>
      </c>
      <c r="B135" s="2">
        <v>37</v>
      </c>
      <c r="C135" s="2">
        <v>65</v>
      </c>
      <c r="D135" s="8">
        <v>19.399999999999999</v>
      </c>
      <c r="E135" s="2">
        <v>81</v>
      </c>
      <c r="F135" t="str">
        <f t="shared" si="2"/>
        <v>Economy</v>
      </c>
    </row>
    <row r="136" spans="1:6" ht="18.75" customHeight="1" x14ac:dyDescent="0.3">
      <c r="A136" t="s">
        <v>114</v>
      </c>
      <c r="B136" s="8">
        <v>32.299999999999997</v>
      </c>
      <c r="C136" s="2">
        <v>67</v>
      </c>
      <c r="D136" s="8">
        <v>17.8</v>
      </c>
      <c r="E136" s="2">
        <v>81</v>
      </c>
      <c r="F136" t="str">
        <f t="shared" si="2"/>
        <v>Mid Range</v>
      </c>
    </row>
    <row r="137" spans="1:6" ht="18.75" customHeight="1" x14ac:dyDescent="0.3">
      <c r="A137" t="s">
        <v>117</v>
      </c>
      <c r="B137" s="8">
        <v>32.4</v>
      </c>
      <c r="C137" s="2">
        <v>75</v>
      </c>
      <c r="D137" s="8">
        <v>16.8</v>
      </c>
      <c r="E137" s="2">
        <v>81</v>
      </c>
      <c r="F137" t="str">
        <f t="shared" si="2"/>
        <v>Mid Range</v>
      </c>
    </row>
    <row r="138" spans="1:6" ht="18.75" customHeight="1" x14ac:dyDescent="0.3">
      <c r="A138" t="s">
        <v>150</v>
      </c>
      <c r="B138" s="8">
        <v>37.700000000000003</v>
      </c>
      <c r="C138" s="2">
        <v>62</v>
      </c>
      <c r="D138" s="8">
        <v>17.3</v>
      </c>
      <c r="E138" s="2">
        <v>81</v>
      </c>
      <c r="F138" t="str">
        <f t="shared" si="2"/>
        <v>Economy</v>
      </c>
    </row>
    <row r="139" spans="1:6" ht="18.75" customHeight="1" x14ac:dyDescent="0.3">
      <c r="A139" t="s">
        <v>142</v>
      </c>
      <c r="B139" s="8">
        <v>31.6</v>
      </c>
      <c r="C139" s="2">
        <v>74</v>
      </c>
      <c r="D139" s="8">
        <v>18.3</v>
      </c>
      <c r="E139" s="2">
        <v>81</v>
      </c>
      <c r="F139" t="str">
        <f t="shared" si="2"/>
        <v>Mid Range</v>
      </c>
    </row>
    <row r="140" spans="1:6" ht="18.75" customHeight="1" x14ac:dyDescent="0.3">
      <c r="A140" t="s">
        <v>151</v>
      </c>
      <c r="B140" s="8">
        <v>24.2</v>
      </c>
      <c r="C140" s="2">
        <v>120</v>
      </c>
      <c r="D140" s="8">
        <v>13.8</v>
      </c>
      <c r="E140" s="2">
        <v>81</v>
      </c>
      <c r="F140" t="str">
        <f t="shared" si="2"/>
        <v>Economy</v>
      </c>
    </row>
    <row r="141" spans="1:6" ht="18.75" customHeight="1" x14ac:dyDescent="0.3">
      <c r="A141" t="s">
        <v>152</v>
      </c>
      <c r="B141" s="8">
        <v>25.4</v>
      </c>
      <c r="C141" s="2">
        <v>116</v>
      </c>
      <c r="D141" s="8">
        <v>12.6</v>
      </c>
      <c r="E141" s="2">
        <v>81</v>
      </c>
      <c r="F141" t="str">
        <f t="shared" si="2"/>
        <v>Economy</v>
      </c>
    </row>
    <row r="142" spans="1:6" ht="18.75" customHeight="1" x14ac:dyDescent="0.3">
      <c r="A142" t="s">
        <v>153</v>
      </c>
      <c r="B142" s="2">
        <v>36</v>
      </c>
      <c r="C142" s="2">
        <v>88</v>
      </c>
      <c r="D142" s="8">
        <v>14.5</v>
      </c>
      <c r="E142" s="2">
        <v>82</v>
      </c>
      <c r="F142" t="str">
        <f t="shared" si="2"/>
        <v>Economy</v>
      </c>
    </row>
    <row r="143" spans="1:6" ht="18.75" customHeight="1" x14ac:dyDescent="0.3">
      <c r="A143" t="s">
        <v>154</v>
      </c>
      <c r="B143" s="2">
        <v>32</v>
      </c>
      <c r="C143" s="2">
        <v>96</v>
      </c>
      <c r="D143" s="8">
        <v>13.9</v>
      </c>
      <c r="E143" s="2">
        <v>82</v>
      </c>
      <c r="F143" t="str">
        <f t="shared" si="2"/>
        <v>Mid Range</v>
      </c>
    </row>
    <row r="144" spans="1:6" ht="18.75" customHeight="1" x14ac:dyDescent="0.3">
      <c r="A144" t="s">
        <v>155</v>
      </c>
      <c r="B144" s="2">
        <v>31</v>
      </c>
      <c r="C144" s="2">
        <v>68</v>
      </c>
      <c r="D144" s="8">
        <v>17.600000000000001</v>
      </c>
      <c r="E144" s="2">
        <v>82</v>
      </c>
      <c r="F144" t="str">
        <f t="shared" si="2"/>
        <v>Mid Range</v>
      </c>
    </row>
    <row r="145" spans="1:6" ht="18.75" customHeight="1" x14ac:dyDescent="0.3">
      <c r="A145" t="s">
        <v>113</v>
      </c>
      <c r="B145" s="2">
        <v>38</v>
      </c>
      <c r="C145" s="2">
        <v>67</v>
      </c>
      <c r="D145" s="2">
        <v>15</v>
      </c>
      <c r="E145" s="2">
        <v>82</v>
      </c>
      <c r="F145" t="str">
        <f t="shared" si="2"/>
        <v>Economy</v>
      </c>
    </row>
    <row r="146" spans="1:6" ht="18.75" customHeight="1" x14ac:dyDescent="0.3">
      <c r="A146" t="s">
        <v>156</v>
      </c>
      <c r="B146" s="2">
        <v>32</v>
      </c>
      <c r="C146" s="2">
        <v>67</v>
      </c>
      <c r="D146" s="8">
        <v>15.7</v>
      </c>
      <c r="E146" s="2">
        <v>82</v>
      </c>
      <c r="F146" t="str">
        <f t="shared" si="2"/>
        <v>Mid Range</v>
      </c>
    </row>
    <row r="147" spans="1:6" ht="18.75" customHeight="1" x14ac:dyDescent="0.3">
      <c r="A147" t="s">
        <v>139</v>
      </c>
      <c r="B147" s="2">
        <v>36</v>
      </c>
      <c r="C147" s="2">
        <v>75</v>
      </c>
      <c r="D147" s="8">
        <v>14.5</v>
      </c>
      <c r="E147" s="2">
        <v>82</v>
      </c>
      <c r="F147" t="str">
        <f t="shared" si="2"/>
        <v>Economy</v>
      </c>
    </row>
    <row r="148" spans="1:6" ht="18.75" customHeight="1" x14ac:dyDescent="0.3">
      <c r="A148" t="s">
        <v>157</v>
      </c>
      <c r="B148" s="2">
        <v>38</v>
      </c>
      <c r="C148" s="2">
        <v>67</v>
      </c>
      <c r="D148" s="8">
        <v>16.2</v>
      </c>
      <c r="E148" s="2">
        <v>82</v>
      </c>
      <c r="F148" t="str">
        <f t="shared" si="2"/>
        <v>Economy</v>
      </c>
    </row>
    <row r="149" spans="1:6" ht="18.75" customHeight="1" x14ac:dyDescent="0.3">
      <c r="A149" t="s">
        <v>158</v>
      </c>
      <c r="B149" s="2">
        <v>37</v>
      </c>
      <c r="C149" s="2">
        <v>68</v>
      </c>
      <c r="D149" s="8">
        <v>18.2</v>
      </c>
      <c r="E149" s="2">
        <v>82</v>
      </c>
      <c r="F149" t="str">
        <f t="shared" si="2"/>
        <v>Economy</v>
      </c>
    </row>
    <row r="150" spans="1:6" ht="18.75" customHeight="1" x14ac:dyDescent="0.3">
      <c r="A150" t="s">
        <v>117</v>
      </c>
      <c r="B150" s="2">
        <v>34</v>
      </c>
      <c r="C150" s="2">
        <v>70</v>
      </c>
      <c r="D150" s="8">
        <v>16.899999999999999</v>
      </c>
      <c r="E150" s="2">
        <v>82</v>
      </c>
      <c r="F150" t="str">
        <f t="shared" si="2"/>
        <v>Economy</v>
      </c>
    </row>
    <row r="151" spans="1:6" ht="18.75" customHeight="1" x14ac:dyDescent="0.3">
      <c r="A151" t="s">
        <v>159</v>
      </c>
      <c r="B151" s="2">
        <v>18</v>
      </c>
      <c r="C151" s="2">
        <v>97</v>
      </c>
      <c r="D151" s="8">
        <v>15.5</v>
      </c>
      <c r="E151" s="2">
        <v>70</v>
      </c>
      <c r="F151" t="str">
        <f t="shared" si="2"/>
        <v>Mid Range</v>
      </c>
    </row>
    <row r="152" spans="1:6" ht="18.75" customHeight="1" x14ac:dyDescent="0.3">
      <c r="A152" t="s">
        <v>160</v>
      </c>
      <c r="B152" s="2">
        <v>21</v>
      </c>
      <c r="C152" s="2">
        <v>90</v>
      </c>
      <c r="D152" s="2">
        <v>15</v>
      </c>
      <c r="E152" s="2">
        <v>70</v>
      </c>
      <c r="F152" t="str">
        <f t="shared" si="2"/>
        <v>Mid Range</v>
      </c>
    </row>
    <row r="153" spans="1:6" ht="18.75" customHeight="1" x14ac:dyDescent="0.3">
      <c r="A153" t="s">
        <v>161</v>
      </c>
      <c r="B153" s="2">
        <v>22</v>
      </c>
      <c r="C153" s="2">
        <v>95</v>
      </c>
      <c r="D153" s="8">
        <v>15.5</v>
      </c>
      <c r="E153" s="2">
        <v>70</v>
      </c>
      <c r="F153" t="str">
        <f t="shared" si="2"/>
        <v>Mid Range</v>
      </c>
    </row>
    <row r="154" spans="1:6" ht="18.75" customHeight="1" x14ac:dyDescent="0.3">
      <c r="A154" t="s">
        <v>162</v>
      </c>
      <c r="B154" s="2">
        <v>21</v>
      </c>
      <c r="C154" s="2">
        <v>85</v>
      </c>
      <c r="D154" s="2">
        <v>16</v>
      </c>
      <c r="E154" s="2">
        <v>70</v>
      </c>
      <c r="F154" t="str">
        <f t="shared" si="2"/>
        <v>Mid Range</v>
      </c>
    </row>
    <row r="155" spans="1:6" ht="18.75" customHeight="1" x14ac:dyDescent="0.3">
      <c r="A155" t="s">
        <v>163</v>
      </c>
      <c r="B155" s="2">
        <v>14</v>
      </c>
      <c r="C155" s="2">
        <v>225</v>
      </c>
      <c r="D155" s="2">
        <v>10</v>
      </c>
      <c r="E155" s="2">
        <v>70</v>
      </c>
      <c r="F155" t="str">
        <f t="shared" si="2"/>
        <v>Economy</v>
      </c>
    </row>
    <row r="156" spans="1:6" ht="18.75" customHeight="1" x14ac:dyDescent="0.3">
      <c r="A156" t="s">
        <v>164</v>
      </c>
      <c r="B156" s="2">
        <v>14</v>
      </c>
      <c r="C156" s="2">
        <v>225</v>
      </c>
      <c r="D156" s="2">
        <v>10</v>
      </c>
      <c r="E156" s="2">
        <v>70</v>
      </c>
      <c r="F156" t="str">
        <f t="shared" si="2"/>
        <v>Economy</v>
      </c>
    </row>
    <row r="157" spans="1:6" ht="18.75" customHeight="1" x14ac:dyDescent="0.3">
      <c r="A157" t="s">
        <v>165</v>
      </c>
      <c r="B157" s="2">
        <v>14</v>
      </c>
      <c r="C157" s="2">
        <v>220</v>
      </c>
      <c r="D157" s="2">
        <v>9</v>
      </c>
      <c r="E157" s="2">
        <v>70</v>
      </c>
      <c r="F157" t="str">
        <f t="shared" si="2"/>
        <v>Economy</v>
      </c>
    </row>
    <row r="158" spans="1:6" ht="18.75" customHeight="1" x14ac:dyDescent="0.3">
      <c r="A158" t="s">
        <v>166</v>
      </c>
      <c r="B158" s="2">
        <v>14</v>
      </c>
      <c r="C158" s="2">
        <v>215</v>
      </c>
      <c r="D158" s="8">
        <v>8.5</v>
      </c>
      <c r="E158" s="2">
        <v>70</v>
      </c>
      <c r="F158" t="str">
        <f t="shared" si="2"/>
        <v>Economy</v>
      </c>
    </row>
    <row r="159" spans="1:6" ht="18.75" customHeight="1" x14ac:dyDescent="0.3">
      <c r="A159" t="s">
        <v>167</v>
      </c>
      <c r="B159" s="2">
        <v>15</v>
      </c>
      <c r="C159" s="2">
        <v>190</v>
      </c>
      <c r="D159" s="8">
        <v>8.5</v>
      </c>
      <c r="E159" s="2">
        <v>70</v>
      </c>
      <c r="F159" t="str">
        <f t="shared" si="2"/>
        <v>Economy</v>
      </c>
    </row>
    <row r="160" spans="1:6" ht="18.75" customHeight="1" x14ac:dyDescent="0.3">
      <c r="A160" t="s">
        <v>168</v>
      </c>
      <c r="B160" s="2">
        <v>11</v>
      </c>
      <c r="C160" s="2">
        <v>210</v>
      </c>
      <c r="D160" s="8">
        <v>13.5</v>
      </c>
      <c r="E160" s="2">
        <v>70</v>
      </c>
      <c r="F160" t="str">
        <f t="shared" si="2"/>
        <v>Economy</v>
      </c>
    </row>
    <row r="161" spans="1:6" ht="18.75" customHeight="1" x14ac:dyDescent="0.3">
      <c r="A161" t="s">
        <v>169</v>
      </c>
      <c r="B161" s="2">
        <v>15</v>
      </c>
      <c r="C161" s="2">
        <v>170</v>
      </c>
      <c r="D161" s="2">
        <v>10</v>
      </c>
      <c r="E161" s="2">
        <v>70</v>
      </c>
      <c r="F161" t="str">
        <f t="shared" si="2"/>
        <v>Economy</v>
      </c>
    </row>
    <row r="162" spans="1:6" ht="18.75" customHeight="1" x14ac:dyDescent="0.3">
      <c r="A162" t="s">
        <v>170</v>
      </c>
      <c r="B162" s="2">
        <v>10</v>
      </c>
      <c r="C162" s="2">
        <v>215</v>
      </c>
      <c r="D162" s="2">
        <v>14</v>
      </c>
      <c r="E162" s="2">
        <v>70</v>
      </c>
      <c r="F162" t="str">
        <f t="shared" si="2"/>
        <v>Economy</v>
      </c>
    </row>
    <row r="163" spans="1:6" ht="18.75" customHeight="1" x14ac:dyDescent="0.3">
      <c r="A163" t="s">
        <v>171</v>
      </c>
      <c r="B163" s="2">
        <v>10</v>
      </c>
      <c r="C163" s="2">
        <v>200</v>
      </c>
      <c r="D163" s="2">
        <v>15</v>
      </c>
      <c r="E163" s="2">
        <v>70</v>
      </c>
      <c r="F163" t="str">
        <f t="shared" si="2"/>
        <v>Economy</v>
      </c>
    </row>
    <row r="164" spans="1:6" ht="18.75" customHeight="1" x14ac:dyDescent="0.3">
      <c r="A164" t="s">
        <v>172</v>
      </c>
      <c r="B164" s="2">
        <v>15</v>
      </c>
      <c r="C164" s="2">
        <v>198</v>
      </c>
      <c r="D164" s="2">
        <v>10</v>
      </c>
      <c r="E164" s="2">
        <v>70</v>
      </c>
      <c r="F164" t="str">
        <f t="shared" si="2"/>
        <v>Economy</v>
      </c>
    </row>
    <row r="165" spans="1:6" ht="18.75" customHeight="1" x14ac:dyDescent="0.3">
      <c r="A165" t="s">
        <v>173</v>
      </c>
      <c r="B165" s="2">
        <v>15</v>
      </c>
      <c r="C165" s="2">
        <v>165</v>
      </c>
      <c r="D165" s="8">
        <v>11.5</v>
      </c>
      <c r="E165" s="2">
        <v>70</v>
      </c>
      <c r="F165" t="str">
        <f t="shared" si="2"/>
        <v>Economy</v>
      </c>
    </row>
    <row r="166" spans="1:6" ht="18.75" customHeight="1" x14ac:dyDescent="0.3">
      <c r="A166" t="s">
        <v>174</v>
      </c>
      <c r="B166" s="2">
        <v>14</v>
      </c>
      <c r="C166" s="2">
        <v>160</v>
      </c>
      <c r="D166" s="2">
        <v>8</v>
      </c>
      <c r="E166" s="2">
        <v>70</v>
      </c>
      <c r="F166" t="str">
        <f t="shared" si="2"/>
        <v>Economy</v>
      </c>
    </row>
    <row r="167" spans="1:6" ht="18.75" customHeight="1" x14ac:dyDescent="0.3">
      <c r="A167" t="s">
        <v>175</v>
      </c>
      <c r="B167" s="2">
        <v>16</v>
      </c>
      <c r="C167" s="2">
        <v>150</v>
      </c>
      <c r="D167" s="2">
        <v>12</v>
      </c>
      <c r="E167" s="2">
        <v>70</v>
      </c>
      <c r="F167" t="str">
        <f t="shared" si="2"/>
        <v>Economy</v>
      </c>
    </row>
    <row r="168" spans="1:6" ht="18.75" customHeight="1" x14ac:dyDescent="0.3">
      <c r="A168" t="s">
        <v>176</v>
      </c>
      <c r="B168" s="2">
        <v>18</v>
      </c>
      <c r="C168" s="2">
        <v>150</v>
      </c>
      <c r="D168" s="2">
        <v>11</v>
      </c>
      <c r="E168" s="2">
        <v>70</v>
      </c>
      <c r="F168" t="str">
        <f t="shared" si="2"/>
        <v>Economy</v>
      </c>
    </row>
    <row r="169" spans="1:6" ht="18.75" customHeight="1" x14ac:dyDescent="0.3">
      <c r="A169" t="s">
        <v>177</v>
      </c>
      <c r="B169" s="2">
        <v>9</v>
      </c>
      <c r="C169" s="2">
        <v>193</v>
      </c>
      <c r="D169" s="8">
        <v>18.5</v>
      </c>
      <c r="E169" s="2">
        <v>70</v>
      </c>
      <c r="F169" t="str">
        <f t="shared" si="2"/>
        <v>Economy</v>
      </c>
    </row>
    <row r="170" spans="1:6" ht="18.75" customHeight="1" x14ac:dyDescent="0.3">
      <c r="A170" t="s">
        <v>178</v>
      </c>
      <c r="B170" s="2">
        <v>17</v>
      </c>
      <c r="C170" s="2">
        <v>140</v>
      </c>
      <c r="D170" s="8">
        <v>10.5</v>
      </c>
      <c r="E170" s="2">
        <v>70</v>
      </c>
      <c r="F170" t="str">
        <f t="shared" si="2"/>
        <v>Economy</v>
      </c>
    </row>
    <row r="171" spans="1:6" ht="18.75" customHeight="1" x14ac:dyDescent="0.3">
      <c r="A171" t="s">
        <v>179</v>
      </c>
      <c r="B171" s="2">
        <v>15</v>
      </c>
      <c r="C171" s="2">
        <v>150</v>
      </c>
      <c r="D171" s="8">
        <v>9.5</v>
      </c>
      <c r="E171" s="2">
        <v>70</v>
      </c>
      <c r="F171" t="str">
        <f t="shared" si="2"/>
        <v>Economy</v>
      </c>
    </row>
    <row r="172" spans="1:6" ht="18.75" customHeight="1" x14ac:dyDescent="0.3">
      <c r="A172" t="s">
        <v>180</v>
      </c>
      <c r="B172" s="2">
        <v>18</v>
      </c>
      <c r="C172" s="2">
        <v>130</v>
      </c>
      <c r="D172" s="2">
        <v>12</v>
      </c>
      <c r="E172" s="2">
        <v>70</v>
      </c>
      <c r="F172" t="str">
        <f t="shared" si="2"/>
        <v>Economy</v>
      </c>
    </row>
    <row r="173" spans="1:6" ht="18.75" customHeight="1" x14ac:dyDescent="0.3">
      <c r="A173" t="s">
        <v>181</v>
      </c>
      <c r="B173" s="2">
        <v>28</v>
      </c>
      <c r="C173" s="2">
        <v>90</v>
      </c>
      <c r="D173" s="8">
        <v>15.5</v>
      </c>
      <c r="E173" s="2">
        <v>71</v>
      </c>
      <c r="F173" t="str">
        <f t="shared" si="2"/>
        <v>Mid Range</v>
      </c>
    </row>
    <row r="174" spans="1:6" ht="18.75" customHeight="1" x14ac:dyDescent="0.3">
      <c r="A174" t="s">
        <v>182</v>
      </c>
      <c r="B174" s="2">
        <v>23</v>
      </c>
      <c r="C174" s="2">
        <v>86</v>
      </c>
      <c r="D174" s="2">
        <v>14</v>
      </c>
      <c r="E174" s="2">
        <v>71</v>
      </c>
      <c r="F174" t="str">
        <f t="shared" si="2"/>
        <v>Mid Range</v>
      </c>
    </row>
    <row r="175" spans="1:6" ht="18.75" customHeight="1" x14ac:dyDescent="0.3">
      <c r="A175" t="s">
        <v>183</v>
      </c>
      <c r="B175" s="2">
        <v>26</v>
      </c>
      <c r="C175" s="2">
        <v>70</v>
      </c>
      <c r="D175" s="8">
        <v>20.5</v>
      </c>
      <c r="E175" s="2">
        <v>71</v>
      </c>
      <c r="F175" t="str">
        <f t="shared" si="2"/>
        <v>Economy</v>
      </c>
    </row>
    <row r="176" spans="1:6" ht="18.75" customHeight="1" x14ac:dyDescent="0.3">
      <c r="A176" t="s">
        <v>184</v>
      </c>
      <c r="B176" s="2">
        <v>22</v>
      </c>
      <c r="C176" s="2">
        <v>72</v>
      </c>
      <c r="D176" s="2">
        <v>19</v>
      </c>
      <c r="E176" s="2">
        <v>71</v>
      </c>
      <c r="F176" t="str">
        <f t="shared" si="2"/>
        <v>Mid Range</v>
      </c>
    </row>
    <row r="177" spans="1:6" ht="18.75" customHeight="1" x14ac:dyDescent="0.3">
      <c r="A177" t="s">
        <v>185</v>
      </c>
      <c r="B177" s="2">
        <v>25</v>
      </c>
      <c r="D177" s="2">
        <v>19</v>
      </c>
      <c r="E177" s="2">
        <v>71</v>
      </c>
      <c r="F177" t="str">
        <f t="shared" si="2"/>
        <v>Economy</v>
      </c>
    </row>
    <row r="178" spans="1:6" ht="18.75" customHeight="1" x14ac:dyDescent="0.3">
      <c r="A178" t="s">
        <v>160</v>
      </c>
      <c r="B178" s="2">
        <v>19</v>
      </c>
      <c r="C178" s="2">
        <v>100</v>
      </c>
      <c r="D178" s="2">
        <v>13</v>
      </c>
      <c r="E178" s="2">
        <v>71</v>
      </c>
      <c r="F178" t="str">
        <f t="shared" si="2"/>
        <v>Mid Range</v>
      </c>
    </row>
    <row r="179" spans="1:6" ht="18.75" customHeight="1" x14ac:dyDescent="0.3">
      <c r="A179" t="s">
        <v>186</v>
      </c>
      <c r="B179" s="2">
        <v>18</v>
      </c>
      <c r="C179" s="2">
        <v>110</v>
      </c>
      <c r="D179" s="8">
        <v>13.5</v>
      </c>
      <c r="E179" s="2">
        <v>71</v>
      </c>
      <c r="F179" t="str">
        <f t="shared" si="2"/>
        <v>Economy</v>
      </c>
    </row>
    <row r="180" spans="1:6" ht="18.75" customHeight="1" x14ac:dyDescent="0.3">
      <c r="A180" t="s">
        <v>187</v>
      </c>
      <c r="B180" s="2">
        <v>16</v>
      </c>
      <c r="C180" s="2">
        <v>105</v>
      </c>
      <c r="D180" s="8">
        <v>15.5</v>
      </c>
      <c r="E180" s="2">
        <v>71</v>
      </c>
      <c r="F180" t="str">
        <f t="shared" si="2"/>
        <v>Economy</v>
      </c>
    </row>
    <row r="181" spans="1:6" ht="18.75" customHeight="1" x14ac:dyDescent="0.3">
      <c r="A181" t="s">
        <v>188</v>
      </c>
      <c r="B181" s="2">
        <v>19</v>
      </c>
      <c r="C181" s="2">
        <v>100</v>
      </c>
      <c r="D181" s="2">
        <v>15</v>
      </c>
      <c r="E181" s="2">
        <v>71</v>
      </c>
      <c r="F181" t="str">
        <f t="shared" si="2"/>
        <v>Mid Range</v>
      </c>
    </row>
    <row r="182" spans="1:6" ht="18.75" customHeight="1" x14ac:dyDescent="0.3">
      <c r="A182" t="s">
        <v>189</v>
      </c>
      <c r="B182" s="2">
        <v>18</v>
      </c>
      <c r="C182" s="2">
        <v>100</v>
      </c>
      <c r="D182" s="8">
        <v>15.5</v>
      </c>
      <c r="E182" s="2">
        <v>71</v>
      </c>
      <c r="F182" t="str">
        <f t="shared" si="2"/>
        <v>Mid Range</v>
      </c>
    </row>
    <row r="183" spans="1:6" ht="18.75" customHeight="1" x14ac:dyDescent="0.3">
      <c r="A183" t="s">
        <v>180</v>
      </c>
      <c r="B183" s="2">
        <v>17</v>
      </c>
      <c r="C183" s="2">
        <v>100</v>
      </c>
      <c r="D183" s="8">
        <v>15.5</v>
      </c>
      <c r="E183" s="2">
        <v>71</v>
      </c>
      <c r="F183" t="str">
        <f t="shared" si="2"/>
        <v>Mid Range</v>
      </c>
    </row>
    <row r="184" spans="1:6" ht="18.75" customHeight="1" x14ac:dyDescent="0.3">
      <c r="A184" t="s">
        <v>190</v>
      </c>
      <c r="B184" s="2">
        <v>18</v>
      </c>
      <c r="C184" s="2">
        <v>88</v>
      </c>
      <c r="D184" s="8">
        <v>14.5</v>
      </c>
      <c r="E184" s="2">
        <v>71</v>
      </c>
      <c r="F184" t="str">
        <f t="shared" si="2"/>
        <v>Mid Range</v>
      </c>
    </row>
    <row r="185" spans="1:6" ht="18.75" customHeight="1" x14ac:dyDescent="0.3">
      <c r="A185" t="s">
        <v>191</v>
      </c>
      <c r="B185" s="2">
        <v>19</v>
      </c>
      <c r="C185" s="2">
        <v>88</v>
      </c>
      <c r="D185" s="8">
        <v>15.5</v>
      </c>
      <c r="E185" s="2">
        <v>71</v>
      </c>
      <c r="F185" t="str">
        <f t="shared" si="2"/>
        <v>Mid Range</v>
      </c>
    </row>
    <row r="186" spans="1:6" ht="18.75" customHeight="1" x14ac:dyDescent="0.3">
      <c r="A186" t="s">
        <v>165</v>
      </c>
      <c r="B186" s="2">
        <v>14</v>
      </c>
      <c r="C186" s="2">
        <v>165</v>
      </c>
      <c r="D186" s="2">
        <v>12</v>
      </c>
      <c r="E186" s="2">
        <v>71</v>
      </c>
      <c r="F186" t="str">
        <f t="shared" si="2"/>
        <v>Economy</v>
      </c>
    </row>
    <row r="187" spans="1:6" ht="18.75" customHeight="1" x14ac:dyDescent="0.3">
      <c r="A187" t="s">
        <v>192</v>
      </c>
      <c r="B187" s="2">
        <v>14</v>
      </c>
      <c r="C187" s="2">
        <v>175</v>
      </c>
      <c r="D187" s="8">
        <v>11.5</v>
      </c>
      <c r="E187" s="2">
        <v>71</v>
      </c>
      <c r="F187" t="str">
        <f t="shared" si="2"/>
        <v>Economy</v>
      </c>
    </row>
    <row r="188" spans="1:6" ht="18.75" customHeight="1" x14ac:dyDescent="0.3">
      <c r="A188" t="s">
        <v>172</v>
      </c>
      <c r="B188" s="2">
        <v>14</v>
      </c>
      <c r="C188" s="2">
        <v>153</v>
      </c>
      <c r="D188" s="8">
        <v>13.5</v>
      </c>
      <c r="E188" s="2">
        <v>71</v>
      </c>
      <c r="F188" t="str">
        <f t="shared" si="2"/>
        <v>Economy</v>
      </c>
    </row>
    <row r="189" spans="1:6" ht="18.75" customHeight="1" x14ac:dyDescent="0.3">
      <c r="A189" t="s">
        <v>166</v>
      </c>
      <c r="B189" s="2">
        <v>14</v>
      </c>
      <c r="C189" s="2">
        <v>150</v>
      </c>
      <c r="D189" s="2">
        <v>13</v>
      </c>
      <c r="E189" s="2">
        <v>71</v>
      </c>
      <c r="F189" t="str">
        <f t="shared" si="2"/>
        <v>Economy</v>
      </c>
    </row>
    <row r="190" spans="1:6" ht="18.75" customHeight="1" x14ac:dyDescent="0.3">
      <c r="A190" t="s">
        <v>193</v>
      </c>
      <c r="B190" s="2">
        <v>12</v>
      </c>
      <c r="C190" s="2">
        <v>180</v>
      </c>
      <c r="D190" s="8">
        <v>11.5</v>
      </c>
      <c r="E190" s="2">
        <v>71</v>
      </c>
      <c r="F190" t="str">
        <f t="shared" si="2"/>
        <v>Economy</v>
      </c>
    </row>
    <row r="191" spans="1:6" ht="18.75" customHeight="1" x14ac:dyDescent="0.3">
      <c r="A191" t="s">
        <v>194</v>
      </c>
      <c r="B191" s="2">
        <v>13</v>
      </c>
      <c r="C191" s="2">
        <v>170</v>
      </c>
      <c r="D191" s="2">
        <v>12</v>
      </c>
      <c r="E191" s="2">
        <v>71</v>
      </c>
      <c r="F191" t="str">
        <f t="shared" si="2"/>
        <v>Economy</v>
      </c>
    </row>
    <row r="192" spans="1:6" ht="18.75" customHeight="1" x14ac:dyDescent="0.3">
      <c r="A192" t="s">
        <v>195</v>
      </c>
      <c r="B192" s="2">
        <v>13</v>
      </c>
      <c r="C192" s="2">
        <v>175</v>
      </c>
      <c r="D192" s="2">
        <v>12</v>
      </c>
      <c r="E192" s="2">
        <v>71</v>
      </c>
      <c r="F192" t="str">
        <f t="shared" si="2"/>
        <v>Economy</v>
      </c>
    </row>
    <row r="193" spans="1:6" ht="18.75" customHeight="1" x14ac:dyDescent="0.3">
      <c r="A193" t="s">
        <v>196</v>
      </c>
      <c r="B193" s="2">
        <v>21</v>
      </c>
      <c r="C193" s="2">
        <v>86</v>
      </c>
      <c r="D193" s="8">
        <v>16.5</v>
      </c>
      <c r="E193" s="2">
        <v>72</v>
      </c>
      <c r="F193" t="str">
        <f t="shared" si="2"/>
        <v>Mid Range</v>
      </c>
    </row>
    <row r="194" spans="1:6" ht="18.75" customHeight="1" x14ac:dyDescent="0.3">
      <c r="A194" t="s">
        <v>197</v>
      </c>
      <c r="B194" s="2">
        <v>25</v>
      </c>
      <c r="C194" s="2">
        <v>80</v>
      </c>
      <c r="D194" s="2">
        <v>17</v>
      </c>
      <c r="E194" s="2">
        <v>72</v>
      </c>
      <c r="F194" t="str">
        <f t="shared" ref="F194:F257" si="3">IF(AND(C194&gt;100,D194&lt;13,B194&gt;32.5),"High Performance",IF(AND(C194&lt;= 100,C194&gt;=60,D194&gt;=13,D194&lt;=19,B194&gt;=17,B194&lt;=32.5),"Mid Range","Economy"))</f>
        <v>Mid Range</v>
      </c>
    </row>
    <row r="195" spans="1:6" ht="18.75" customHeight="1" x14ac:dyDescent="0.3">
      <c r="A195" t="s">
        <v>198</v>
      </c>
      <c r="B195" s="2">
        <v>20</v>
      </c>
      <c r="C195" s="2">
        <v>90</v>
      </c>
      <c r="D195" s="8">
        <v>19.5</v>
      </c>
      <c r="E195" s="2">
        <v>72</v>
      </c>
      <c r="F195" t="str">
        <f t="shared" si="3"/>
        <v>Economy</v>
      </c>
    </row>
    <row r="196" spans="1:6" ht="18.75" customHeight="1" x14ac:dyDescent="0.3">
      <c r="A196" t="s">
        <v>199</v>
      </c>
      <c r="B196" s="2">
        <v>28</v>
      </c>
      <c r="C196" s="2">
        <v>80</v>
      </c>
      <c r="D196" s="2">
        <v>15</v>
      </c>
      <c r="E196" s="2">
        <v>72</v>
      </c>
      <c r="F196" t="str">
        <f t="shared" si="3"/>
        <v>Mid Range</v>
      </c>
    </row>
    <row r="197" spans="1:6" ht="18.75" customHeight="1" x14ac:dyDescent="0.3">
      <c r="A197" t="s">
        <v>200</v>
      </c>
      <c r="B197" s="2">
        <v>22</v>
      </c>
      <c r="C197" s="2">
        <v>86</v>
      </c>
      <c r="D197" s="2">
        <v>16</v>
      </c>
      <c r="E197" s="2">
        <v>72</v>
      </c>
      <c r="F197" t="str">
        <f t="shared" si="3"/>
        <v>Mid Range</v>
      </c>
    </row>
    <row r="198" spans="1:6" ht="18.75" customHeight="1" x14ac:dyDescent="0.3">
      <c r="A198" t="s">
        <v>201</v>
      </c>
      <c r="B198" s="2">
        <v>11</v>
      </c>
      <c r="C198" s="2">
        <v>208</v>
      </c>
      <c r="D198" s="2">
        <v>11</v>
      </c>
      <c r="E198" s="2">
        <v>72</v>
      </c>
      <c r="F198" t="str">
        <f t="shared" si="3"/>
        <v>Economy</v>
      </c>
    </row>
    <row r="199" spans="1:6" ht="18.75" customHeight="1" x14ac:dyDescent="0.3">
      <c r="A199" t="s">
        <v>202</v>
      </c>
      <c r="B199" s="2">
        <v>13</v>
      </c>
      <c r="C199" s="2">
        <v>190</v>
      </c>
      <c r="D199" s="8">
        <v>12.5</v>
      </c>
      <c r="E199" s="2">
        <v>72</v>
      </c>
      <c r="F199" t="str">
        <f t="shared" si="3"/>
        <v>Economy</v>
      </c>
    </row>
    <row r="200" spans="1:6" ht="18.75" customHeight="1" x14ac:dyDescent="0.3">
      <c r="A200" t="s">
        <v>203</v>
      </c>
      <c r="B200" s="2">
        <v>17</v>
      </c>
      <c r="C200" s="2">
        <v>150</v>
      </c>
      <c r="D200" s="8">
        <v>11.5</v>
      </c>
      <c r="E200" s="2">
        <v>72</v>
      </c>
      <c r="F200" t="str">
        <f t="shared" si="3"/>
        <v>Economy</v>
      </c>
    </row>
    <row r="201" spans="1:6" ht="18.75" customHeight="1" x14ac:dyDescent="0.3">
      <c r="A201" t="s">
        <v>164</v>
      </c>
      <c r="B201" s="2">
        <v>14</v>
      </c>
      <c r="C201" s="2">
        <v>175</v>
      </c>
      <c r="D201" s="2">
        <v>12</v>
      </c>
      <c r="E201" s="2">
        <v>72</v>
      </c>
      <c r="F201" t="str">
        <f t="shared" si="3"/>
        <v>Economy</v>
      </c>
    </row>
    <row r="202" spans="1:6" ht="18.75" customHeight="1" x14ac:dyDescent="0.3">
      <c r="A202" t="s">
        <v>165</v>
      </c>
      <c r="B202" s="2">
        <v>13</v>
      </c>
      <c r="C202" s="2">
        <v>165</v>
      </c>
      <c r="D202" s="2">
        <v>12</v>
      </c>
      <c r="E202" s="2">
        <v>72</v>
      </c>
      <c r="F202" t="str">
        <f t="shared" si="3"/>
        <v>Economy</v>
      </c>
    </row>
    <row r="203" spans="1:6" ht="18.75" customHeight="1" x14ac:dyDescent="0.3">
      <c r="A203" t="s">
        <v>204</v>
      </c>
      <c r="B203" s="2">
        <v>15</v>
      </c>
      <c r="C203" s="2">
        <v>150</v>
      </c>
      <c r="D203" s="8">
        <v>12.5</v>
      </c>
      <c r="E203" s="2">
        <v>72</v>
      </c>
      <c r="F203" t="str">
        <f t="shared" si="3"/>
        <v>Economy</v>
      </c>
    </row>
    <row r="204" spans="1:6" ht="18.75" customHeight="1" x14ac:dyDescent="0.3">
      <c r="A204" t="s">
        <v>172</v>
      </c>
      <c r="B204" s="2">
        <v>14</v>
      </c>
      <c r="C204" s="2">
        <v>153</v>
      </c>
      <c r="D204" s="2">
        <v>13</v>
      </c>
      <c r="E204" s="2">
        <v>72</v>
      </c>
      <c r="F204" t="str">
        <f t="shared" si="3"/>
        <v>Economy</v>
      </c>
    </row>
    <row r="205" spans="1:6" ht="18.75" customHeight="1" x14ac:dyDescent="0.3">
      <c r="A205" t="s">
        <v>205</v>
      </c>
      <c r="B205" s="2">
        <v>14</v>
      </c>
      <c r="C205" s="2">
        <v>150</v>
      </c>
      <c r="D205" s="2">
        <v>14</v>
      </c>
      <c r="E205" s="2">
        <v>72</v>
      </c>
      <c r="F205" t="str">
        <f t="shared" si="3"/>
        <v>Economy</v>
      </c>
    </row>
    <row r="206" spans="1:6" ht="18.75" customHeight="1" x14ac:dyDescent="0.3">
      <c r="A206" t="s">
        <v>166</v>
      </c>
      <c r="B206" s="2">
        <v>15</v>
      </c>
      <c r="C206" s="2">
        <v>150</v>
      </c>
      <c r="D206" s="8">
        <v>13.5</v>
      </c>
      <c r="E206" s="2">
        <v>72</v>
      </c>
      <c r="F206" t="str">
        <f t="shared" si="3"/>
        <v>Economy</v>
      </c>
    </row>
    <row r="207" spans="1:6" ht="18.75" customHeight="1" x14ac:dyDescent="0.3">
      <c r="A207" t="s">
        <v>206</v>
      </c>
      <c r="B207" s="2">
        <v>12</v>
      </c>
      <c r="C207" s="2">
        <v>160</v>
      </c>
      <c r="D207" s="8">
        <v>13.5</v>
      </c>
      <c r="E207" s="2">
        <v>72</v>
      </c>
      <c r="F207" t="str">
        <f t="shared" si="3"/>
        <v>Economy</v>
      </c>
    </row>
    <row r="208" spans="1:6" ht="18.75" customHeight="1" x14ac:dyDescent="0.3">
      <c r="A208" t="s">
        <v>207</v>
      </c>
      <c r="B208" s="2">
        <v>13</v>
      </c>
      <c r="C208" s="2">
        <v>155</v>
      </c>
      <c r="D208" s="8">
        <v>13.5</v>
      </c>
      <c r="E208" s="2">
        <v>72</v>
      </c>
      <c r="F208" t="str">
        <f t="shared" si="3"/>
        <v>Economy</v>
      </c>
    </row>
    <row r="209" spans="1:6" ht="18.75" customHeight="1" x14ac:dyDescent="0.3">
      <c r="A209" t="s">
        <v>208</v>
      </c>
      <c r="B209" s="2">
        <v>13</v>
      </c>
      <c r="C209" s="2">
        <v>140</v>
      </c>
      <c r="D209" s="2">
        <v>16</v>
      </c>
      <c r="E209" s="2">
        <v>72</v>
      </c>
      <c r="F209" t="str">
        <f t="shared" si="3"/>
        <v>Economy</v>
      </c>
    </row>
    <row r="210" spans="1:6" ht="18.75" customHeight="1" x14ac:dyDescent="0.3">
      <c r="A210" t="s">
        <v>209</v>
      </c>
      <c r="B210" s="2">
        <v>13</v>
      </c>
      <c r="C210" s="2">
        <v>130</v>
      </c>
      <c r="D210" s="2">
        <v>14</v>
      </c>
      <c r="E210" s="2">
        <v>72</v>
      </c>
      <c r="F210" t="str">
        <f t="shared" si="3"/>
        <v>Economy</v>
      </c>
    </row>
    <row r="211" spans="1:6" ht="18.75" customHeight="1" x14ac:dyDescent="0.3">
      <c r="A211" t="s">
        <v>185</v>
      </c>
      <c r="B211" s="2">
        <v>19</v>
      </c>
      <c r="C211" s="2">
        <v>85</v>
      </c>
      <c r="D211" s="8">
        <v>18.5</v>
      </c>
      <c r="E211" s="2">
        <v>73</v>
      </c>
      <c r="F211" t="str">
        <f t="shared" si="3"/>
        <v>Mid Range</v>
      </c>
    </row>
    <row r="212" spans="1:6" ht="18.75" customHeight="1" x14ac:dyDescent="0.3">
      <c r="A212" t="s">
        <v>198</v>
      </c>
      <c r="B212" s="2">
        <v>21</v>
      </c>
      <c r="C212" s="2">
        <v>72</v>
      </c>
      <c r="D212" s="8">
        <v>19.5</v>
      </c>
      <c r="E212" s="2">
        <v>73</v>
      </c>
      <c r="F212" t="str">
        <f t="shared" si="3"/>
        <v>Economy</v>
      </c>
    </row>
    <row r="213" spans="1:6" ht="18.75" customHeight="1" x14ac:dyDescent="0.3">
      <c r="A213" t="s">
        <v>210</v>
      </c>
      <c r="B213" s="2">
        <v>21</v>
      </c>
      <c r="C213" s="2">
        <v>107</v>
      </c>
      <c r="D213" s="2">
        <v>14</v>
      </c>
      <c r="E213" s="2">
        <v>73</v>
      </c>
      <c r="F213" t="str">
        <f t="shared" si="3"/>
        <v>Economy</v>
      </c>
    </row>
    <row r="214" spans="1:6" ht="18.75" customHeight="1" x14ac:dyDescent="0.3">
      <c r="A214" t="s">
        <v>160</v>
      </c>
      <c r="B214" s="2">
        <v>18</v>
      </c>
      <c r="C214" s="2">
        <v>100</v>
      </c>
      <c r="D214" s="2">
        <v>15</v>
      </c>
      <c r="E214" s="2">
        <v>73</v>
      </c>
      <c r="F214" t="str">
        <f t="shared" si="3"/>
        <v>Mid Range</v>
      </c>
    </row>
    <row r="215" spans="1:6" ht="18.75" customHeight="1" x14ac:dyDescent="0.3">
      <c r="A215" t="s">
        <v>159</v>
      </c>
      <c r="B215" s="2">
        <v>18</v>
      </c>
      <c r="C215" s="2">
        <v>100</v>
      </c>
      <c r="D215" s="2">
        <v>16</v>
      </c>
      <c r="E215" s="2">
        <v>73</v>
      </c>
      <c r="F215" t="str">
        <f t="shared" si="3"/>
        <v>Mid Range</v>
      </c>
    </row>
    <row r="216" spans="1:6" ht="18.75" customHeight="1" x14ac:dyDescent="0.3">
      <c r="A216" t="s">
        <v>211</v>
      </c>
      <c r="B216" s="2">
        <v>18</v>
      </c>
      <c r="C216" s="2">
        <v>105</v>
      </c>
      <c r="D216" s="8">
        <v>16.5</v>
      </c>
      <c r="E216" s="2">
        <v>73</v>
      </c>
      <c r="F216" t="str">
        <f t="shared" si="3"/>
        <v>Economy</v>
      </c>
    </row>
    <row r="217" spans="1:6" ht="18.75" customHeight="1" x14ac:dyDescent="0.3">
      <c r="A217" t="s">
        <v>161</v>
      </c>
      <c r="B217" s="2">
        <v>23</v>
      </c>
      <c r="C217" s="2">
        <v>95</v>
      </c>
      <c r="D217" s="2">
        <v>16</v>
      </c>
      <c r="E217" s="2">
        <v>73</v>
      </c>
      <c r="F217" t="str">
        <f t="shared" si="3"/>
        <v>Mid Range</v>
      </c>
    </row>
    <row r="218" spans="1:6" ht="18.75" customHeight="1" x14ac:dyDescent="0.3">
      <c r="A218" t="s">
        <v>212</v>
      </c>
      <c r="B218" s="2">
        <v>16</v>
      </c>
      <c r="C218" s="2">
        <v>100</v>
      </c>
      <c r="D218" s="2">
        <v>18</v>
      </c>
      <c r="E218" s="2">
        <v>73</v>
      </c>
      <c r="F218" t="str">
        <f t="shared" si="3"/>
        <v>Economy</v>
      </c>
    </row>
    <row r="219" spans="1:6" ht="18.75" customHeight="1" x14ac:dyDescent="0.3">
      <c r="A219" t="s">
        <v>162</v>
      </c>
      <c r="B219" s="2">
        <v>18</v>
      </c>
      <c r="C219" s="2">
        <v>88</v>
      </c>
      <c r="D219" s="8">
        <v>16.5</v>
      </c>
      <c r="E219" s="2">
        <v>73</v>
      </c>
      <c r="F219" t="str">
        <f t="shared" si="3"/>
        <v>Mid Range</v>
      </c>
    </row>
    <row r="220" spans="1:6" ht="18.75" customHeight="1" x14ac:dyDescent="0.3">
      <c r="A220" t="s">
        <v>213</v>
      </c>
      <c r="B220" s="2">
        <v>16</v>
      </c>
      <c r="C220" s="2">
        <v>230</v>
      </c>
      <c r="D220" s="8">
        <v>9.5</v>
      </c>
      <c r="E220" s="2">
        <v>73</v>
      </c>
      <c r="F220" t="str">
        <f t="shared" si="3"/>
        <v>Economy</v>
      </c>
    </row>
    <row r="221" spans="1:6" ht="18.75" customHeight="1" x14ac:dyDescent="0.3">
      <c r="A221" t="s">
        <v>214</v>
      </c>
      <c r="B221" s="2">
        <v>11</v>
      </c>
      <c r="C221" s="2">
        <v>180</v>
      </c>
      <c r="D221" s="2">
        <v>11</v>
      </c>
      <c r="E221" s="2">
        <v>73</v>
      </c>
      <c r="F221" t="str">
        <f t="shared" si="3"/>
        <v>Economy</v>
      </c>
    </row>
    <row r="222" spans="1:6" ht="18.75" customHeight="1" x14ac:dyDescent="0.3">
      <c r="A222" t="s">
        <v>215</v>
      </c>
      <c r="B222" s="2">
        <v>13</v>
      </c>
      <c r="C222" s="2">
        <v>175</v>
      </c>
      <c r="D222" s="2">
        <v>11</v>
      </c>
      <c r="E222" s="2">
        <v>73</v>
      </c>
      <c r="F222" t="str">
        <f t="shared" si="3"/>
        <v>Economy</v>
      </c>
    </row>
    <row r="223" spans="1:6" ht="18.75" customHeight="1" x14ac:dyDescent="0.3">
      <c r="A223" t="s">
        <v>216</v>
      </c>
      <c r="B223" s="2">
        <v>12</v>
      </c>
      <c r="C223" s="2">
        <v>225</v>
      </c>
      <c r="D223" s="2">
        <v>11</v>
      </c>
      <c r="E223" s="2">
        <v>73</v>
      </c>
      <c r="F223" t="str">
        <f t="shared" si="3"/>
        <v>Economy</v>
      </c>
    </row>
    <row r="224" spans="1:6" ht="18.75" customHeight="1" x14ac:dyDescent="0.3">
      <c r="A224" t="s">
        <v>217</v>
      </c>
      <c r="B224" s="2">
        <v>13</v>
      </c>
      <c r="C224" s="2">
        <v>215</v>
      </c>
      <c r="D224" s="2">
        <v>11</v>
      </c>
      <c r="E224" s="2">
        <v>73</v>
      </c>
      <c r="F224" t="str">
        <f t="shared" si="3"/>
        <v>Economy</v>
      </c>
    </row>
    <row r="225" spans="1:6" ht="18.75" customHeight="1" x14ac:dyDescent="0.3">
      <c r="A225" t="s">
        <v>218</v>
      </c>
      <c r="B225" s="2">
        <v>15</v>
      </c>
      <c r="C225" s="2">
        <v>150</v>
      </c>
      <c r="D225" s="2">
        <v>11</v>
      </c>
      <c r="E225" s="2">
        <v>73</v>
      </c>
      <c r="F225" t="str">
        <f t="shared" si="3"/>
        <v>Economy</v>
      </c>
    </row>
    <row r="226" spans="1:6" ht="18.75" customHeight="1" x14ac:dyDescent="0.3">
      <c r="A226" t="s">
        <v>219</v>
      </c>
      <c r="B226" s="2">
        <v>13</v>
      </c>
      <c r="C226" s="2">
        <v>175</v>
      </c>
      <c r="D226" s="2">
        <v>13</v>
      </c>
      <c r="E226" s="2">
        <v>73</v>
      </c>
      <c r="F226" t="str">
        <f t="shared" si="3"/>
        <v>Economy</v>
      </c>
    </row>
    <row r="227" spans="1:6" ht="18.75" customHeight="1" x14ac:dyDescent="0.3">
      <c r="A227" t="s">
        <v>189</v>
      </c>
      <c r="B227" s="2">
        <v>14</v>
      </c>
      <c r="C227" s="2">
        <v>150</v>
      </c>
      <c r="D227" s="8">
        <v>11.5</v>
      </c>
      <c r="E227" s="2">
        <v>73</v>
      </c>
      <c r="F227" t="str">
        <f t="shared" si="3"/>
        <v>Economy</v>
      </c>
    </row>
    <row r="228" spans="1:6" ht="18.75" customHeight="1" x14ac:dyDescent="0.3">
      <c r="A228" t="s">
        <v>220</v>
      </c>
      <c r="B228" s="2">
        <v>12</v>
      </c>
      <c r="C228" s="2">
        <v>198</v>
      </c>
      <c r="D228" s="8">
        <v>11.5</v>
      </c>
      <c r="E228" s="2">
        <v>73</v>
      </c>
      <c r="F228" t="str">
        <f t="shared" si="3"/>
        <v>Economy</v>
      </c>
    </row>
    <row r="229" spans="1:6" ht="18.75" customHeight="1" x14ac:dyDescent="0.3">
      <c r="A229" t="s">
        <v>221</v>
      </c>
      <c r="B229" s="2">
        <v>12</v>
      </c>
      <c r="C229" s="2">
        <v>180</v>
      </c>
      <c r="D229" s="8">
        <v>12.5</v>
      </c>
      <c r="E229" s="2">
        <v>73</v>
      </c>
      <c r="F229" t="str">
        <f t="shared" si="3"/>
        <v>Economy</v>
      </c>
    </row>
    <row r="230" spans="1:6" ht="18.75" customHeight="1" x14ac:dyDescent="0.3">
      <c r="A230" t="s">
        <v>222</v>
      </c>
      <c r="B230" s="2">
        <v>15</v>
      </c>
      <c r="C230" s="2">
        <v>150</v>
      </c>
      <c r="D230" s="8">
        <v>12.5</v>
      </c>
      <c r="E230" s="2">
        <v>73</v>
      </c>
      <c r="F230" t="str">
        <f t="shared" si="3"/>
        <v>Economy</v>
      </c>
    </row>
    <row r="231" spans="1:6" ht="18.75" customHeight="1" x14ac:dyDescent="0.3">
      <c r="A231" t="s">
        <v>223</v>
      </c>
      <c r="B231" s="2">
        <v>13</v>
      </c>
      <c r="C231" s="2">
        <v>170</v>
      </c>
      <c r="D231" s="2">
        <v>13</v>
      </c>
      <c r="E231" s="2">
        <v>73</v>
      </c>
      <c r="F231" t="str">
        <f t="shared" si="3"/>
        <v>Economy</v>
      </c>
    </row>
    <row r="232" spans="1:6" ht="18.75" customHeight="1" x14ac:dyDescent="0.3">
      <c r="A232" t="s">
        <v>224</v>
      </c>
      <c r="B232" s="2">
        <v>13</v>
      </c>
      <c r="C232" s="2">
        <v>145</v>
      </c>
      <c r="D232" s="2">
        <v>13</v>
      </c>
      <c r="E232" s="2">
        <v>73</v>
      </c>
      <c r="F232" t="str">
        <f t="shared" si="3"/>
        <v>Economy</v>
      </c>
    </row>
    <row r="233" spans="1:6" ht="18.75" customHeight="1" x14ac:dyDescent="0.3">
      <c r="A233" t="s">
        <v>225</v>
      </c>
      <c r="B233" s="2">
        <v>13</v>
      </c>
      <c r="C233" s="2">
        <v>158</v>
      </c>
      <c r="D233" s="2">
        <v>13</v>
      </c>
      <c r="E233" s="2">
        <v>73</v>
      </c>
      <c r="F233" t="str">
        <f t="shared" si="3"/>
        <v>Economy</v>
      </c>
    </row>
    <row r="234" spans="1:6" ht="18.75" customHeight="1" x14ac:dyDescent="0.3">
      <c r="A234" t="s">
        <v>226</v>
      </c>
      <c r="B234" s="2">
        <v>15</v>
      </c>
      <c r="C234" s="2">
        <v>145</v>
      </c>
      <c r="D234" s="2">
        <v>13</v>
      </c>
      <c r="E234" s="2">
        <v>73</v>
      </c>
      <c r="F234" t="str">
        <f t="shared" si="3"/>
        <v>Economy</v>
      </c>
    </row>
    <row r="235" spans="1:6" ht="18.75" customHeight="1" x14ac:dyDescent="0.3">
      <c r="A235" t="s">
        <v>227</v>
      </c>
      <c r="B235" s="2">
        <v>14</v>
      </c>
      <c r="C235" s="2">
        <v>150</v>
      </c>
      <c r="D235" s="8">
        <v>14.5</v>
      </c>
      <c r="E235" s="2">
        <v>73</v>
      </c>
      <c r="F235" t="str">
        <f t="shared" si="3"/>
        <v>Economy</v>
      </c>
    </row>
    <row r="236" spans="1:6" ht="18.75" customHeight="1" x14ac:dyDescent="0.3">
      <c r="A236" t="s">
        <v>228</v>
      </c>
      <c r="B236" s="2">
        <v>12</v>
      </c>
      <c r="C236" s="2">
        <v>167</v>
      </c>
      <c r="D236" s="8">
        <v>12.5</v>
      </c>
      <c r="E236" s="2">
        <v>73</v>
      </c>
      <c r="F236" t="str">
        <f t="shared" si="3"/>
        <v>Economy</v>
      </c>
    </row>
    <row r="237" spans="1:6" ht="18.75" customHeight="1" x14ac:dyDescent="0.3">
      <c r="A237" t="s">
        <v>229</v>
      </c>
      <c r="B237" s="2">
        <v>14</v>
      </c>
      <c r="C237" s="2">
        <v>137</v>
      </c>
      <c r="D237" s="8">
        <v>14.5</v>
      </c>
      <c r="E237" s="2">
        <v>73</v>
      </c>
      <c r="F237" t="str">
        <f t="shared" si="3"/>
        <v>Economy</v>
      </c>
    </row>
    <row r="238" spans="1:6" ht="18.75" customHeight="1" x14ac:dyDescent="0.3">
      <c r="A238" t="s">
        <v>230</v>
      </c>
      <c r="B238" s="2">
        <v>13</v>
      </c>
      <c r="C238" s="2">
        <v>150</v>
      </c>
      <c r="D238" s="2">
        <v>12</v>
      </c>
      <c r="E238" s="2">
        <v>73</v>
      </c>
      <c r="F238" t="str">
        <f t="shared" si="3"/>
        <v>Economy</v>
      </c>
    </row>
    <row r="239" spans="1:6" ht="18.75" customHeight="1" x14ac:dyDescent="0.3">
      <c r="A239" t="s">
        <v>165</v>
      </c>
      <c r="B239" s="2">
        <v>11</v>
      </c>
      <c r="C239" s="2">
        <v>150</v>
      </c>
      <c r="D239" s="2">
        <v>14</v>
      </c>
      <c r="E239" s="2">
        <v>73</v>
      </c>
      <c r="F239" t="str">
        <f t="shared" si="3"/>
        <v>Economy</v>
      </c>
    </row>
    <row r="240" spans="1:6" ht="18.75" customHeight="1" x14ac:dyDescent="0.3">
      <c r="A240" t="s">
        <v>231</v>
      </c>
      <c r="B240" s="2">
        <v>28</v>
      </c>
      <c r="C240" s="2">
        <v>75</v>
      </c>
      <c r="D240" s="8">
        <v>14.5</v>
      </c>
      <c r="E240" s="2">
        <v>74</v>
      </c>
      <c r="F240" t="str">
        <f t="shared" si="3"/>
        <v>Mid Range</v>
      </c>
    </row>
    <row r="241" spans="1:6" ht="18.75" customHeight="1" x14ac:dyDescent="0.3">
      <c r="A241" t="s">
        <v>185</v>
      </c>
      <c r="B241" s="2">
        <v>26</v>
      </c>
      <c r="C241" s="2">
        <v>80</v>
      </c>
      <c r="D241" s="8">
        <v>16.5</v>
      </c>
      <c r="E241" s="2">
        <v>74</v>
      </c>
      <c r="F241" t="str">
        <f t="shared" si="3"/>
        <v>Mid Range</v>
      </c>
    </row>
    <row r="242" spans="1:6" ht="18.75" customHeight="1" x14ac:dyDescent="0.3">
      <c r="A242" t="s">
        <v>198</v>
      </c>
      <c r="B242" s="2">
        <v>25</v>
      </c>
      <c r="C242" s="2">
        <v>75</v>
      </c>
      <c r="D242" s="2">
        <v>17</v>
      </c>
      <c r="E242" s="2">
        <v>74</v>
      </c>
      <c r="F242" t="str">
        <f t="shared" si="3"/>
        <v>Mid Range</v>
      </c>
    </row>
    <row r="243" spans="1:6" ht="18.75" customHeight="1" x14ac:dyDescent="0.3">
      <c r="A243" t="s">
        <v>159</v>
      </c>
      <c r="B243" s="2">
        <v>19</v>
      </c>
      <c r="C243" s="2">
        <v>100</v>
      </c>
      <c r="D243" s="2">
        <v>16</v>
      </c>
      <c r="E243" s="2">
        <v>74</v>
      </c>
      <c r="F243" t="str">
        <f t="shared" si="3"/>
        <v>Mid Range</v>
      </c>
    </row>
    <row r="244" spans="1:6" ht="18.75" customHeight="1" x14ac:dyDescent="0.3">
      <c r="A244" t="s">
        <v>161</v>
      </c>
      <c r="B244" s="2">
        <v>20</v>
      </c>
      <c r="C244" s="2">
        <v>95</v>
      </c>
      <c r="D244" s="8">
        <v>16.5</v>
      </c>
      <c r="E244" s="2">
        <v>74</v>
      </c>
      <c r="F244" t="str">
        <f t="shared" si="3"/>
        <v>Mid Range</v>
      </c>
    </row>
    <row r="245" spans="1:6" ht="18.75" customHeight="1" x14ac:dyDescent="0.3">
      <c r="A245" t="s">
        <v>189</v>
      </c>
      <c r="B245" s="2">
        <v>16</v>
      </c>
      <c r="C245" s="2">
        <v>110</v>
      </c>
      <c r="D245" s="2">
        <v>18</v>
      </c>
      <c r="E245" s="2">
        <v>74</v>
      </c>
      <c r="F245" t="str">
        <f t="shared" si="3"/>
        <v>Economy</v>
      </c>
    </row>
    <row r="246" spans="1:6" ht="18.75" customHeight="1" x14ac:dyDescent="0.3">
      <c r="A246" t="s">
        <v>232</v>
      </c>
      <c r="B246" s="2">
        <v>15</v>
      </c>
      <c r="C246" s="2">
        <v>100</v>
      </c>
      <c r="D246" s="2">
        <v>17</v>
      </c>
      <c r="E246" s="2">
        <v>74</v>
      </c>
      <c r="F246" t="str">
        <f t="shared" si="3"/>
        <v>Economy</v>
      </c>
    </row>
    <row r="247" spans="1:6" ht="18.75" customHeight="1" x14ac:dyDescent="0.3">
      <c r="A247" t="s">
        <v>233</v>
      </c>
      <c r="B247" s="2">
        <v>18</v>
      </c>
      <c r="C247" s="2">
        <v>105</v>
      </c>
      <c r="D247" s="8">
        <v>16.5</v>
      </c>
      <c r="E247" s="2">
        <v>74</v>
      </c>
      <c r="F247" t="str">
        <f t="shared" si="3"/>
        <v>Economy</v>
      </c>
    </row>
    <row r="248" spans="1:6" ht="18.75" customHeight="1" x14ac:dyDescent="0.3">
      <c r="A248" t="s">
        <v>234</v>
      </c>
      <c r="B248" s="2">
        <v>16</v>
      </c>
      <c r="C248" s="2">
        <v>100</v>
      </c>
      <c r="D248" s="2">
        <v>17</v>
      </c>
      <c r="E248" s="2">
        <v>74</v>
      </c>
      <c r="F248" t="str">
        <f t="shared" si="3"/>
        <v>Economy</v>
      </c>
    </row>
    <row r="249" spans="1:6" ht="18.75" customHeight="1" x14ac:dyDescent="0.3">
      <c r="A249" t="s">
        <v>162</v>
      </c>
      <c r="B249" s="2">
        <v>21</v>
      </c>
      <c r="D249" s="2">
        <v>17</v>
      </c>
      <c r="E249" s="2">
        <v>74</v>
      </c>
      <c r="F249" t="str">
        <f t="shared" si="3"/>
        <v>Economy</v>
      </c>
    </row>
    <row r="250" spans="1:6" ht="18.75" customHeight="1" x14ac:dyDescent="0.3">
      <c r="A250" t="s">
        <v>204</v>
      </c>
      <c r="B250" s="2">
        <v>14</v>
      </c>
      <c r="C250" s="2">
        <v>150</v>
      </c>
      <c r="D250" s="8">
        <v>15.5</v>
      </c>
      <c r="E250" s="2">
        <v>74</v>
      </c>
      <c r="F250" t="str">
        <f t="shared" si="3"/>
        <v>Economy</v>
      </c>
    </row>
    <row r="251" spans="1:6" ht="18.75" customHeight="1" x14ac:dyDescent="0.3">
      <c r="A251" t="s">
        <v>229</v>
      </c>
      <c r="B251" s="2">
        <v>16</v>
      </c>
      <c r="C251" s="2">
        <v>140</v>
      </c>
      <c r="D251" s="2">
        <v>14</v>
      </c>
      <c r="E251" s="2">
        <v>74</v>
      </c>
      <c r="F251" t="str">
        <f t="shared" si="3"/>
        <v>Economy</v>
      </c>
    </row>
    <row r="252" spans="1:6" ht="18.75" customHeight="1" x14ac:dyDescent="0.3">
      <c r="A252" t="s">
        <v>235</v>
      </c>
      <c r="B252" s="2">
        <v>14</v>
      </c>
      <c r="C252" s="2">
        <v>150</v>
      </c>
      <c r="D252" s="8">
        <v>13.5</v>
      </c>
      <c r="E252" s="2">
        <v>74</v>
      </c>
      <c r="F252" t="str">
        <f t="shared" si="3"/>
        <v>Economy</v>
      </c>
    </row>
    <row r="253" spans="1:6" ht="18.75" customHeight="1" x14ac:dyDescent="0.3">
      <c r="A253" t="s">
        <v>236</v>
      </c>
      <c r="B253" s="2">
        <v>13</v>
      </c>
      <c r="C253" s="2">
        <v>150</v>
      </c>
      <c r="D253" s="8">
        <v>14.5</v>
      </c>
      <c r="E253" s="2">
        <v>74</v>
      </c>
      <c r="F253" t="str">
        <f t="shared" si="3"/>
        <v>Economy</v>
      </c>
    </row>
    <row r="254" spans="1:6" ht="18.75" customHeight="1" x14ac:dyDescent="0.3">
      <c r="A254" t="s">
        <v>208</v>
      </c>
      <c r="B254" s="2">
        <v>14</v>
      </c>
      <c r="C254" s="2">
        <v>140</v>
      </c>
      <c r="D254" s="2">
        <v>16</v>
      </c>
      <c r="E254" s="2">
        <v>74</v>
      </c>
      <c r="F254" t="str">
        <f t="shared" si="3"/>
        <v>Economy</v>
      </c>
    </row>
    <row r="255" spans="1:6" ht="18.75" customHeight="1" x14ac:dyDescent="0.3">
      <c r="A255" t="s">
        <v>185</v>
      </c>
      <c r="B255" s="2">
        <v>23</v>
      </c>
      <c r="C255" s="2">
        <v>83</v>
      </c>
      <c r="D255" s="2">
        <v>17</v>
      </c>
      <c r="E255" s="2">
        <v>75</v>
      </c>
      <c r="F255" t="str">
        <f t="shared" si="3"/>
        <v>Mid Range</v>
      </c>
    </row>
    <row r="256" spans="1:6" ht="18.75" customHeight="1" x14ac:dyDescent="0.3">
      <c r="A256" t="s">
        <v>237</v>
      </c>
      <c r="B256" s="2">
        <v>23</v>
      </c>
      <c r="C256" s="2">
        <v>78</v>
      </c>
      <c r="D256" s="8">
        <v>18.5</v>
      </c>
      <c r="E256" s="2">
        <v>75</v>
      </c>
      <c r="F256" t="str">
        <f t="shared" si="3"/>
        <v>Mid Range</v>
      </c>
    </row>
    <row r="257" spans="1:6" ht="18.75" customHeight="1" x14ac:dyDescent="0.3">
      <c r="A257" t="s">
        <v>238</v>
      </c>
      <c r="B257" s="2">
        <v>21</v>
      </c>
      <c r="C257" s="2">
        <v>110</v>
      </c>
      <c r="D257" s="2">
        <v>15</v>
      </c>
      <c r="E257" s="2">
        <v>75</v>
      </c>
      <c r="F257" t="str">
        <f t="shared" si="3"/>
        <v>Economy</v>
      </c>
    </row>
    <row r="258" spans="1:6" ht="18.75" customHeight="1" x14ac:dyDescent="0.3">
      <c r="A258" t="s">
        <v>160</v>
      </c>
      <c r="B258" s="2">
        <v>20</v>
      </c>
      <c r="C258" s="2">
        <v>100</v>
      </c>
      <c r="D258" s="2">
        <v>16</v>
      </c>
      <c r="E258" s="2">
        <v>75</v>
      </c>
      <c r="F258" t="str">
        <f t="shared" ref="F258:F321" si="4">IF(AND(C258&gt;100,D258&lt;13,B258&gt;32.5),"High Performance",IF(AND(C258&lt;= 100,C258&gt;=60,D258&gt;=13,D258&lt;=19,B258&gt;=17,B258&lt;=32.5),"Mid Range","Economy"))</f>
        <v>Mid Range</v>
      </c>
    </row>
    <row r="259" spans="1:6" ht="18.75" customHeight="1" x14ac:dyDescent="0.3">
      <c r="A259" t="s">
        <v>185</v>
      </c>
      <c r="B259" s="2">
        <v>18</v>
      </c>
      <c r="C259" s="2">
        <v>97</v>
      </c>
      <c r="D259" s="8">
        <v>14.5</v>
      </c>
      <c r="E259" s="2">
        <v>75</v>
      </c>
      <c r="F259" t="str">
        <f t="shared" si="4"/>
        <v>Mid Range</v>
      </c>
    </row>
    <row r="260" spans="1:6" ht="18.75" customHeight="1" x14ac:dyDescent="0.3">
      <c r="A260" t="s">
        <v>232</v>
      </c>
      <c r="B260" s="2">
        <v>18</v>
      </c>
      <c r="C260" s="2">
        <v>105</v>
      </c>
      <c r="D260" s="2">
        <v>16</v>
      </c>
      <c r="E260" s="2">
        <v>75</v>
      </c>
      <c r="F260" t="str">
        <f t="shared" si="4"/>
        <v>Economy</v>
      </c>
    </row>
    <row r="261" spans="1:6" ht="18.75" customHeight="1" x14ac:dyDescent="0.3">
      <c r="A261" t="s">
        <v>189</v>
      </c>
      <c r="B261" s="2">
        <v>15</v>
      </c>
      <c r="C261" s="2">
        <v>110</v>
      </c>
      <c r="D261" s="2">
        <v>19</v>
      </c>
      <c r="E261" s="2">
        <v>75</v>
      </c>
      <c r="F261" t="str">
        <f t="shared" si="4"/>
        <v>Economy</v>
      </c>
    </row>
    <row r="262" spans="1:6" ht="18.75" customHeight="1" x14ac:dyDescent="0.3">
      <c r="A262" t="s">
        <v>239</v>
      </c>
      <c r="B262" s="2">
        <v>19</v>
      </c>
      <c r="C262" s="2">
        <v>95</v>
      </c>
      <c r="D262" s="2">
        <v>16</v>
      </c>
      <c r="E262" s="2">
        <v>75</v>
      </c>
      <c r="F262" t="str">
        <f t="shared" si="4"/>
        <v>Mid Range</v>
      </c>
    </row>
    <row r="263" spans="1:6" ht="18.75" customHeight="1" x14ac:dyDescent="0.3">
      <c r="A263" t="s">
        <v>240</v>
      </c>
      <c r="B263" s="2">
        <v>17</v>
      </c>
      <c r="C263" s="2">
        <v>110</v>
      </c>
      <c r="D263" s="2">
        <v>21</v>
      </c>
      <c r="E263" s="2">
        <v>75</v>
      </c>
      <c r="F263" t="str">
        <f t="shared" si="4"/>
        <v>Economy</v>
      </c>
    </row>
    <row r="264" spans="1:6" ht="18.75" customHeight="1" x14ac:dyDescent="0.3">
      <c r="A264" t="s">
        <v>241</v>
      </c>
      <c r="B264" s="2">
        <v>19</v>
      </c>
      <c r="C264" s="2">
        <v>90</v>
      </c>
      <c r="D264" s="2">
        <v>17</v>
      </c>
      <c r="E264" s="2">
        <v>75</v>
      </c>
      <c r="F264" t="str">
        <f t="shared" si="4"/>
        <v>Mid Range</v>
      </c>
    </row>
    <row r="265" spans="1:6" ht="18.75" customHeight="1" x14ac:dyDescent="0.3">
      <c r="A265" t="s">
        <v>242</v>
      </c>
      <c r="B265" s="2">
        <v>16</v>
      </c>
      <c r="C265" s="2">
        <v>105</v>
      </c>
      <c r="D265" s="8">
        <v>18.5</v>
      </c>
      <c r="E265" s="2">
        <v>75</v>
      </c>
      <c r="F265" t="str">
        <f t="shared" si="4"/>
        <v>Economy</v>
      </c>
    </row>
    <row r="266" spans="1:6" ht="18.75" customHeight="1" x14ac:dyDescent="0.3">
      <c r="A266" t="s">
        <v>243</v>
      </c>
      <c r="B266" s="2">
        <v>18</v>
      </c>
      <c r="C266" s="2">
        <v>95</v>
      </c>
      <c r="D266" s="2">
        <v>19</v>
      </c>
      <c r="E266" s="2">
        <v>75</v>
      </c>
      <c r="F266" t="str">
        <f t="shared" si="4"/>
        <v>Mid Range</v>
      </c>
    </row>
    <row r="267" spans="1:6" ht="18.75" customHeight="1" x14ac:dyDescent="0.3">
      <c r="A267" t="s">
        <v>162</v>
      </c>
      <c r="B267" s="2">
        <v>15</v>
      </c>
      <c r="C267" s="2">
        <v>72</v>
      </c>
      <c r="D267" s="8">
        <v>19.5</v>
      </c>
      <c r="E267" s="2">
        <v>75</v>
      </c>
      <c r="F267" t="str">
        <f t="shared" si="4"/>
        <v>Economy</v>
      </c>
    </row>
    <row r="268" spans="1:6" ht="18.75" customHeight="1" x14ac:dyDescent="0.3">
      <c r="A268" t="s">
        <v>244</v>
      </c>
      <c r="B268" s="2">
        <v>15</v>
      </c>
      <c r="C268" s="2">
        <v>72</v>
      </c>
      <c r="D268" s="2">
        <v>21</v>
      </c>
      <c r="E268" s="2">
        <v>75</v>
      </c>
      <c r="F268" t="str">
        <f t="shared" si="4"/>
        <v>Economy</v>
      </c>
    </row>
    <row r="269" spans="1:6" ht="18.75" customHeight="1" x14ac:dyDescent="0.3">
      <c r="A269" t="s">
        <v>245</v>
      </c>
      <c r="B269" s="2">
        <v>13</v>
      </c>
      <c r="C269" s="2">
        <v>129</v>
      </c>
      <c r="D269" s="2">
        <v>12</v>
      </c>
      <c r="E269" s="2">
        <v>75</v>
      </c>
      <c r="F269" t="str">
        <f t="shared" si="4"/>
        <v>Economy</v>
      </c>
    </row>
    <row r="270" spans="1:6" ht="18.75" customHeight="1" x14ac:dyDescent="0.3">
      <c r="A270" t="s">
        <v>164</v>
      </c>
      <c r="B270" s="2">
        <v>16</v>
      </c>
      <c r="C270" s="2">
        <v>170</v>
      </c>
      <c r="D270" s="8">
        <v>11.5</v>
      </c>
      <c r="E270" s="2">
        <v>75</v>
      </c>
      <c r="F270" t="str">
        <f t="shared" si="4"/>
        <v>Economy</v>
      </c>
    </row>
    <row r="271" spans="1:6" ht="18.75" customHeight="1" x14ac:dyDescent="0.3">
      <c r="A271" t="s">
        <v>246</v>
      </c>
      <c r="B271" s="2">
        <v>20</v>
      </c>
      <c r="C271" s="2">
        <v>110</v>
      </c>
      <c r="D271" s="8">
        <v>13.5</v>
      </c>
      <c r="E271" s="2">
        <v>75</v>
      </c>
      <c r="F271" t="str">
        <f t="shared" si="4"/>
        <v>Economy</v>
      </c>
    </row>
    <row r="272" spans="1:6" ht="18.75" customHeight="1" x14ac:dyDescent="0.3">
      <c r="A272" t="s">
        <v>247</v>
      </c>
      <c r="B272" s="2">
        <v>16</v>
      </c>
      <c r="C272" s="2">
        <v>150</v>
      </c>
      <c r="D272" s="8">
        <v>14.5</v>
      </c>
      <c r="E272" s="2">
        <v>75</v>
      </c>
      <c r="F272" t="str">
        <f t="shared" si="4"/>
        <v>Economy</v>
      </c>
    </row>
    <row r="273" spans="1:6" ht="18.75" customHeight="1" x14ac:dyDescent="0.3">
      <c r="A273" t="s">
        <v>248</v>
      </c>
      <c r="B273" s="2">
        <v>15</v>
      </c>
      <c r="C273" s="2">
        <v>145</v>
      </c>
      <c r="D273" s="2">
        <v>14</v>
      </c>
      <c r="E273" s="2">
        <v>75</v>
      </c>
      <c r="F273" t="str">
        <f t="shared" si="4"/>
        <v>Economy</v>
      </c>
    </row>
    <row r="274" spans="1:6" ht="18.75" customHeight="1" x14ac:dyDescent="0.3">
      <c r="A274" t="s">
        <v>225</v>
      </c>
      <c r="B274" s="2">
        <v>14</v>
      </c>
      <c r="C274" s="2">
        <v>148</v>
      </c>
      <c r="D274" s="8">
        <v>13.5</v>
      </c>
      <c r="E274" s="2">
        <v>75</v>
      </c>
      <c r="F274" t="str">
        <f t="shared" si="4"/>
        <v>Economy</v>
      </c>
    </row>
    <row r="275" spans="1:6" ht="18.75" customHeight="1" x14ac:dyDescent="0.3">
      <c r="A275" t="s">
        <v>249</v>
      </c>
      <c r="B275" s="2">
        <v>25</v>
      </c>
      <c r="C275" s="2">
        <v>92</v>
      </c>
      <c r="D275" s="8">
        <v>14.9</v>
      </c>
      <c r="E275" s="2">
        <v>76</v>
      </c>
      <c r="F275" t="str">
        <f t="shared" si="4"/>
        <v>Mid Range</v>
      </c>
    </row>
    <row r="276" spans="1:6" ht="18.75" customHeight="1" x14ac:dyDescent="0.3">
      <c r="A276" t="s">
        <v>231</v>
      </c>
      <c r="B276" s="2">
        <v>26</v>
      </c>
      <c r="C276" s="2">
        <v>79</v>
      </c>
      <c r="D276" s="8">
        <v>17.7</v>
      </c>
      <c r="E276" s="2">
        <v>76</v>
      </c>
      <c r="F276" t="str">
        <f t="shared" si="4"/>
        <v>Mid Range</v>
      </c>
    </row>
    <row r="277" spans="1:6" ht="18.75" customHeight="1" x14ac:dyDescent="0.3">
      <c r="A277" t="s">
        <v>185</v>
      </c>
      <c r="B277" s="8">
        <v>26.5</v>
      </c>
      <c r="C277" s="2">
        <v>72</v>
      </c>
      <c r="D277" s="8">
        <v>13.6</v>
      </c>
      <c r="E277" s="2">
        <v>76</v>
      </c>
      <c r="F277" t="str">
        <f t="shared" si="4"/>
        <v>Mid Range</v>
      </c>
    </row>
    <row r="278" spans="1:6" ht="18.75" customHeight="1" x14ac:dyDescent="0.3">
      <c r="A278" t="s">
        <v>250</v>
      </c>
      <c r="B278" s="8">
        <v>24.5</v>
      </c>
      <c r="C278" s="2">
        <v>60</v>
      </c>
      <c r="D278" s="8">
        <v>22.1</v>
      </c>
      <c r="E278" s="2">
        <v>76</v>
      </c>
      <c r="F278" t="str">
        <f t="shared" si="4"/>
        <v>Economy</v>
      </c>
    </row>
    <row r="279" spans="1:6" ht="18.75" customHeight="1" x14ac:dyDescent="0.3">
      <c r="A279" t="s">
        <v>251</v>
      </c>
      <c r="B279" s="2">
        <v>29</v>
      </c>
      <c r="C279" s="2">
        <v>52</v>
      </c>
      <c r="D279" s="8">
        <v>22.2</v>
      </c>
      <c r="E279" s="2">
        <v>76</v>
      </c>
      <c r="F279" t="str">
        <f t="shared" si="4"/>
        <v>Economy</v>
      </c>
    </row>
    <row r="280" spans="1:6" ht="18.75" customHeight="1" x14ac:dyDescent="0.3">
      <c r="A280" t="s">
        <v>232</v>
      </c>
      <c r="B280" s="2">
        <v>22</v>
      </c>
      <c r="C280" s="2">
        <v>105</v>
      </c>
      <c r="D280" s="8">
        <v>14.5</v>
      </c>
      <c r="E280" s="2">
        <v>76</v>
      </c>
      <c r="F280" t="str">
        <f t="shared" si="4"/>
        <v>Economy</v>
      </c>
    </row>
    <row r="281" spans="1:6" ht="18.75" customHeight="1" x14ac:dyDescent="0.3">
      <c r="A281" t="s">
        <v>211</v>
      </c>
      <c r="B281" s="2">
        <v>22</v>
      </c>
      <c r="C281" s="2">
        <v>100</v>
      </c>
      <c r="D281" s="8">
        <v>15.4</v>
      </c>
      <c r="E281" s="2">
        <v>76</v>
      </c>
      <c r="F281" t="str">
        <f t="shared" si="4"/>
        <v>Mid Range</v>
      </c>
    </row>
    <row r="282" spans="1:6" ht="18.75" customHeight="1" x14ac:dyDescent="0.3">
      <c r="A282" t="s">
        <v>252</v>
      </c>
      <c r="B282" s="8">
        <v>18.5</v>
      </c>
      <c r="C282" s="2">
        <v>110</v>
      </c>
      <c r="D282" s="8">
        <v>16.2</v>
      </c>
      <c r="E282" s="2">
        <v>76</v>
      </c>
      <c r="F282" t="str">
        <f t="shared" si="4"/>
        <v>Economy</v>
      </c>
    </row>
    <row r="283" spans="1:6" ht="18.75" customHeight="1" x14ac:dyDescent="0.3">
      <c r="A283" t="s">
        <v>253</v>
      </c>
      <c r="B283" s="8">
        <v>17.5</v>
      </c>
      <c r="C283" s="2">
        <v>95</v>
      </c>
      <c r="D283" s="8">
        <v>17.8</v>
      </c>
      <c r="E283" s="2">
        <v>76</v>
      </c>
      <c r="F283" t="str">
        <f t="shared" si="4"/>
        <v>Mid Range</v>
      </c>
    </row>
    <row r="284" spans="1:6" ht="18.75" customHeight="1" x14ac:dyDescent="0.3">
      <c r="A284" t="s">
        <v>159</v>
      </c>
      <c r="B284" s="8">
        <v>22.5</v>
      </c>
      <c r="C284" s="2">
        <v>90</v>
      </c>
      <c r="D284" s="8">
        <v>17.600000000000001</v>
      </c>
      <c r="E284" s="2">
        <v>76</v>
      </c>
      <c r="F284" t="str">
        <f t="shared" si="4"/>
        <v>Mid Range</v>
      </c>
    </row>
    <row r="285" spans="1:6" ht="18.75" customHeight="1" x14ac:dyDescent="0.3">
      <c r="A285" t="s">
        <v>254</v>
      </c>
      <c r="B285" s="2">
        <v>20</v>
      </c>
      <c r="C285" s="2">
        <v>100</v>
      </c>
      <c r="D285" s="8">
        <v>17.7</v>
      </c>
      <c r="E285" s="2">
        <v>76</v>
      </c>
      <c r="F285" t="str">
        <f t="shared" si="4"/>
        <v>Mid Range</v>
      </c>
    </row>
    <row r="286" spans="1:6" ht="18.75" customHeight="1" x14ac:dyDescent="0.3">
      <c r="A286" t="s">
        <v>162</v>
      </c>
      <c r="B286" s="2">
        <v>24</v>
      </c>
      <c r="C286" s="2">
        <v>81</v>
      </c>
      <c r="D286" s="8">
        <v>17.600000000000001</v>
      </c>
      <c r="E286" s="2">
        <v>76</v>
      </c>
      <c r="F286" t="str">
        <f t="shared" si="4"/>
        <v>Mid Range</v>
      </c>
    </row>
    <row r="287" spans="1:6" ht="18.75" customHeight="1" x14ac:dyDescent="0.3">
      <c r="A287" t="s">
        <v>255</v>
      </c>
      <c r="B287" s="2">
        <v>18</v>
      </c>
      <c r="C287" s="2">
        <v>78</v>
      </c>
      <c r="D287" s="2">
        <v>21</v>
      </c>
      <c r="E287" s="2">
        <v>76</v>
      </c>
      <c r="F287" t="str">
        <f t="shared" si="4"/>
        <v>Economy</v>
      </c>
    </row>
    <row r="288" spans="1:6" ht="18.75" customHeight="1" x14ac:dyDescent="0.3">
      <c r="A288" t="s">
        <v>256</v>
      </c>
      <c r="B288" s="8">
        <v>16.5</v>
      </c>
      <c r="C288" s="2">
        <v>180</v>
      </c>
      <c r="D288" s="8">
        <v>12.1</v>
      </c>
      <c r="E288" s="2">
        <v>76</v>
      </c>
      <c r="F288" t="str">
        <f t="shared" si="4"/>
        <v>Economy</v>
      </c>
    </row>
    <row r="289" spans="1:6" ht="18.75" customHeight="1" x14ac:dyDescent="0.3">
      <c r="A289" t="s">
        <v>257</v>
      </c>
      <c r="B289" s="2">
        <v>13</v>
      </c>
      <c r="C289" s="2">
        <v>150</v>
      </c>
      <c r="D289" s="2">
        <v>14</v>
      </c>
      <c r="E289" s="2">
        <v>76</v>
      </c>
      <c r="F289" t="str">
        <f t="shared" si="4"/>
        <v>Economy</v>
      </c>
    </row>
    <row r="290" spans="1:6" ht="18.75" customHeight="1" x14ac:dyDescent="0.3">
      <c r="A290" t="s">
        <v>258</v>
      </c>
      <c r="B290" s="2">
        <v>13</v>
      </c>
      <c r="C290" s="2">
        <v>150</v>
      </c>
      <c r="D290" s="8">
        <v>13.2</v>
      </c>
      <c r="E290" s="2">
        <v>76</v>
      </c>
      <c r="F290" t="str">
        <f t="shared" si="4"/>
        <v>Economy</v>
      </c>
    </row>
    <row r="291" spans="1:6" ht="18.75" customHeight="1" x14ac:dyDescent="0.3">
      <c r="A291" t="s">
        <v>229</v>
      </c>
      <c r="B291" s="8">
        <v>14.5</v>
      </c>
      <c r="C291" s="2">
        <v>152</v>
      </c>
      <c r="D291" s="8">
        <v>12.8</v>
      </c>
      <c r="E291" s="2">
        <v>76</v>
      </c>
      <c r="F291" t="str">
        <f t="shared" si="4"/>
        <v>Economy</v>
      </c>
    </row>
    <row r="292" spans="1:6" ht="18.75" customHeight="1" x14ac:dyDescent="0.3">
      <c r="A292" t="s">
        <v>259</v>
      </c>
      <c r="B292" s="2">
        <v>13</v>
      </c>
      <c r="C292" s="2">
        <v>145</v>
      </c>
      <c r="D292" s="2">
        <v>12</v>
      </c>
      <c r="E292" s="2">
        <v>76</v>
      </c>
      <c r="F292" t="str">
        <f t="shared" si="4"/>
        <v>Economy</v>
      </c>
    </row>
    <row r="293" spans="1:6" ht="18.75" customHeight="1" x14ac:dyDescent="0.3">
      <c r="A293" t="s">
        <v>260</v>
      </c>
      <c r="B293" s="2">
        <v>16</v>
      </c>
      <c r="C293" s="2">
        <v>150</v>
      </c>
      <c r="D293" s="2">
        <v>13</v>
      </c>
      <c r="E293" s="2">
        <v>76</v>
      </c>
      <c r="F293" t="str">
        <f t="shared" si="4"/>
        <v>Economy</v>
      </c>
    </row>
    <row r="294" spans="1:6" ht="18.75" customHeight="1" x14ac:dyDescent="0.3">
      <c r="A294" t="s">
        <v>261</v>
      </c>
      <c r="B294" s="2">
        <v>13</v>
      </c>
      <c r="C294" s="2">
        <v>130</v>
      </c>
      <c r="D294" s="2">
        <v>15</v>
      </c>
      <c r="E294" s="2">
        <v>76</v>
      </c>
      <c r="F294" t="str">
        <f t="shared" si="4"/>
        <v>Economy</v>
      </c>
    </row>
    <row r="295" spans="1:6" ht="18.75" customHeight="1" x14ac:dyDescent="0.3">
      <c r="A295" t="s">
        <v>234</v>
      </c>
      <c r="B295" s="8">
        <v>17.5</v>
      </c>
      <c r="C295" s="2">
        <v>140</v>
      </c>
      <c r="D295" s="2">
        <v>13</v>
      </c>
      <c r="E295" s="2">
        <v>76</v>
      </c>
      <c r="F295" t="str">
        <f t="shared" si="4"/>
        <v>Economy</v>
      </c>
    </row>
    <row r="296" spans="1:6" ht="18.75" customHeight="1" x14ac:dyDescent="0.3">
      <c r="A296" t="s">
        <v>189</v>
      </c>
      <c r="B296" s="8">
        <v>15.5</v>
      </c>
      <c r="C296" s="2">
        <v>120</v>
      </c>
      <c r="D296" s="8">
        <v>13.9</v>
      </c>
      <c r="E296" s="2">
        <v>76</v>
      </c>
      <c r="F296" t="str">
        <f t="shared" si="4"/>
        <v>Economy</v>
      </c>
    </row>
    <row r="297" spans="1:6" ht="18.75" customHeight="1" x14ac:dyDescent="0.3">
      <c r="A297" t="s">
        <v>262</v>
      </c>
      <c r="B297" s="8">
        <v>25.5</v>
      </c>
      <c r="C297" s="2">
        <v>96</v>
      </c>
      <c r="D297" s="8">
        <v>15.5</v>
      </c>
      <c r="E297" s="2">
        <v>77</v>
      </c>
      <c r="F297" t="str">
        <f t="shared" si="4"/>
        <v>Mid Range</v>
      </c>
    </row>
    <row r="298" spans="1:6" ht="18.75" customHeight="1" x14ac:dyDescent="0.3">
      <c r="A298" t="s">
        <v>263</v>
      </c>
      <c r="B298" s="8">
        <v>33.5</v>
      </c>
      <c r="C298" s="2">
        <v>83</v>
      </c>
      <c r="D298" s="8">
        <v>15.9</v>
      </c>
      <c r="E298" s="2">
        <v>77</v>
      </c>
      <c r="F298" t="str">
        <f t="shared" si="4"/>
        <v>Economy</v>
      </c>
    </row>
    <row r="299" spans="1:6" ht="18.75" customHeight="1" x14ac:dyDescent="0.3">
      <c r="A299" t="s">
        <v>264</v>
      </c>
      <c r="B299" s="2">
        <v>30</v>
      </c>
      <c r="C299" s="2">
        <v>80</v>
      </c>
      <c r="D299" s="8">
        <v>14.8</v>
      </c>
      <c r="E299" s="2">
        <v>77</v>
      </c>
      <c r="F299" t="str">
        <f t="shared" si="4"/>
        <v>Mid Range</v>
      </c>
    </row>
    <row r="300" spans="1:6" ht="18.75" customHeight="1" x14ac:dyDescent="0.3">
      <c r="A300" t="s">
        <v>265</v>
      </c>
      <c r="B300" s="8">
        <v>25.5</v>
      </c>
      <c r="C300" s="2">
        <v>89</v>
      </c>
      <c r="D300" s="8">
        <v>15.8</v>
      </c>
      <c r="E300" s="2">
        <v>77</v>
      </c>
      <c r="F300" t="str">
        <f t="shared" si="4"/>
        <v>Mid Range</v>
      </c>
    </row>
    <row r="301" spans="1:6" ht="18.75" customHeight="1" x14ac:dyDescent="0.3">
      <c r="A301" t="s">
        <v>266</v>
      </c>
      <c r="B301" s="8">
        <v>24.5</v>
      </c>
      <c r="C301" s="2">
        <v>88</v>
      </c>
      <c r="D301" s="2">
        <v>16</v>
      </c>
      <c r="E301" s="2">
        <v>77</v>
      </c>
      <c r="F301" t="str">
        <f t="shared" si="4"/>
        <v>Mid Range</v>
      </c>
    </row>
    <row r="302" spans="1:6" ht="18.75" customHeight="1" x14ac:dyDescent="0.3">
      <c r="A302" t="s">
        <v>251</v>
      </c>
      <c r="B302" s="8">
        <v>30.5</v>
      </c>
      <c r="C302" s="2">
        <v>63</v>
      </c>
      <c r="D302" s="2">
        <v>17</v>
      </c>
      <c r="E302" s="2">
        <v>77</v>
      </c>
      <c r="F302" t="str">
        <f t="shared" si="4"/>
        <v>Mid Range</v>
      </c>
    </row>
    <row r="303" spans="1:6" ht="18.75" customHeight="1" x14ac:dyDescent="0.3">
      <c r="A303" t="s">
        <v>267</v>
      </c>
      <c r="B303" s="8">
        <v>17.5</v>
      </c>
      <c r="C303" s="2">
        <v>110</v>
      </c>
      <c r="D303" s="8">
        <v>16.399999999999999</v>
      </c>
      <c r="E303" s="2">
        <v>77</v>
      </c>
      <c r="F303" t="str">
        <f t="shared" si="4"/>
        <v>Economy</v>
      </c>
    </row>
    <row r="304" spans="1:6" ht="18.75" customHeight="1" x14ac:dyDescent="0.3">
      <c r="A304" t="s">
        <v>268</v>
      </c>
      <c r="B304" s="8">
        <v>20.5</v>
      </c>
      <c r="C304" s="2">
        <v>105</v>
      </c>
      <c r="D304" s="8">
        <v>16.899999999999999</v>
      </c>
      <c r="E304" s="2">
        <v>77</v>
      </c>
      <c r="F304" t="str">
        <f t="shared" si="4"/>
        <v>Economy</v>
      </c>
    </row>
    <row r="305" spans="1:6" ht="18.75" customHeight="1" x14ac:dyDescent="0.3">
      <c r="A305" t="s">
        <v>269</v>
      </c>
      <c r="B305" s="8">
        <v>18.5</v>
      </c>
      <c r="C305" s="2">
        <v>98</v>
      </c>
      <c r="D305" s="2">
        <v>19</v>
      </c>
      <c r="E305" s="2">
        <v>77</v>
      </c>
      <c r="F305" t="str">
        <f t="shared" si="4"/>
        <v>Mid Range</v>
      </c>
    </row>
    <row r="306" spans="1:6" ht="18.75" customHeight="1" x14ac:dyDescent="0.3">
      <c r="A306" t="s">
        <v>270</v>
      </c>
      <c r="B306" s="2">
        <v>19</v>
      </c>
      <c r="C306" s="2">
        <v>100</v>
      </c>
      <c r="D306" s="8">
        <v>17.7</v>
      </c>
      <c r="E306" s="2">
        <v>77</v>
      </c>
      <c r="F306" t="str">
        <f t="shared" si="4"/>
        <v>Mid Range</v>
      </c>
    </row>
    <row r="307" spans="1:6" ht="18.75" customHeight="1" x14ac:dyDescent="0.3">
      <c r="A307" t="s">
        <v>271</v>
      </c>
      <c r="B307" s="8">
        <v>15.5</v>
      </c>
      <c r="C307" s="2">
        <v>190</v>
      </c>
      <c r="D307" s="8">
        <v>12.2</v>
      </c>
      <c r="E307" s="2">
        <v>77</v>
      </c>
      <c r="F307" t="str">
        <f t="shared" si="4"/>
        <v>Economy</v>
      </c>
    </row>
    <row r="308" spans="1:6" ht="18.75" customHeight="1" x14ac:dyDescent="0.3">
      <c r="A308" t="s">
        <v>272</v>
      </c>
      <c r="B308" s="2">
        <v>16</v>
      </c>
      <c r="C308" s="2">
        <v>180</v>
      </c>
      <c r="D308" s="8">
        <v>11.1</v>
      </c>
      <c r="E308" s="2">
        <v>77</v>
      </c>
      <c r="F308" t="str">
        <f t="shared" si="4"/>
        <v>Economy</v>
      </c>
    </row>
    <row r="309" spans="1:6" ht="18.75" customHeight="1" x14ac:dyDescent="0.3">
      <c r="A309" t="s">
        <v>273</v>
      </c>
      <c r="B309" s="8">
        <v>15.5</v>
      </c>
      <c r="C309" s="2">
        <v>170</v>
      </c>
      <c r="D309" s="8">
        <v>11.4</v>
      </c>
      <c r="E309" s="2">
        <v>77</v>
      </c>
      <c r="F309" t="str">
        <f t="shared" si="4"/>
        <v>Economy</v>
      </c>
    </row>
    <row r="310" spans="1:6" ht="18.75" customHeight="1" x14ac:dyDescent="0.3">
      <c r="A310" t="s">
        <v>230</v>
      </c>
      <c r="B310" s="8">
        <v>17.5</v>
      </c>
      <c r="C310" s="2">
        <v>145</v>
      </c>
      <c r="D310" s="8">
        <v>12.5</v>
      </c>
      <c r="E310" s="2">
        <v>77</v>
      </c>
      <c r="F310" t="str">
        <f t="shared" si="4"/>
        <v>Economy</v>
      </c>
    </row>
    <row r="311" spans="1:6" ht="18.75" customHeight="1" x14ac:dyDescent="0.3">
      <c r="A311" t="s">
        <v>274</v>
      </c>
      <c r="B311" s="8">
        <v>15.5</v>
      </c>
      <c r="C311" s="2">
        <v>145</v>
      </c>
      <c r="D311" s="8">
        <v>13.7</v>
      </c>
      <c r="E311" s="2">
        <v>77</v>
      </c>
      <c r="F311" t="str">
        <f t="shared" si="4"/>
        <v>Economy</v>
      </c>
    </row>
    <row r="312" spans="1:6" ht="18.75" customHeight="1" x14ac:dyDescent="0.3">
      <c r="A312" t="s">
        <v>275</v>
      </c>
      <c r="B312" s="2">
        <v>16</v>
      </c>
      <c r="C312" s="2">
        <v>149</v>
      </c>
      <c r="D312" s="8">
        <v>14.5</v>
      </c>
      <c r="E312" s="2">
        <v>77</v>
      </c>
      <c r="F312" t="str">
        <f t="shared" si="4"/>
        <v>Economy</v>
      </c>
    </row>
    <row r="313" spans="1:6" ht="18.75" customHeight="1" x14ac:dyDescent="0.3">
      <c r="A313" t="s">
        <v>276</v>
      </c>
      <c r="B313" s="2">
        <v>15</v>
      </c>
      <c r="C313" s="2">
        <v>130</v>
      </c>
      <c r="D313" s="8">
        <v>14.9</v>
      </c>
      <c r="E313" s="2">
        <v>77</v>
      </c>
      <c r="F313" t="str">
        <f t="shared" si="4"/>
        <v>Economy</v>
      </c>
    </row>
    <row r="314" spans="1:6" ht="18.75" customHeight="1" x14ac:dyDescent="0.3">
      <c r="A314" t="s">
        <v>277</v>
      </c>
      <c r="B314" s="2">
        <v>17</v>
      </c>
      <c r="C314" s="2">
        <v>110</v>
      </c>
      <c r="D314" s="2">
        <v>19</v>
      </c>
      <c r="E314" s="2">
        <v>77</v>
      </c>
      <c r="F314" t="str">
        <f t="shared" si="4"/>
        <v>Economy</v>
      </c>
    </row>
    <row r="315" spans="1:6" ht="18.75" customHeight="1" x14ac:dyDescent="0.3">
      <c r="A315" t="s">
        <v>278</v>
      </c>
      <c r="B315" s="8">
        <v>23.2</v>
      </c>
      <c r="C315" s="2">
        <v>105</v>
      </c>
      <c r="D315" s="8">
        <v>16.7</v>
      </c>
      <c r="E315" s="2">
        <v>78</v>
      </c>
      <c r="F315" t="str">
        <f t="shared" si="4"/>
        <v>Economy</v>
      </c>
    </row>
    <row r="316" spans="1:6" ht="18.75" customHeight="1" x14ac:dyDescent="0.3">
      <c r="A316" t="s">
        <v>279</v>
      </c>
      <c r="B316" s="8">
        <v>36.1</v>
      </c>
      <c r="C316" s="2">
        <v>66</v>
      </c>
      <c r="D316" s="8">
        <v>14.4</v>
      </c>
      <c r="E316" s="2">
        <v>78</v>
      </c>
      <c r="F316" t="str">
        <f t="shared" si="4"/>
        <v>Economy</v>
      </c>
    </row>
    <row r="317" spans="1:6" ht="18.75" customHeight="1" x14ac:dyDescent="0.3">
      <c r="A317" t="s">
        <v>280</v>
      </c>
      <c r="B317" s="8">
        <v>30.9</v>
      </c>
      <c r="C317" s="2">
        <v>75</v>
      </c>
      <c r="D317" s="8">
        <v>14.5</v>
      </c>
      <c r="E317" s="2">
        <v>78</v>
      </c>
      <c r="F317" t="str">
        <f t="shared" si="4"/>
        <v>Mid Range</v>
      </c>
    </row>
    <row r="318" spans="1:6" ht="18.75" customHeight="1" x14ac:dyDescent="0.3">
      <c r="A318" t="s">
        <v>281</v>
      </c>
      <c r="B318" s="8">
        <v>25.1</v>
      </c>
      <c r="C318" s="2">
        <v>88</v>
      </c>
      <c r="D318" s="8">
        <v>15.4</v>
      </c>
      <c r="E318" s="2">
        <v>78</v>
      </c>
      <c r="F318" t="str">
        <f t="shared" si="4"/>
        <v>Mid Range</v>
      </c>
    </row>
    <row r="319" spans="1:6" ht="18.75" customHeight="1" x14ac:dyDescent="0.3">
      <c r="A319" t="s">
        <v>251</v>
      </c>
      <c r="B319" s="2">
        <v>30</v>
      </c>
      <c r="C319" s="2">
        <v>68</v>
      </c>
      <c r="D319" s="8">
        <v>16.5</v>
      </c>
      <c r="E319" s="2">
        <v>78</v>
      </c>
      <c r="F319" t="str">
        <f t="shared" si="4"/>
        <v>Mid Range</v>
      </c>
    </row>
    <row r="320" spans="1:6" ht="18.75" customHeight="1" x14ac:dyDescent="0.3">
      <c r="A320" t="s">
        <v>282</v>
      </c>
      <c r="B320" s="8">
        <v>23.8</v>
      </c>
      <c r="C320" s="2">
        <v>85</v>
      </c>
      <c r="D320" s="8">
        <v>17.600000000000001</v>
      </c>
      <c r="E320" s="2">
        <v>78</v>
      </c>
      <c r="F320" t="str">
        <f t="shared" si="4"/>
        <v>Mid Range</v>
      </c>
    </row>
    <row r="321" spans="1:6" ht="18.75" customHeight="1" x14ac:dyDescent="0.3">
      <c r="A321" t="s">
        <v>283</v>
      </c>
      <c r="B321" s="8">
        <v>17.7</v>
      </c>
      <c r="C321" s="2">
        <v>165</v>
      </c>
      <c r="D321" s="8">
        <v>13.4</v>
      </c>
      <c r="E321" s="2">
        <v>78</v>
      </c>
      <c r="F321" t="str">
        <f t="shared" si="4"/>
        <v>Economy</v>
      </c>
    </row>
    <row r="322" spans="1:6" ht="18.75" customHeight="1" x14ac:dyDescent="0.3">
      <c r="A322" t="s">
        <v>284</v>
      </c>
      <c r="B322" s="8">
        <v>18.100000000000001</v>
      </c>
      <c r="C322" s="2">
        <v>120</v>
      </c>
      <c r="D322" s="8">
        <v>15.1</v>
      </c>
      <c r="E322" s="2">
        <v>78</v>
      </c>
      <c r="F322" t="str">
        <f t="shared" ref="F322:F385" si="5">IF(AND(C322&gt;100,D322&lt;13,B322&gt;32.5),"High Performance",IF(AND(C322&lt;= 100,C322&gt;=60,D322&gt;=13,D322&lt;=19,B322&gt;=17,B322&lt;=32.5),"Mid Range","Economy"))</f>
        <v>Economy</v>
      </c>
    </row>
    <row r="323" spans="1:6" ht="18.75" customHeight="1" x14ac:dyDescent="0.3">
      <c r="A323" t="s">
        <v>285</v>
      </c>
      <c r="B323" s="8">
        <v>20.6</v>
      </c>
      <c r="C323" s="2">
        <v>105</v>
      </c>
      <c r="D323" s="8">
        <v>15.8</v>
      </c>
      <c r="E323" s="2">
        <v>78</v>
      </c>
      <c r="F323" t="str">
        <f t="shared" si="5"/>
        <v>Economy</v>
      </c>
    </row>
    <row r="324" spans="1:6" ht="18.75" customHeight="1" x14ac:dyDescent="0.3">
      <c r="A324" t="s">
        <v>286</v>
      </c>
      <c r="B324" s="8">
        <v>18.600000000000001</v>
      </c>
      <c r="C324" s="2">
        <v>110</v>
      </c>
      <c r="D324" s="8">
        <v>18.7</v>
      </c>
      <c r="E324" s="2">
        <v>78</v>
      </c>
      <c r="F324" t="str">
        <f t="shared" si="5"/>
        <v>Economy</v>
      </c>
    </row>
    <row r="325" spans="1:6" ht="18.75" customHeight="1" x14ac:dyDescent="0.3">
      <c r="A325" t="s">
        <v>224</v>
      </c>
      <c r="B325" s="8">
        <v>20.5</v>
      </c>
      <c r="C325" s="2">
        <v>95</v>
      </c>
      <c r="D325" s="8">
        <v>18.2</v>
      </c>
      <c r="E325" s="2">
        <v>78</v>
      </c>
      <c r="F325" t="str">
        <f t="shared" si="5"/>
        <v>Mid Range</v>
      </c>
    </row>
    <row r="326" spans="1:6" ht="18.75" customHeight="1" x14ac:dyDescent="0.3">
      <c r="A326" t="s">
        <v>287</v>
      </c>
      <c r="B326" s="8">
        <v>19.2</v>
      </c>
      <c r="C326" s="2">
        <v>105</v>
      </c>
      <c r="D326" s="8">
        <v>19.2</v>
      </c>
      <c r="E326" s="2">
        <v>78</v>
      </c>
      <c r="F326" t="str">
        <f t="shared" si="5"/>
        <v>Economy</v>
      </c>
    </row>
    <row r="327" spans="1:6" ht="18.75" customHeight="1" x14ac:dyDescent="0.3">
      <c r="A327" t="s">
        <v>288</v>
      </c>
      <c r="B327" s="8">
        <v>20.5</v>
      </c>
      <c r="C327" s="2">
        <v>100</v>
      </c>
      <c r="D327" s="8">
        <v>17.2</v>
      </c>
      <c r="E327" s="2">
        <v>78</v>
      </c>
      <c r="F327" t="str">
        <f t="shared" si="5"/>
        <v>Mid Range</v>
      </c>
    </row>
    <row r="328" spans="1:6" ht="18.75" customHeight="1" x14ac:dyDescent="0.3">
      <c r="A328" t="s">
        <v>289</v>
      </c>
      <c r="B328" s="8">
        <v>20.2</v>
      </c>
      <c r="C328" s="2">
        <v>85</v>
      </c>
      <c r="D328" s="8">
        <v>15.8</v>
      </c>
      <c r="E328" s="2">
        <v>78</v>
      </c>
      <c r="F328" t="str">
        <f t="shared" si="5"/>
        <v>Mid Range</v>
      </c>
    </row>
    <row r="329" spans="1:6" ht="18.75" customHeight="1" x14ac:dyDescent="0.3">
      <c r="A329" t="s">
        <v>290</v>
      </c>
      <c r="B329" s="8">
        <v>19.399999999999999</v>
      </c>
      <c r="C329" s="2">
        <v>90</v>
      </c>
      <c r="D329" s="8">
        <v>17.2</v>
      </c>
      <c r="E329" s="2">
        <v>78</v>
      </c>
      <c r="F329" t="str">
        <f t="shared" si="5"/>
        <v>Mid Range</v>
      </c>
    </row>
    <row r="330" spans="1:6" ht="18.75" customHeight="1" x14ac:dyDescent="0.3">
      <c r="A330" t="s">
        <v>291</v>
      </c>
      <c r="B330" s="8">
        <v>20.8</v>
      </c>
      <c r="C330" s="2">
        <v>85</v>
      </c>
      <c r="D330" s="8">
        <v>16.7</v>
      </c>
      <c r="E330" s="2">
        <v>78</v>
      </c>
      <c r="F330" t="str">
        <f t="shared" si="5"/>
        <v>Mid Range</v>
      </c>
    </row>
    <row r="331" spans="1:6" ht="18.75" customHeight="1" x14ac:dyDescent="0.3">
      <c r="A331" t="s">
        <v>292</v>
      </c>
      <c r="B331" s="8">
        <v>18.100000000000001</v>
      </c>
      <c r="C331" s="2">
        <v>139</v>
      </c>
      <c r="D331" s="8">
        <v>11.2</v>
      </c>
      <c r="E331" s="2">
        <v>78</v>
      </c>
      <c r="F331" t="str">
        <f t="shared" si="5"/>
        <v>Economy</v>
      </c>
    </row>
    <row r="332" spans="1:6" ht="18.75" customHeight="1" x14ac:dyDescent="0.3">
      <c r="A332" t="s">
        <v>273</v>
      </c>
      <c r="B332" s="8">
        <v>19.2</v>
      </c>
      <c r="C332" s="2">
        <v>145</v>
      </c>
      <c r="D332" s="8">
        <v>13.2</v>
      </c>
      <c r="E332" s="2">
        <v>78</v>
      </c>
      <c r="F332" t="str">
        <f t="shared" si="5"/>
        <v>Economy</v>
      </c>
    </row>
    <row r="333" spans="1:6" ht="18.75" customHeight="1" x14ac:dyDescent="0.3">
      <c r="A333" t="s">
        <v>293</v>
      </c>
      <c r="B333" s="8">
        <v>20.2</v>
      </c>
      <c r="C333" s="2">
        <v>139</v>
      </c>
      <c r="D333" s="8">
        <v>12.8</v>
      </c>
      <c r="E333" s="2">
        <v>78</v>
      </c>
      <c r="F333" t="str">
        <f t="shared" si="5"/>
        <v>Economy</v>
      </c>
    </row>
    <row r="334" spans="1:6" ht="18.75" customHeight="1" x14ac:dyDescent="0.3">
      <c r="A334" t="s">
        <v>294</v>
      </c>
      <c r="B334" s="8">
        <v>19.399999999999999</v>
      </c>
      <c r="C334" s="2">
        <v>140</v>
      </c>
      <c r="D334" s="8">
        <v>13.2</v>
      </c>
      <c r="E334" s="2">
        <v>78</v>
      </c>
      <c r="F334" t="str">
        <f t="shared" si="5"/>
        <v>Economy</v>
      </c>
    </row>
    <row r="335" spans="1:6" ht="18.75" customHeight="1" x14ac:dyDescent="0.3">
      <c r="A335" t="s">
        <v>295</v>
      </c>
      <c r="B335" s="8">
        <v>17.5</v>
      </c>
      <c r="C335" s="2">
        <v>140</v>
      </c>
      <c r="D335" s="8">
        <v>13.7</v>
      </c>
      <c r="E335" s="2">
        <v>78</v>
      </c>
      <c r="F335" t="str">
        <f t="shared" si="5"/>
        <v>Economy</v>
      </c>
    </row>
    <row r="336" spans="1:6" ht="18.75" customHeight="1" x14ac:dyDescent="0.3">
      <c r="A336" t="s">
        <v>296</v>
      </c>
      <c r="B336" s="8">
        <v>19.899999999999999</v>
      </c>
      <c r="C336" s="2">
        <v>110</v>
      </c>
      <c r="D336" s="8">
        <v>15.5</v>
      </c>
      <c r="E336" s="2">
        <v>78</v>
      </c>
      <c r="F336" t="str">
        <f t="shared" si="5"/>
        <v>Economy</v>
      </c>
    </row>
    <row r="337" spans="1:6" ht="18.75" customHeight="1" x14ac:dyDescent="0.3">
      <c r="A337" t="s">
        <v>297</v>
      </c>
      <c r="B337" s="8">
        <v>35.700000000000003</v>
      </c>
      <c r="C337" s="2">
        <v>80</v>
      </c>
      <c r="D337" s="8">
        <v>14.4</v>
      </c>
      <c r="E337" s="2">
        <v>79</v>
      </c>
      <c r="F337" t="str">
        <f t="shared" si="5"/>
        <v>Economy</v>
      </c>
    </row>
    <row r="338" spans="1:6" ht="18.75" customHeight="1" x14ac:dyDescent="0.3">
      <c r="A338" t="s">
        <v>298</v>
      </c>
      <c r="B338" s="8">
        <v>33.5</v>
      </c>
      <c r="C338" s="2">
        <v>90</v>
      </c>
      <c r="D338" s="8">
        <v>13.2</v>
      </c>
      <c r="E338" s="2">
        <v>79</v>
      </c>
      <c r="F338" t="str">
        <f t="shared" si="5"/>
        <v>Economy</v>
      </c>
    </row>
    <row r="339" spans="1:6" ht="18.75" customHeight="1" x14ac:dyDescent="0.3">
      <c r="A339" t="s">
        <v>299</v>
      </c>
      <c r="B339" s="8">
        <v>28.4</v>
      </c>
      <c r="C339" s="2">
        <v>90</v>
      </c>
      <c r="D339" s="2">
        <v>16</v>
      </c>
      <c r="E339" s="2">
        <v>79</v>
      </c>
      <c r="F339" t="str">
        <f t="shared" si="5"/>
        <v>Mid Range</v>
      </c>
    </row>
    <row r="340" spans="1:6" ht="18.75" customHeight="1" x14ac:dyDescent="0.3">
      <c r="A340" t="s">
        <v>300</v>
      </c>
      <c r="B340" s="8">
        <v>34.5</v>
      </c>
      <c r="C340" s="2">
        <v>70</v>
      </c>
      <c r="D340" s="8">
        <v>14.9</v>
      </c>
      <c r="E340" s="2">
        <v>79</v>
      </c>
      <c r="F340" t="str">
        <f t="shared" si="5"/>
        <v>Economy</v>
      </c>
    </row>
    <row r="341" spans="1:6" ht="18.75" customHeight="1" x14ac:dyDescent="0.3">
      <c r="A341" t="s">
        <v>301</v>
      </c>
      <c r="B341" s="8">
        <v>34.200000000000003</v>
      </c>
      <c r="C341" s="2">
        <v>70</v>
      </c>
      <c r="D341" s="8">
        <v>13.2</v>
      </c>
      <c r="E341" s="2">
        <v>79</v>
      </c>
      <c r="F341" t="str">
        <f t="shared" si="5"/>
        <v>Economy</v>
      </c>
    </row>
    <row r="342" spans="1:6" ht="18.75" customHeight="1" x14ac:dyDescent="0.3">
      <c r="A342" t="s">
        <v>302</v>
      </c>
      <c r="B342" s="8">
        <v>22.3</v>
      </c>
      <c r="C342" s="2">
        <v>88</v>
      </c>
      <c r="D342" s="8">
        <v>17.3</v>
      </c>
      <c r="E342" s="2">
        <v>79</v>
      </c>
      <c r="F342" t="str">
        <f t="shared" si="5"/>
        <v>Mid Range</v>
      </c>
    </row>
    <row r="343" spans="1:6" ht="18.75" customHeight="1" x14ac:dyDescent="0.3">
      <c r="A343" t="s">
        <v>303</v>
      </c>
      <c r="B343" s="8">
        <v>27.4</v>
      </c>
      <c r="C343" s="2">
        <v>80</v>
      </c>
      <c r="D343" s="2">
        <v>15</v>
      </c>
      <c r="E343" s="2">
        <v>79</v>
      </c>
      <c r="F343" t="str">
        <f t="shared" si="5"/>
        <v>Mid Range</v>
      </c>
    </row>
    <row r="344" spans="1:6" ht="18.75" customHeight="1" x14ac:dyDescent="0.3">
      <c r="A344" t="s">
        <v>304</v>
      </c>
      <c r="B344" s="8">
        <v>28.8</v>
      </c>
      <c r="C344" s="2">
        <v>115</v>
      </c>
      <c r="D344" s="8">
        <v>11.3</v>
      </c>
      <c r="E344" s="2">
        <v>79</v>
      </c>
      <c r="F344" t="str">
        <f t="shared" si="5"/>
        <v>Economy</v>
      </c>
    </row>
    <row r="345" spans="1:6" ht="18.75" customHeight="1" x14ac:dyDescent="0.3">
      <c r="A345" t="s">
        <v>305</v>
      </c>
      <c r="B345" s="8">
        <v>26.8</v>
      </c>
      <c r="C345" s="2">
        <v>115</v>
      </c>
      <c r="D345" s="8">
        <v>12.9</v>
      </c>
      <c r="E345" s="2">
        <v>79</v>
      </c>
      <c r="F345" t="str">
        <f t="shared" si="5"/>
        <v>Economy</v>
      </c>
    </row>
    <row r="346" spans="1:6" ht="18.75" customHeight="1" x14ac:dyDescent="0.3">
      <c r="A346" t="s">
        <v>306</v>
      </c>
      <c r="B346" s="8">
        <v>21.5</v>
      </c>
      <c r="C346" s="2">
        <v>115</v>
      </c>
      <c r="D346" s="8">
        <v>15.4</v>
      </c>
      <c r="E346" s="2">
        <v>79</v>
      </c>
      <c r="F346" t="str">
        <f t="shared" si="5"/>
        <v>Economy</v>
      </c>
    </row>
    <row r="347" spans="1:6" ht="18.75" customHeight="1" x14ac:dyDescent="0.3">
      <c r="A347" t="s">
        <v>307</v>
      </c>
      <c r="B347" s="8">
        <v>20.6</v>
      </c>
      <c r="C347" s="2">
        <v>110</v>
      </c>
      <c r="D347" s="8">
        <v>16.600000000000001</v>
      </c>
      <c r="E347" s="2">
        <v>79</v>
      </c>
      <c r="F347" t="str">
        <f t="shared" si="5"/>
        <v>Economy</v>
      </c>
    </row>
    <row r="348" spans="1:6" ht="18.75" customHeight="1" x14ac:dyDescent="0.3">
      <c r="A348" t="s">
        <v>308</v>
      </c>
      <c r="B348" s="8">
        <v>19.8</v>
      </c>
      <c r="C348" s="2">
        <v>85</v>
      </c>
      <c r="D348" s="8">
        <v>18.2</v>
      </c>
      <c r="E348" s="2">
        <v>79</v>
      </c>
      <c r="F348" t="str">
        <f t="shared" si="5"/>
        <v>Mid Range</v>
      </c>
    </row>
    <row r="349" spans="1:6" ht="18.75" customHeight="1" x14ac:dyDescent="0.3">
      <c r="A349" t="s">
        <v>309</v>
      </c>
      <c r="B349" s="8">
        <v>20.2</v>
      </c>
      <c r="C349" s="2">
        <v>90</v>
      </c>
      <c r="D349" s="8">
        <v>18.2</v>
      </c>
      <c r="E349" s="2">
        <v>79</v>
      </c>
      <c r="F349" t="str">
        <f t="shared" si="5"/>
        <v>Mid Range</v>
      </c>
    </row>
    <row r="350" spans="1:6" ht="18.75" customHeight="1" x14ac:dyDescent="0.3">
      <c r="A350" t="s">
        <v>310</v>
      </c>
      <c r="B350" s="8">
        <v>18.5</v>
      </c>
      <c r="C350" s="2">
        <v>150</v>
      </c>
      <c r="D350" s="2">
        <v>13</v>
      </c>
      <c r="E350" s="2">
        <v>79</v>
      </c>
      <c r="F350" t="str">
        <f t="shared" si="5"/>
        <v>Economy</v>
      </c>
    </row>
    <row r="351" spans="1:6" ht="18.75" customHeight="1" x14ac:dyDescent="0.3">
      <c r="A351" t="s">
        <v>163</v>
      </c>
      <c r="B351" s="8">
        <v>16.899999999999999</v>
      </c>
      <c r="C351" s="2">
        <v>155</v>
      </c>
      <c r="D351" s="8">
        <v>14.9</v>
      </c>
      <c r="E351" s="2">
        <v>79</v>
      </c>
      <c r="F351" t="str">
        <f t="shared" si="5"/>
        <v>Economy</v>
      </c>
    </row>
    <row r="352" spans="1:6" ht="18.75" customHeight="1" x14ac:dyDescent="0.3">
      <c r="A352" t="s">
        <v>311</v>
      </c>
      <c r="B352" s="8">
        <v>18.2</v>
      </c>
      <c r="C352" s="2">
        <v>135</v>
      </c>
      <c r="D352" s="8">
        <v>15.2</v>
      </c>
      <c r="E352" s="2">
        <v>79</v>
      </c>
      <c r="F352" t="str">
        <f t="shared" si="5"/>
        <v>Economy</v>
      </c>
    </row>
    <row r="353" spans="1:6" ht="18.75" customHeight="1" x14ac:dyDescent="0.3">
      <c r="A353" t="s">
        <v>194</v>
      </c>
      <c r="B353" s="8">
        <v>15.5</v>
      </c>
      <c r="C353" s="2">
        <v>142</v>
      </c>
      <c r="D353" s="8">
        <v>14.3</v>
      </c>
      <c r="E353" s="2">
        <v>79</v>
      </c>
      <c r="F353" t="str">
        <f t="shared" si="5"/>
        <v>Economy</v>
      </c>
    </row>
    <row r="354" spans="1:6" ht="18.75" customHeight="1" x14ac:dyDescent="0.3">
      <c r="A354" t="s">
        <v>312</v>
      </c>
      <c r="B354" s="8">
        <v>16.5</v>
      </c>
      <c r="C354" s="2">
        <v>138</v>
      </c>
      <c r="D354" s="8">
        <v>13.2</v>
      </c>
      <c r="E354" s="2">
        <v>79</v>
      </c>
      <c r="F354" t="str">
        <f t="shared" si="5"/>
        <v>Economy</v>
      </c>
    </row>
    <row r="355" spans="1:6" ht="18.75" customHeight="1" x14ac:dyDescent="0.3">
      <c r="A355" t="s">
        <v>313</v>
      </c>
      <c r="B355" s="8">
        <v>19.2</v>
      </c>
      <c r="C355" s="2">
        <v>125</v>
      </c>
      <c r="D355" s="2">
        <v>15</v>
      </c>
      <c r="E355" s="2">
        <v>79</v>
      </c>
      <c r="F355" t="str">
        <f t="shared" si="5"/>
        <v>Economy</v>
      </c>
    </row>
    <row r="356" spans="1:6" ht="18.75" customHeight="1" x14ac:dyDescent="0.3">
      <c r="A356" t="s">
        <v>314</v>
      </c>
      <c r="B356" s="8">
        <v>17.600000000000001</v>
      </c>
      <c r="C356" s="2">
        <v>129</v>
      </c>
      <c r="D356" s="8">
        <v>13.4</v>
      </c>
      <c r="E356" s="2">
        <v>79</v>
      </c>
      <c r="F356" t="str">
        <f t="shared" si="5"/>
        <v>Economy</v>
      </c>
    </row>
    <row r="357" spans="1:6" ht="18.75" customHeight="1" x14ac:dyDescent="0.3">
      <c r="A357" t="s">
        <v>230</v>
      </c>
      <c r="B357" s="2">
        <v>17</v>
      </c>
      <c r="C357" s="2">
        <v>130</v>
      </c>
      <c r="D357" s="8">
        <v>15.4</v>
      </c>
      <c r="E357" s="2">
        <v>79</v>
      </c>
      <c r="F357" t="str">
        <f t="shared" si="5"/>
        <v>Economy</v>
      </c>
    </row>
    <row r="358" spans="1:6" ht="18.75" customHeight="1" x14ac:dyDescent="0.3">
      <c r="A358" t="s">
        <v>315</v>
      </c>
      <c r="B358" s="2">
        <v>23</v>
      </c>
      <c r="C358" s="2">
        <v>125</v>
      </c>
      <c r="D358" s="8">
        <v>17.399999999999999</v>
      </c>
      <c r="E358" s="2">
        <v>79</v>
      </c>
      <c r="F358" t="str">
        <f t="shared" si="5"/>
        <v>Economy</v>
      </c>
    </row>
    <row r="359" spans="1:6" ht="18.75" customHeight="1" x14ac:dyDescent="0.3">
      <c r="A359" t="s">
        <v>296</v>
      </c>
      <c r="B359" s="8">
        <v>23.9</v>
      </c>
      <c r="C359" s="2">
        <v>90</v>
      </c>
      <c r="D359" s="8">
        <v>22.2</v>
      </c>
      <c r="E359" s="2">
        <v>79</v>
      </c>
      <c r="F359" t="str">
        <f t="shared" si="5"/>
        <v>Economy</v>
      </c>
    </row>
    <row r="360" spans="1:6" ht="18.75" customHeight="1" x14ac:dyDescent="0.3">
      <c r="A360" t="s">
        <v>231</v>
      </c>
      <c r="B360" s="8">
        <v>27.9</v>
      </c>
      <c r="C360" s="2">
        <v>105</v>
      </c>
      <c r="D360" s="8">
        <v>14.4</v>
      </c>
      <c r="E360" s="2">
        <v>80</v>
      </c>
      <c r="F360" t="str">
        <f t="shared" si="5"/>
        <v>Economy</v>
      </c>
    </row>
    <row r="361" spans="1:6" ht="18.75" customHeight="1" x14ac:dyDescent="0.3">
      <c r="A361" t="s">
        <v>304</v>
      </c>
      <c r="B361" s="2">
        <v>28</v>
      </c>
      <c r="C361" s="2">
        <v>90</v>
      </c>
      <c r="D361" s="8">
        <v>16.5</v>
      </c>
      <c r="E361" s="2">
        <v>80</v>
      </c>
      <c r="F361" t="str">
        <f t="shared" si="5"/>
        <v>Mid Range</v>
      </c>
    </row>
    <row r="362" spans="1:6" ht="18.75" customHeight="1" x14ac:dyDescent="0.3">
      <c r="A362" t="s">
        <v>251</v>
      </c>
      <c r="B362" s="8">
        <v>32.1</v>
      </c>
      <c r="C362" s="2">
        <v>70</v>
      </c>
      <c r="D362" s="8">
        <v>15.5</v>
      </c>
      <c r="E362" s="2">
        <v>80</v>
      </c>
      <c r="F362" t="str">
        <f t="shared" si="5"/>
        <v>Mid Range</v>
      </c>
    </row>
    <row r="363" spans="1:6" ht="18.75" customHeight="1" x14ac:dyDescent="0.3">
      <c r="A363" t="s">
        <v>316</v>
      </c>
      <c r="B363" s="8">
        <v>26.4</v>
      </c>
      <c r="C363" s="2">
        <v>88</v>
      </c>
      <c r="D363" s="8">
        <v>18.100000000000001</v>
      </c>
      <c r="E363" s="2">
        <v>80</v>
      </c>
      <c r="F363" t="str">
        <f t="shared" si="5"/>
        <v>Mid Range</v>
      </c>
    </row>
    <row r="364" spans="1:6" ht="18.75" customHeight="1" x14ac:dyDescent="0.3">
      <c r="A364" t="s">
        <v>290</v>
      </c>
      <c r="B364" s="8">
        <v>24.3</v>
      </c>
      <c r="C364" s="2">
        <v>90</v>
      </c>
      <c r="D364" s="8">
        <v>20.100000000000001</v>
      </c>
      <c r="E364" s="2">
        <v>80</v>
      </c>
      <c r="F364" t="str">
        <f t="shared" si="5"/>
        <v>Economy</v>
      </c>
    </row>
    <row r="365" spans="1:6" ht="18.75" customHeight="1" x14ac:dyDescent="0.3">
      <c r="A365" t="s">
        <v>317</v>
      </c>
      <c r="B365" s="8">
        <v>23.6</v>
      </c>
      <c r="D365" s="8">
        <v>14.3</v>
      </c>
      <c r="E365" s="2">
        <v>80</v>
      </c>
      <c r="F365" t="str">
        <f t="shared" si="5"/>
        <v>Economy</v>
      </c>
    </row>
    <row r="366" spans="1:6" ht="18.75" customHeight="1" x14ac:dyDescent="0.3">
      <c r="A366" t="s">
        <v>286</v>
      </c>
      <c r="B366" s="8">
        <v>19.100000000000001</v>
      </c>
      <c r="C366" s="2">
        <v>90</v>
      </c>
      <c r="D366" s="8">
        <v>18.7</v>
      </c>
      <c r="E366" s="2">
        <v>80</v>
      </c>
      <c r="F366" t="str">
        <f t="shared" si="5"/>
        <v>Mid Range</v>
      </c>
    </row>
    <row r="367" spans="1:6" ht="18.75" customHeight="1" x14ac:dyDescent="0.3">
      <c r="A367" t="s">
        <v>318</v>
      </c>
      <c r="B367" s="2">
        <v>30</v>
      </c>
      <c r="C367" s="2">
        <v>84</v>
      </c>
      <c r="D367" s="8">
        <v>12.9</v>
      </c>
      <c r="E367" s="2">
        <v>81</v>
      </c>
      <c r="F367" t="str">
        <f t="shared" si="5"/>
        <v>Economy</v>
      </c>
    </row>
    <row r="368" spans="1:6" ht="18.75" customHeight="1" x14ac:dyDescent="0.3">
      <c r="A368" t="s">
        <v>319</v>
      </c>
      <c r="B368" s="8">
        <v>25.8</v>
      </c>
      <c r="C368" s="2">
        <v>92</v>
      </c>
      <c r="D368" s="8">
        <v>14.4</v>
      </c>
      <c r="E368" s="2">
        <v>81</v>
      </c>
      <c r="F368" t="str">
        <f t="shared" si="5"/>
        <v>Mid Range</v>
      </c>
    </row>
    <row r="369" spans="1:6" ht="18.75" customHeight="1" x14ac:dyDescent="0.3">
      <c r="A369" t="s">
        <v>320</v>
      </c>
      <c r="B369" s="2">
        <v>39</v>
      </c>
      <c r="C369" s="2">
        <v>64</v>
      </c>
      <c r="D369" s="8">
        <v>16.399999999999999</v>
      </c>
      <c r="E369" s="2">
        <v>81</v>
      </c>
      <c r="F369" t="str">
        <f t="shared" si="5"/>
        <v>Economy</v>
      </c>
    </row>
    <row r="370" spans="1:6" ht="18.75" customHeight="1" x14ac:dyDescent="0.3">
      <c r="A370" t="s">
        <v>318</v>
      </c>
      <c r="B370" s="8">
        <v>27.2</v>
      </c>
      <c r="C370" s="2">
        <v>84</v>
      </c>
      <c r="D370" s="8">
        <v>15.7</v>
      </c>
      <c r="E370" s="2">
        <v>81</v>
      </c>
      <c r="F370" t="str">
        <f t="shared" si="5"/>
        <v>Mid Range</v>
      </c>
    </row>
    <row r="371" spans="1:6" ht="18.75" customHeight="1" x14ac:dyDescent="0.3">
      <c r="A371" t="s">
        <v>268</v>
      </c>
      <c r="B371" s="8">
        <v>26.6</v>
      </c>
      <c r="C371" s="2">
        <v>84</v>
      </c>
      <c r="D371" s="8">
        <v>16.399999999999999</v>
      </c>
      <c r="E371" s="2">
        <v>81</v>
      </c>
      <c r="F371" t="str">
        <f t="shared" si="5"/>
        <v>Mid Range</v>
      </c>
    </row>
    <row r="372" spans="1:6" ht="18.75" customHeight="1" x14ac:dyDescent="0.3">
      <c r="A372" t="s">
        <v>321</v>
      </c>
      <c r="B372" s="8">
        <v>34.4</v>
      </c>
      <c r="C372" s="2">
        <v>65</v>
      </c>
      <c r="D372" s="8">
        <v>16.2</v>
      </c>
      <c r="E372" s="2">
        <v>81</v>
      </c>
      <c r="F372" t="str">
        <f t="shared" si="5"/>
        <v>Economy</v>
      </c>
    </row>
    <row r="373" spans="1:6" ht="18.75" customHeight="1" x14ac:dyDescent="0.3">
      <c r="A373" t="s">
        <v>322</v>
      </c>
      <c r="B373" s="8">
        <v>34.700000000000003</v>
      </c>
      <c r="C373" s="2">
        <v>63</v>
      </c>
      <c r="D373" s="8">
        <v>14.9</v>
      </c>
      <c r="E373" s="2">
        <v>81</v>
      </c>
      <c r="F373" t="str">
        <f t="shared" si="5"/>
        <v>Economy</v>
      </c>
    </row>
    <row r="374" spans="1:6" ht="18.75" customHeight="1" x14ac:dyDescent="0.3">
      <c r="A374" t="s">
        <v>323</v>
      </c>
      <c r="B374" s="8">
        <v>29.9</v>
      </c>
      <c r="C374" s="2">
        <v>65</v>
      </c>
      <c r="D374" s="8">
        <v>20.7</v>
      </c>
      <c r="E374" s="2">
        <v>81</v>
      </c>
      <c r="F374" t="str">
        <f t="shared" si="5"/>
        <v>Economy</v>
      </c>
    </row>
    <row r="375" spans="1:6" ht="18.75" customHeight="1" x14ac:dyDescent="0.3">
      <c r="A375" t="s">
        <v>304</v>
      </c>
      <c r="B375" s="8">
        <v>23.5</v>
      </c>
      <c r="C375" s="2">
        <v>110</v>
      </c>
      <c r="D375" s="8">
        <v>12.6</v>
      </c>
      <c r="E375" s="2">
        <v>81</v>
      </c>
      <c r="F375" t="str">
        <f t="shared" si="5"/>
        <v>Economy</v>
      </c>
    </row>
    <row r="376" spans="1:6" ht="18.75" customHeight="1" x14ac:dyDescent="0.3">
      <c r="A376" t="s">
        <v>240</v>
      </c>
      <c r="B376" s="8">
        <v>22.4</v>
      </c>
      <c r="C376" s="2">
        <v>110</v>
      </c>
      <c r="D376" s="8">
        <v>15.8</v>
      </c>
      <c r="E376" s="2">
        <v>81</v>
      </c>
      <c r="F376" t="str">
        <f t="shared" si="5"/>
        <v>Economy</v>
      </c>
    </row>
    <row r="377" spans="1:6" ht="18.75" customHeight="1" x14ac:dyDescent="0.3">
      <c r="A377" t="s">
        <v>324</v>
      </c>
      <c r="B377" s="8">
        <v>20.2</v>
      </c>
      <c r="C377" s="2">
        <v>88</v>
      </c>
      <c r="D377" s="8">
        <v>17.100000000000001</v>
      </c>
      <c r="E377" s="2">
        <v>81</v>
      </c>
      <c r="F377" t="str">
        <f t="shared" si="5"/>
        <v>Mid Range</v>
      </c>
    </row>
    <row r="378" spans="1:6" ht="18.75" customHeight="1" x14ac:dyDescent="0.3">
      <c r="A378" t="s">
        <v>325</v>
      </c>
      <c r="B378" s="8">
        <v>17.600000000000001</v>
      </c>
      <c r="C378" s="2">
        <v>85</v>
      </c>
      <c r="D378" s="8">
        <v>16.600000000000001</v>
      </c>
      <c r="E378" s="2">
        <v>81</v>
      </c>
      <c r="F378" t="str">
        <f t="shared" si="5"/>
        <v>Mid Range</v>
      </c>
    </row>
    <row r="379" spans="1:6" ht="18.75" customHeight="1" x14ac:dyDescent="0.3">
      <c r="A379" t="s">
        <v>326</v>
      </c>
      <c r="B379" s="8">
        <v>26.6</v>
      </c>
      <c r="C379" s="2">
        <v>105</v>
      </c>
      <c r="D379" s="2">
        <v>19</v>
      </c>
      <c r="E379" s="2">
        <v>81</v>
      </c>
      <c r="F379" t="str">
        <f t="shared" si="5"/>
        <v>Economy</v>
      </c>
    </row>
    <row r="380" spans="1:6" ht="18.75" customHeight="1" x14ac:dyDescent="0.3">
      <c r="A380" t="s">
        <v>327</v>
      </c>
      <c r="B380" s="2">
        <v>34</v>
      </c>
      <c r="C380" s="2">
        <v>88</v>
      </c>
      <c r="D380" s="2">
        <v>18</v>
      </c>
      <c r="E380" s="2">
        <v>82</v>
      </c>
      <c r="F380" t="str">
        <f t="shared" si="5"/>
        <v>Economy</v>
      </c>
    </row>
    <row r="381" spans="1:6" ht="18.75" customHeight="1" x14ac:dyDescent="0.3">
      <c r="A381" t="s">
        <v>328</v>
      </c>
      <c r="B381" s="2">
        <v>32</v>
      </c>
      <c r="C381" s="2">
        <v>84</v>
      </c>
      <c r="D381" s="8">
        <v>11.6</v>
      </c>
      <c r="E381" s="2">
        <v>82</v>
      </c>
      <c r="F381" t="str">
        <f t="shared" si="5"/>
        <v>Economy</v>
      </c>
    </row>
    <row r="382" spans="1:6" ht="18.75" customHeight="1" x14ac:dyDescent="0.3">
      <c r="A382" t="s">
        <v>329</v>
      </c>
      <c r="B382" s="2">
        <v>26</v>
      </c>
      <c r="C382" s="2">
        <v>92</v>
      </c>
      <c r="D382" s="8">
        <v>14.5</v>
      </c>
      <c r="E382" s="2">
        <v>82</v>
      </c>
      <c r="F382" t="str">
        <f t="shared" si="5"/>
        <v>Mid Range</v>
      </c>
    </row>
    <row r="383" spans="1:6" ht="18.75" customHeight="1" x14ac:dyDescent="0.3">
      <c r="A383" t="s">
        <v>330</v>
      </c>
      <c r="B383" s="2">
        <v>36</v>
      </c>
      <c r="C383" s="2">
        <v>84</v>
      </c>
      <c r="D383" s="2">
        <v>13</v>
      </c>
      <c r="E383" s="2">
        <v>82</v>
      </c>
      <c r="F383" t="str">
        <f t="shared" si="5"/>
        <v>Economy</v>
      </c>
    </row>
    <row r="384" spans="1:6" ht="18.75" customHeight="1" x14ac:dyDescent="0.3">
      <c r="A384" t="s">
        <v>331</v>
      </c>
      <c r="B384" s="2">
        <v>28</v>
      </c>
      <c r="C384" s="2">
        <v>88</v>
      </c>
      <c r="D384" s="8">
        <v>19.600000000000001</v>
      </c>
      <c r="E384" s="2">
        <v>82</v>
      </c>
      <c r="F384" t="str">
        <f t="shared" si="5"/>
        <v>Economy</v>
      </c>
    </row>
    <row r="385" spans="1:6" ht="18.75" customHeight="1" x14ac:dyDescent="0.3">
      <c r="A385" t="s">
        <v>332</v>
      </c>
      <c r="B385" s="2">
        <v>27</v>
      </c>
      <c r="C385" s="2">
        <v>88</v>
      </c>
      <c r="D385" s="8">
        <v>18.600000000000001</v>
      </c>
      <c r="E385" s="2">
        <v>82</v>
      </c>
      <c r="F385" t="str">
        <f t="shared" si="5"/>
        <v>Mid Range</v>
      </c>
    </row>
    <row r="386" spans="1:6" ht="18.75" customHeight="1" x14ac:dyDescent="0.3">
      <c r="A386" t="s">
        <v>333</v>
      </c>
      <c r="B386" s="2">
        <v>29</v>
      </c>
      <c r="C386" s="2">
        <v>84</v>
      </c>
      <c r="D386" s="2">
        <v>16</v>
      </c>
      <c r="E386" s="2">
        <v>82</v>
      </c>
      <c r="F386" t="str">
        <f t="shared" ref="F386:F399" si="6">IF(AND(C386&gt;100,D386&lt;13,B386&gt;32.5),"High Performance",IF(AND(C386&lt;= 100,C386&gt;=60,D386&gt;=13,D386&lt;=19,B386&gt;=17,B386&lt;=32.5),"Mid Range","Economy"))</f>
        <v>Mid Range</v>
      </c>
    </row>
    <row r="387" spans="1:6" ht="18.75" customHeight="1" x14ac:dyDescent="0.3">
      <c r="A387" t="s">
        <v>334</v>
      </c>
      <c r="B387" s="2">
        <v>31</v>
      </c>
      <c r="C387" s="2">
        <v>85</v>
      </c>
      <c r="D387" s="8">
        <v>16.2</v>
      </c>
      <c r="E387" s="2">
        <v>82</v>
      </c>
      <c r="F387" t="str">
        <f t="shared" si="6"/>
        <v>Mid Range</v>
      </c>
    </row>
    <row r="388" spans="1:6" ht="18.75" customHeight="1" x14ac:dyDescent="0.3">
      <c r="A388" t="s">
        <v>335</v>
      </c>
      <c r="B388" s="2">
        <v>36</v>
      </c>
      <c r="C388" s="2">
        <v>70</v>
      </c>
      <c r="D388" s="8">
        <v>17.3</v>
      </c>
      <c r="E388" s="2">
        <v>82</v>
      </c>
      <c r="F388" t="str">
        <f t="shared" si="6"/>
        <v>Economy</v>
      </c>
    </row>
    <row r="389" spans="1:6" ht="18.75" customHeight="1" x14ac:dyDescent="0.3">
      <c r="A389" t="s">
        <v>298</v>
      </c>
      <c r="B389" s="2">
        <v>27</v>
      </c>
      <c r="C389" s="2">
        <v>90</v>
      </c>
      <c r="D389" s="2">
        <v>18</v>
      </c>
      <c r="E389" s="2">
        <v>82</v>
      </c>
      <c r="F389" t="str">
        <f t="shared" si="6"/>
        <v>Mid Range</v>
      </c>
    </row>
    <row r="390" spans="1:6" ht="18.75" customHeight="1" x14ac:dyDescent="0.3">
      <c r="A390" t="s">
        <v>336</v>
      </c>
      <c r="B390" s="2">
        <v>24</v>
      </c>
      <c r="C390" s="2">
        <v>92</v>
      </c>
      <c r="D390" s="8">
        <v>16.399999999999999</v>
      </c>
      <c r="E390" s="2">
        <v>82</v>
      </c>
      <c r="F390" t="str">
        <f t="shared" si="6"/>
        <v>Mid Range</v>
      </c>
    </row>
    <row r="391" spans="1:6" ht="18.75" customHeight="1" x14ac:dyDescent="0.3">
      <c r="A391" t="s">
        <v>337</v>
      </c>
      <c r="B391" s="2">
        <v>27</v>
      </c>
      <c r="C391" s="2">
        <v>86</v>
      </c>
      <c r="D391" s="8">
        <v>15.6</v>
      </c>
      <c r="E391" s="2">
        <v>82</v>
      </c>
      <c r="F391" t="str">
        <f t="shared" si="6"/>
        <v>Mid Range</v>
      </c>
    </row>
    <row r="392" spans="1:6" ht="18.75" customHeight="1" x14ac:dyDescent="0.3">
      <c r="A392" t="s">
        <v>338</v>
      </c>
      <c r="B392" s="2">
        <v>27</v>
      </c>
      <c r="C392" s="2">
        <v>90</v>
      </c>
      <c r="D392" s="8">
        <v>17.3</v>
      </c>
      <c r="E392" s="2">
        <v>82</v>
      </c>
      <c r="F392" t="str">
        <f t="shared" si="6"/>
        <v>Mid Range</v>
      </c>
    </row>
    <row r="393" spans="1:6" ht="18.75" customHeight="1" x14ac:dyDescent="0.3">
      <c r="A393" t="s">
        <v>339</v>
      </c>
      <c r="B393" s="2">
        <v>31</v>
      </c>
      <c r="C393" s="2">
        <v>82</v>
      </c>
      <c r="D393" s="8">
        <v>19.399999999999999</v>
      </c>
      <c r="E393" s="2">
        <v>82</v>
      </c>
      <c r="F393" t="str">
        <f t="shared" si="6"/>
        <v>Economy</v>
      </c>
    </row>
    <row r="394" spans="1:6" ht="18.75" customHeight="1" x14ac:dyDescent="0.3">
      <c r="A394" t="s">
        <v>340</v>
      </c>
      <c r="B394" s="2">
        <v>28</v>
      </c>
      <c r="C394" s="2">
        <v>79</v>
      </c>
      <c r="D394" s="8">
        <v>18.600000000000001</v>
      </c>
      <c r="E394" s="2">
        <v>82</v>
      </c>
      <c r="F394" t="str">
        <f t="shared" si="6"/>
        <v>Mid Range</v>
      </c>
    </row>
    <row r="395" spans="1:6" ht="18.75" customHeight="1" x14ac:dyDescent="0.3">
      <c r="A395" t="s">
        <v>341</v>
      </c>
      <c r="B395" s="2">
        <v>38</v>
      </c>
      <c r="C395" s="2">
        <v>63</v>
      </c>
      <c r="D395" s="8">
        <v>14.7</v>
      </c>
      <c r="E395" s="2">
        <v>82</v>
      </c>
      <c r="F395" t="str">
        <f t="shared" si="6"/>
        <v>Economy</v>
      </c>
    </row>
    <row r="396" spans="1:6" ht="18.75" customHeight="1" x14ac:dyDescent="0.3">
      <c r="A396" t="s">
        <v>342</v>
      </c>
      <c r="B396" s="2">
        <v>23</v>
      </c>
      <c r="D396" s="8">
        <v>20.5</v>
      </c>
      <c r="E396" s="2">
        <v>82</v>
      </c>
      <c r="F396" t="str">
        <f t="shared" si="6"/>
        <v>Economy</v>
      </c>
    </row>
    <row r="397" spans="1:6" ht="18.75" customHeight="1" x14ac:dyDescent="0.3">
      <c r="A397" t="s">
        <v>343</v>
      </c>
      <c r="B397" s="2">
        <v>22</v>
      </c>
      <c r="C397" s="2">
        <v>112</v>
      </c>
      <c r="D397" s="8">
        <v>14.7</v>
      </c>
      <c r="E397" s="2">
        <v>82</v>
      </c>
      <c r="F397" t="str">
        <f t="shared" si="6"/>
        <v>Economy</v>
      </c>
    </row>
    <row r="398" spans="1:6" ht="18.75" customHeight="1" x14ac:dyDescent="0.3">
      <c r="A398" t="s">
        <v>344</v>
      </c>
      <c r="B398" s="2">
        <v>25</v>
      </c>
      <c r="C398" s="2">
        <v>110</v>
      </c>
      <c r="D398" s="8">
        <v>16.399999999999999</v>
      </c>
      <c r="E398" s="2">
        <v>82</v>
      </c>
      <c r="F398" t="str">
        <f t="shared" si="6"/>
        <v>Economy</v>
      </c>
    </row>
    <row r="399" spans="1:6" ht="18.75" customHeight="1" x14ac:dyDescent="0.3">
      <c r="A399" t="s">
        <v>345</v>
      </c>
      <c r="B399" s="2">
        <v>38</v>
      </c>
      <c r="C399" s="2">
        <v>85</v>
      </c>
      <c r="D399" s="2">
        <v>17</v>
      </c>
      <c r="E399" s="2">
        <v>82</v>
      </c>
      <c r="F399" t="str">
        <f t="shared" si="6"/>
        <v>Economy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K393"/>
  <sheetViews>
    <sheetView workbookViewId="0"/>
  </sheetViews>
  <sheetFormatPr defaultRowHeight="14.4" x14ac:dyDescent="0.3"/>
  <cols>
    <col min="1" max="1" width="11.6640625" style="1" bestFit="1" customWidth="1"/>
    <col min="2" max="2" width="13.5546875" style="1" bestFit="1" customWidth="1"/>
    <col min="3" max="3" width="12.88671875" style="1" bestFit="1" customWidth="1"/>
    <col min="4" max="4" width="13.5546875" style="1" bestFit="1" customWidth="1"/>
    <col min="5" max="6" width="13.5546875" bestFit="1" customWidth="1"/>
    <col min="7" max="7" width="28.6640625" bestFit="1" customWidth="1"/>
    <col min="8" max="8" width="11.5546875" style="6" bestFit="1" customWidth="1"/>
    <col min="9" max="10" width="13.5546875" style="6" bestFit="1" customWidth="1"/>
    <col min="11" max="11" width="12" style="5" bestFit="1" customWidth="1"/>
  </cols>
  <sheetData>
    <row r="1" spans="1:11" ht="18.75" customHeight="1" x14ac:dyDescent="0.3">
      <c r="A1" s="12" t="s">
        <v>36</v>
      </c>
      <c r="B1" s="12" t="s">
        <v>32</v>
      </c>
      <c r="C1" s="12" t="s">
        <v>35</v>
      </c>
      <c r="D1" s="12" t="s">
        <v>34</v>
      </c>
      <c r="E1" s="11"/>
      <c r="G1" s="14" t="s">
        <v>348</v>
      </c>
      <c r="H1" s="15" t="s">
        <v>35</v>
      </c>
      <c r="I1" s="15" t="s">
        <v>34</v>
      </c>
      <c r="J1" s="15" t="s">
        <v>32</v>
      </c>
      <c r="K1" s="27" t="s">
        <v>376</v>
      </c>
    </row>
    <row r="2" spans="1:11" ht="18.75" customHeight="1" x14ac:dyDescent="0.3">
      <c r="A2" s="2">
        <v>113</v>
      </c>
      <c r="B2" s="2">
        <v>4</v>
      </c>
      <c r="C2" s="2">
        <v>121</v>
      </c>
      <c r="D2" s="2">
        <v>2234</v>
      </c>
      <c r="G2" s="14" t="s">
        <v>342</v>
      </c>
      <c r="H2" s="19">
        <v>151</v>
      </c>
      <c r="I2" s="19">
        <v>3035</v>
      </c>
      <c r="J2" s="19">
        <v>4</v>
      </c>
      <c r="K2" s="28">
        <v>498.11984725831337</v>
      </c>
    </row>
    <row r="3" spans="1:11" ht="18.75" customHeight="1" x14ac:dyDescent="0.3">
      <c r="A3" s="2">
        <v>95</v>
      </c>
      <c r="B3" s="2">
        <v>4</v>
      </c>
      <c r="C3" s="2">
        <v>104</v>
      </c>
      <c r="D3" s="2">
        <v>2375</v>
      </c>
      <c r="G3" s="14" t="s">
        <v>162</v>
      </c>
      <c r="H3" s="19">
        <v>200</v>
      </c>
      <c r="I3" s="19">
        <v>2875</v>
      </c>
      <c r="J3" s="19">
        <v>6</v>
      </c>
      <c r="K3" s="28">
        <v>306.63037066889922</v>
      </c>
    </row>
    <row r="4" spans="1:11" ht="18.75" customHeight="1" x14ac:dyDescent="0.3">
      <c r="A4" s="2">
        <v>90</v>
      </c>
      <c r="B4" s="2">
        <v>4</v>
      </c>
      <c r="C4" s="2">
        <v>107</v>
      </c>
      <c r="D4" s="2">
        <v>2430</v>
      </c>
      <c r="G4" s="14" t="s">
        <v>317</v>
      </c>
      <c r="H4" s="19">
        <v>140</v>
      </c>
      <c r="I4" s="19">
        <v>2905</v>
      </c>
      <c r="J4" s="19">
        <v>4</v>
      </c>
      <c r="K4" s="28">
        <v>491.45601218328284</v>
      </c>
    </row>
    <row r="5" spans="1:11" ht="18.75" customHeight="1" x14ac:dyDescent="0.3">
      <c r="A5" s="2">
        <v>87</v>
      </c>
      <c r="B5" s="2">
        <v>4</v>
      </c>
      <c r="C5" s="2">
        <v>110</v>
      </c>
      <c r="D5" s="2">
        <v>2672</v>
      </c>
      <c r="G5" s="14" t="s">
        <v>185</v>
      </c>
      <c r="H5" s="19">
        <v>98</v>
      </c>
      <c r="I5" s="19">
        <v>2046</v>
      </c>
      <c r="J5" s="19">
        <v>4</v>
      </c>
      <c r="K5" s="28">
        <v>357.48304318581</v>
      </c>
    </row>
    <row r="6" spans="1:11" ht="18.75" customHeight="1" x14ac:dyDescent="0.3">
      <c r="A6" s="2">
        <v>46</v>
      </c>
      <c r="B6" s="2">
        <v>4</v>
      </c>
      <c r="C6" s="2">
        <v>97</v>
      </c>
      <c r="D6" s="2">
        <v>1835</v>
      </c>
      <c r="G6" s="14" t="s">
        <v>95</v>
      </c>
      <c r="H6" s="19">
        <v>100</v>
      </c>
      <c r="I6" s="19">
        <v>2320</v>
      </c>
      <c r="J6" s="19">
        <v>4</v>
      </c>
      <c r="K6" s="28">
        <v>433.62308109869332</v>
      </c>
    </row>
    <row r="7" spans="1:11" ht="18.75" customHeight="1" x14ac:dyDescent="0.3">
      <c r="A7" s="2">
        <v>90</v>
      </c>
      <c r="B7" s="2">
        <v>4</v>
      </c>
      <c r="C7" s="2">
        <v>116</v>
      </c>
      <c r="D7" s="2">
        <v>2123</v>
      </c>
      <c r="G7" s="14" t="s">
        <v>91</v>
      </c>
      <c r="H7" s="19">
        <v>85</v>
      </c>
      <c r="I7" s="19">
        <v>1835</v>
      </c>
      <c r="J7" s="19">
        <v>4</v>
      </c>
      <c r="K7" s="28">
        <v>332.43990373097154</v>
      </c>
    </row>
    <row r="8" spans="1:11" ht="18.75" customHeight="1" x14ac:dyDescent="0.3">
      <c r="A8" s="2">
        <v>76</v>
      </c>
      <c r="B8" s="2">
        <v>4</v>
      </c>
      <c r="C8" s="2">
        <v>88</v>
      </c>
      <c r="D8" s="2">
        <v>2065</v>
      </c>
    </row>
    <row r="9" spans="1:11" ht="18.75" customHeight="1" x14ac:dyDescent="0.3">
      <c r="A9" s="2">
        <v>70</v>
      </c>
      <c r="B9" s="2">
        <v>4</v>
      </c>
      <c r="C9" s="2">
        <v>79</v>
      </c>
      <c r="D9" s="2">
        <v>2074</v>
      </c>
      <c r="H9" s="6" t="s">
        <v>377</v>
      </c>
    </row>
    <row r="10" spans="1:11" ht="18.75" customHeight="1" x14ac:dyDescent="0.3">
      <c r="A10" s="2">
        <v>60</v>
      </c>
      <c r="B10" s="2">
        <v>4</v>
      </c>
      <c r="C10" s="2">
        <v>97</v>
      </c>
      <c r="D10" s="2">
        <v>1834</v>
      </c>
      <c r="H10" s="6" t="s">
        <v>378</v>
      </c>
      <c r="I10" s="6" t="s">
        <v>379</v>
      </c>
    </row>
    <row r="11" spans="1:11" ht="18.75" customHeight="1" x14ac:dyDescent="0.3">
      <c r="A11" s="2">
        <v>112</v>
      </c>
      <c r="B11" s="2">
        <v>4</v>
      </c>
      <c r="C11" s="2">
        <v>121</v>
      </c>
      <c r="D11" s="2">
        <v>2933</v>
      </c>
      <c r="H11" s="2">
        <v>1</v>
      </c>
      <c r="I11" s="6" t="s">
        <v>380</v>
      </c>
    </row>
    <row r="12" spans="1:11" ht="18.75" customHeight="1" x14ac:dyDescent="0.3">
      <c r="A12" s="2">
        <v>69</v>
      </c>
      <c r="B12" s="2">
        <v>4</v>
      </c>
      <c r="C12" s="2">
        <v>96</v>
      </c>
      <c r="D12" s="2">
        <v>2189</v>
      </c>
      <c r="H12" s="2">
        <v>2</v>
      </c>
      <c r="I12" s="6" t="s">
        <v>381</v>
      </c>
    </row>
    <row r="13" spans="1:11" ht="18.75" customHeight="1" x14ac:dyDescent="0.3">
      <c r="A13" s="2">
        <v>76</v>
      </c>
      <c r="B13" s="2">
        <v>4</v>
      </c>
      <c r="C13" s="2">
        <v>121</v>
      </c>
      <c r="D13" s="2">
        <v>2511</v>
      </c>
      <c r="H13" s="2">
        <v>3</v>
      </c>
      <c r="I13" s="6" t="s">
        <v>382</v>
      </c>
    </row>
    <row r="14" spans="1:11" ht="18.75" customHeight="1" x14ac:dyDescent="0.3">
      <c r="A14" s="2">
        <v>87</v>
      </c>
      <c r="B14" s="2">
        <v>4</v>
      </c>
      <c r="C14" s="2">
        <v>120</v>
      </c>
      <c r="D14" s="2">
        <v>2979</v>
      </c>
      <c r="H14" s="2">
        <v>4</v>
      </c>
      <c r="I14" s="6" t="s">
        <v>383</v>
      </c>
    </row>
    <row r="15" spans="1:11" ht="18.75" customHeight="1" x14ac:dyDescent="0.3">
      <c r="A15" s="2">
        <v>54</v>
      </c>
      <c r="B15" s="2">
        <v>4</v>
      </c>
      <c r="C15" s="2">
        <v>97</v>
      </c>
      <c r="D15" s="2">
        <v>2254</v>
      </c>
      <c r="H15" s="2">
        <v>5</v>
      </c>
      <c r="I15" s="6" t="s">
        <v>384</v>
      </c>
    </row>
    <row r="16" spans="1:11" ht="18.75" customHeight="1" x14ac:dyDescent="0.3">
      <c r="A16" s="2">
        <v>110</v>
      </c>
      <c r="B16" s="2">
        <v>4</v>
      </c>
      <c r="C16" s="2">
        <v>121</v>
      </c>
      <c r="D16" s="2">
        <v>2660</v>
      </c>
    </row>
    <row r="17" spans="1:4" ht="18.75" customHeight="1" x14ac:dyDescent="0.3">
      <c r="A17" s="2">
        <v>90</v>
      </c>
      <c r="B17" s="2">
        <v>4</v>
      </c>
      <c r="C17" s="2">
        <v>98</v>
      </c>
      <c r="D17" s="2">
        <v>2265</v>
      </c>
    </row>
    <row r="18" spans="1:4" ht="18.75" customHeight="1" x14ac:dyDescent="0.3">
      <c r="A18" s="2">
        <v>112</v>
      </c>
      <c r="B18" s="2">
        <v>4</v>
      </c>
      <c r="C18" s="2">
        <v>121</v>
      </c>
      <c r="D18" s="2">
        <v>2868</v>
      </c>
    </row>
    <row r="19" spans="1:4" ht="18.75" customHeight="1" x14ac:dyDescent="0.3">
      <c r="A19" s="2">
        <v>91</v>
      </c>
      <c r="B19" s="2">
        <v>4</v>
      </c>
      <c r="C19" s="2">
        <v>114</v>
      </c>
      <c r="D19" s="2">
        <v>2582</v>
      </c>
    </row>
    <row r="20" spans="1:4" ht="18.75" customHeight="1" x14ac:dyDescent="0.3">
      <c r="A20" s="2">
        <v>75</v>
      </c>
      <c r="B20" s="2">
        <v>4</v>
      </c>
      <c r="C20" s="2">
        <v>116</v>
      </c>
      <c r="D20" s="2">
        <v>2158</v>
      </c>
    </row>
    <row r="21" spans="1:4" ht="18.75" customHeight="1" x14ac:dyDescent="0.3">
      <c r="A21" s="2">
        <v>49</v>
      </c>
      <c r="B21" s="2">
        <v>4</v>
      </c>
      <c r="C21" s="2">
        <v>68</v>
      </c>
      <c r="D21" s="2">
        <v>1867</v>
      </c>
    </row>
    <row r="22" spans="1:4" ht="18.75" customHeight="1" x14ac:dyDescent="0.3">
      <c r="A22" s="2">
        <v>46</v>
      </c>
      <c r="B22" s="2">
        <v>4</v>
      </c>
      <c r="C22" s="2">
        <v>97</v>
      </c>
      <c r="D22" s="2">
        <v>1950</v>
      </c>
    </row>
    <row r="23" spans="1:4" ht="18.75" customHeight="1" x14ac:dyDescent="0.3">
      <c r="A23" s="2">
        <v>83</v>
      </c>
      <c r="B23" s="2">
        <v>4</v>
      </c>
      <c r="C23" s="2">
        <v>98</v>
      </c>
      <c r="D23" s="2">
        <v>2219</v>
      </c>
    </row>
    <row r="24" spans="1:4" ht="18.75" customHeight="1" x14ac:dyDescent="0.3">
      <c r="A24" s="2">
        <v>75</v>
      </c>
      <c r="B24" s="2">
        <v>4</v>
      </c>
      <c r="C24" s="2">
        <v>90</v>
      </c>
      <c r="D24" s="2">
        <v>2108</v>
      </c>
    </row>
    <row r="25" spans="1:4" ht="18.75" customHeight="1" x14ac:dyDescent="0.3">
      <c r="A25" s="2">
        <v>67</v>
      </c>
      <c r="B25" s="2">
        <v>4</v>
      </c>
      <c r="C25" s="2">
        <v>79</v>
      </c>
      <c r="D25" s="2">
        <v>1963</v>
      </c>
    </row>
    <row r="26" spans="1:4" ht="18.75" customHeight="1" x14ac:dyDescent="0.3">
      <c r="A26" s="2">
        <v>78</v>
      </c>
      <c r="B26" s="2">
        <v>4</v>
      </c>
      <c r="C26" s="2">
        <v>97</v>
      </c>
      <c r="D26" s="2">
        <v>2300</v>
      </c>
    </row>
    <row r="27" spans="1:4" ht="18.75" customHeight="1" x14ac:dyDescent="0.3">
      <c r="A27" s="2">
        <v>67</v>
      </c>
      <c r="B27" s="2">
        <v>4</v>
      </c>
      <c r="C27" s="2">
        <v>79</v>
      </c>
      <c r="D27" s="2">
        <v>2000</v>
      </c>
    </row>
    <row r="28" spans="1:4" ht="18.75" customHeight="1" x14ac:dyDescent="0.3">
      <c r="A28" s="2">
        <v>75</v>
      </c>
      <c r="B28" s="2">
        <v>4</v>
      </c>
      <c r="C28" s="2">
        <v>116</v>
      </c>
      <c r="D28" s="2">
        <v>2246</v>
      </c>
    </row>
    <row r="29" spans="1:4" ht="18.75" customHeight="1" x14ac:dyDescent="0.3">
      <c r="A29" s="2">
        <v>115</v>
      </c>
      <c r="B29" s="2">
        <v>4</v>
      </c>
      <c r="C29" s="2">
        <v>121</v>
      </c>
      <c r="D29" s="2">
        <v>2671</v>
      </c>
    </row>
    <row r="30" spans="1:4" ht="18.75" customHeight="1" x14ac:dyDescent="0.3">
      <c r="A30" s="2">
        <v>70</v>
      </c>
      <c r="B30" s="2">
        <v>4</v>
      </c>
      <c r="C30" s="2">
        <v>90</v>
      </c>
      <c r="D30" s="2">
        <v>1937</v>
      </c>
    </row>
    <row r="31" spans="1:4" ht="18.75" customHeight="1" x14ac:dyDescent="0.3">
      <c r="A31" s="2">
        <v>95</v>
      </c>
      <c r="B31" s="2">
        <v>4</v>
      </c>
      <c r="C31" s="2">
        <v>115</v>
      </c>
      <c r="D31" s="2">
        <v>2694</v>
      </c>
    </row>
    <row r="32" spans="1:4" ht="18.75" customHeight="1" x14ac:dyDescent="0.3">
      <c r="A32" s="2">
        <v>98</v>
      </c>
      <c r="B32" s="2">
        <v>4</v>
      </c>
      <c r="C32" s="2">
        <v>121</v>
      </c>
      <c r="D32" s="2">
        <v>2945</v>
      </c>
    </row>
    <row r="33" spans="1:4" ht="18.75" customHeight="1" x14ac:dyDescent="0.3">
      <c r="A33" s="2">
        <v>71</v>
      </c>
      <c r="B33" s="2">
        <v>4</v>
      </c>
      <c r="C33" s="2">
        <v>90</v>
      </c>
      <c r="D33" s="2">
        <v>2223</v>
      </c>
    </row>
    <row r="34" spans="1:4" ht="18.75" customHeight="1" x14ac:dyDescent="0.3">
      <c r="A34" s="2">
        <v>88</v>
      </c>
      <c r="B34" s="2">
        <v>4</v>
      </c>
      <c r="C34" s="2">
        <v>120</v>
      </c>
      <c r="D34" s="2">
        <v>2957</v>
      </c>
    </row>
    <row r="35" spans="1:4" ht="18.75" customHeight="1" x14ac:dyDescent="0.3">
      <c r="A35" s="2">
        <v>71</v>
      </c>
      <c r="B35" s="2">
        <v>4</v>
      </c>
      <c r="C35" s="2">
        <v>97</v>
      </c>
      <c r="D35" s="2">
        <v>1825</v>
      </c>
    </row>
    <row r="36" spans="1:4" ht="18.75" customHeight="1" x14ac:dyDescent="0.3">
      <c r="A36" s="2">
        <v>83</v>
      </c>
      <c r="B36" s="2">
        <v>4</v>
      </c>
      <c r="C36" s="2">
        <v>101</v>
      </c>
      <c r="D36" s="2">
        <v>2202</v>
      </c>
    </row>
    <row r="37" spans="1:4" ht="18.75" customHeight="1" x14ac:dyDescent="0.3">
      <c r="A37" s="2">
        <v>81</v>
      </c>
      <c r="B37" s="2">
        <v>4</v>
      </c>
      <c r="C37" s="2">
        <v>116</v>
      </c>
      <c r="D37" s="2">
        <v>2220</v>
      </c>
    </row>
    <row r="38" spans="1:4" ht="18.75" customHeight="1" x14ac:dyDescent="0.3">
      <c r="A38" s="2">
        <v>70</v>
      </c>
      <c r="B38" s="2">
        <v>4</v>
      </c>
      <c r="C38" s="2">
        <v>90</v>
      </c>
      <c r="D38" s="2">
        <v>1937</v>
      </c>
    </row>
    <row r="39" spans="1:4" ht="18.75" customHeight="1" x14ac:dyDescent="0.3">
      <c r="A39" s="2">
        <v>86</v>
      </c>
      <c r="B39" s="2">
        <v>4</v>
      </c>
      <c r="C39" s="2">
        <v>107</v>
      </c>
      <c r="D39" s="2">
        <v>2464</v>
      </c>
    </row>
    <row r="40" spans="1:4" ht="18.75" customHeight="1" x14ac:dyDescent="0.3">
      <c r="A40" s="2">
        <v>102</v>
      </c>
      <c r="B40" s="2">
        <v>4</v>
      </c>
      <c r="C40" s="2">
        <v>130</v>
      </c>
      <c r="D40" s="2">
        <v>3150</v>
      </c>
    </row>
    <row r="41" spans="1:4" ht="18.75" customHeight="1" x14ac:dyDescent="0.3">
      <c r="A41" s="2">
        <v>88</v>
      </c>
      <c r="B41" s="2">
        <v>4</v>
      </c>
      <c r="C41" s="2">
        <v>120</v>
      </c>
      <c r="D41" s="2">
        <v>3270</v>
      </c>
    </row>
    <row r="42" spans="1:4" ht="18.75" customHeight="1" x14ac:dyDescent="0.3">
      <c r="A42" s="2">
        <v>120</v>
      </c>
      <c r="B42" s="2">
        <v>6</v>
      </c>
      <c r="C42" s="2">
        <v>168</v>
      </c>
      <c r="D42" s="2">
        <v>3820</v>
      </c>
    </row>
    <row r="43" spans="1:4" ht="18.75" customHeight="1" x14ac:dyDescent="0.3">
      <c r="A43" s="2">
        <v>110</v>
      </c>
      <c r="B43" s="2">
        <v>4</v>
      </c>
      <c r="C43" s="2">
        <v>121</v>
      </c>
      <c r="D43" s="2">
        <v>2600</v>
      </c>
    </row>
    <row r="44" spans="1:4" ht="18.75" customHeight="1" x14ac:dyDescent="0.3">
      <c r="A44" s="2">
        <v>78</v>
      </c>
      <c r="B44" s="2">
        <v>4</v>
      </c>
      <c r="C44" s="2">
        <v>97</v>
      </c>
      <c r="D44" s="2">
        <v>1940</v>
      </c>
    </row>
    <row r="45" spans="1:4" ht="18.75" customHeight="1" x14ac:dyDescent="0.3">
      <c r="A45" s="2">
        <v>78</v>
      </c>
      <c r="B45" s="2">
        <v>4</v>
      </c>
      <c r="C45" s="2">
        <v>97</v>
      </c>
      <c r="D45" s="2">
        <v>2190</v>
      </c>
    </row>
    <row r="46" spans="1:4" ht="18.75" customHeight="1" x14ac:dyDescent="0.3">
      <c r="A46" s="2">
        <v>58</v>
      </c>
      <c r="B46" s="2">
        <v>4</v>
      </c>
      <c r="C46" s="2">
        <v>79</v>
      </c>
      <c r="D46" s="2">
        <v>1825</v>
      </c>
    </row>
    <row r="47" spans="1:4" ht="18.75" customHeight="1" x14ac:dyDescent="0.3">
      <c r="A47" s="2">
        <v>115</v>
      </c>
      <c r="B47" s="2">
        <v>4</v>
      </c>
      <c r="C47" s="2">
        <v>121</v>
      </c>
      <c r="D47" s="2">
        <v>2795</v>
      </c>
    </row>
    <row r="48" spans="1:4" ht="18.75" customHeight="1" x14ac:dyDescent="0.3">
      <c r="A48" s="2">
        <v>71</v>
      </c>
      <c r="B48" s="2">
        <v>4</v>
      </c>
      <c r="C48" s="2">
        <v>89</v>
      </c>
      <c r="D48" s="2">
        <v>1990</v>
      </c>
    </row>
    <row r="49" spans="1:4" ht="18.75" customHeight="1" x14ac:dyDescent="0.3">
      <c r="A49" s="2">
        <v>48</v>
      </c>
      <c r="B49" s="2">
        <v>4</v>
      </c>
      <c r="C49" s="2">
        <v>90</v>
      </c>
      <c r="D49" s="2">
        <v>1985</v>
      </c>
    </row>
    <row r="50" spans="1:4" ht="18.75" customHeight="1" x14ac:dyDescent="0.3">
      <c r="A50" s="2">
        <v>103</v>
      </c>
      <c r="B50" s="2">
        <v>5</v>
      </c>
      <c r="C50" s="2">
        <v>131</v>
      </c>
      <c r="D50" s="2">
        <v>2830</v>
      </c>
    </row>
    <row r="51" spans="1:4" ht="18.75" customHeight="1" x14ac:dyDescent="0.3">
      <c r="A51" s="2">
        <v>125</v>
      </c>
      <c r="B51" s="2">
        <v>6</v>
      </c>
      <c r="C51" s="2">
        <v>163</v>
      </c>
      <c r="D51" s="2">
        <v>3140</v>
      </c>
    </row>
    <row r="52" spans="1:4" ht="18.75" customHeight="1" x14ac:dyDescent="0.3">
      <c r="A52" s="2">
        <v>133</v>
      </c>
      <c r="B52" s="2">
        <v>6</v>
      </c>
      <c r="C52" s="2">
        <v>163</v>
      </c>
      <c r="D52" s="2">
        <v>3410</v>
      </c>
    </row>
    <row r="53" spans="1:4" ht="18.75" customHeight="1" x14ac:dyDescent="0.3">
      <c r="A53" s="2">
        <v>71</v>
      </c>
      <c r="B53" s="2">
        <v>4</v>
      </c>
      <c r="C53" s="2">
        <v>89</v>
      </c>
      <c r="D53" s="2">
        <v>1925</v>
      </c>
    </row>
    <row r="54" spans="1:4" ht="18.75" customHeight="1" x14ac:dyDescent="0.3">
      <c r="A54" s="2">
        <v>69</v>
      </c>
      <c r="B54" s="2">
        <v>4</v>
      </c>
      <c r="C54" s="2">
        <v>91</v>
      </c>
      <c r="D54" s="2">
        <v>2130</v>
      </c>
    </row>
    <row r="55" spans="1:4" ht="18.75" customHeight="1" x14ac:dyDescent="0.3">
      <c r="A55" s="2">
        <v>71</v>
      </c>
      <c r="B55" s="2">
        <v>4</v>
      </c>
      <c r="C55" s="2">
        <v>141</v>
      </c>
      <c r="D55" s="2">
        <v>3190</v>
      </c>
    </row>
    <row r="56" spans="1:4" ht="18.75" customHeight="1" x14ac:dyDescent="0.3">
      <c r="A56" s="2">
        <v>77</v>
      </c>
      <c r="B56" s="2">
        <v>5</v>
      </c>
      <c r="C56" s="2">
        <v>183</v>
      </c>
      <c r="D56" s="2">
        <v>3530</v>
      </c>
    </row>
    <row r="57" spans="1:4" ht="18.75" customHeight="1" x14ac:dyDescent="0.3">
      <c r="A57" s="2">
        <v>78</v>
      </c>
      <c r="B57" s="2">
        <v>4</v>
      </c>
      <c r="C57" s="2">
        <v>97</v>
      </c>
      <c r="D57" s="2">
        <v>2188</v>
      </c>
    </row>
    <row r="58" spans="1:4" ht="18.75" customHeight="1" x14ac:dyDescent="0.3">
      <c r="A58" s="2">
        <v>76</v>
      </c>
      <c r="B58" s="2">
        <v>4</v>
      </c>
      <c r="C58" s="2">
        <v>98</v>
      </c>
      <c r="D58" s="2">
        <v>2144</v>
      </c>
    </row>
    <row r="59" spans="1:4" ht="18.75" customHeight="1" x14ac:dyDescent="0.3">
      <c r="A59" s="2">
        <v>88</v>
      </c>
      <c r="B59" s="2">
        <v>4</v>
      </c>
      <c r="C59" s="2">
        <v>122</v>
      </c>
      <c r="D59" s="2">
        <v>2500</v>
      </c>
    </row>
    <row r="60" spans="1:4" ht="18.75" customHeight="1" x14ac:dyDescent="0.3">
      <c r="A60" s="2">
        <v>62</v>
      </c>
      <c r="B60" s="2">
        <v>4</v>
      </c>
      <c r="C60" s="2">
        <v>89</v>
      </c>
      <c r="D60" s="2">
        <v>1845</v>
      </c>
    </row>
    <row r="61" spans="1:4" ht="18.75" customHeight="1" x14ac:dyDescent="0.3">
      <c r="A61" s="2">
        <v>48</v>
      </c>
      <c r="B61" s="2">
        <v>4</v>
      </c>
      <c r="C61" s="2">
        <v>90</v>
      </c>
      <c r="D61" s="2">
        <v>2085</v>
      </c>
    </row>
    <row r="62" spans="1:4" ht="18.75" customHeight="1" x14ac:dyDescent="0.3">
      <c r="A62" s="2">
        <v>67</v>
      </c>
      <c r="B62" s="2">
        <v>4</v>
      </c>
      <c r="C62" s="2">
        <v>146</v>
      </c>
      <c r="D62" s="2">
        <v>3250</v>
      </c>
    </row>
    <row r="63" spans="1:4" ht="18.75" customHeight="1" x14ac:dyDescent="0.3">
      <c r="A63" s="2">
        <v>48</v>
      </c>
      <c r="B63" s="2">
        <v>4</v>
      </c>
      <c r="C63" s="2">
        <v>90</v>
      </c>
      <c r="D63" s="2">
        <v>2335</v>
      </c>
    </row>
    <row r="64" spans="1:4" ht="18.75" customHeight="1" x14ac:dyDescent="0.3">
      <c r="A64" s="2">
        <v>67</v>
      </c>
      <c r="B64" s="2">
        <v>5</v>
      </c>
      <c r="C64" s="2">
        <v>121</v>
      </c>
      <c r="D64" s="2">
        <v>2950</v>
      </c>
    </row>
    <row r="65" spans="1:4" ht="18.75" customHeight="1" x14ac:dyDescent="0.3">
      <c r="A65" s="2">
        <v>74</v>
      </c>
      <c r="B65" s="2">
        <v>4</v>
      </c>
      <c r="C65" s="2">
        <v>105</v>
      </c>
      <c r="D65" s="2">
        <v>2190</v>
      </c>
    </row>
    <row r="66" spans="1:4" ht="18.75" customHeight="1" x14ac:dyDescent="0.3">
      <c r="A66" s="2">
        <v>80</v>
      </c>
      <c r="B66" s="2">
        <v>4</v>
      </c>
      <c r="C66" s="2">
        <v>141</v>
      </c>
      <c r="D66" s="2">
        <v>3230</v>
      </c>
    </row>
    <row r="67" spans="1:4" ht="18.75" customHeight="1" x14ac:dyDescent="0.3">
      <c r="A67" s="2">
        <v>76</v>
      </c>
      <c r="B67" s="2">
        <v>6</v>
      </c>
      <c r="C67" s="2">
        <v>145</v>
      </c>
      <c r="D67" s="2">
        <v>3160</v>
      </c>
    </row>
    <row r="68" spans="1:4" ht="18.75" customHeight="1" x14ac:dyDescent="0.3">
      <c r="A68" s="2">
        <v>74</v>
      </c>
      <c r="B68" s="2">
        <v>4</v>
      </c>
      <c r="C68" s="2">
        <v>105</v>
      </c>
      <c r="D68" s="2">
        <v>1980</v>
      </c>
    </row>
    <row r="69" spans="1:4" ht="18.75" customHeight="1" x14ac:dyDescent="0.3">
      <c r="A69" s="2">
        <v>52</v>
      </c>
      <c r="B69" s="2">
        <v>4</v>
      </c>
      <c r="C69" s="2">
        <v>97</v>
      </c>
      <c r="D69" s="2">
        <v>2130</v>
      </c>
    </row>
    <row r="70" spans="1:4" ht="18.75" customHeight="1" x14ac:dyDescent="0.3">
      <c r="A70" s="2">
        <v>88</v>
      </c>
      <c r="B70" s="2">
        <v>4</v>
      </c>
      <c r="C70" s="2">
        <v>97</v>
      </c>
      <c r="D70" s="2">
        <v>2130</v>
      </c>
    </row>
    <row r="71" spans="1:4" ht="18.75" customHeight="1" x14ac:dyDescent="0.3">
      <c r="A71" s="2">
        <v>95</v>
      </c>
      <c r="B71" s="2">
        <v>4</v>
      </c>
      <c r="C71" s="2">
        <v>113</v>
      </c>
      <c r="D71" s="2">
        <v>2372</v>
      </c>
    </row>
    <row r="72" spans="1:4" ht="18.75" customHeight="1" x14ac:dyDescent="0.3">
      <c r="A72" s="2">
        <v>69</v>
      </c>
      <c r="B72" s="2">
        <v>4</v>
      </c>
      <c r="C72" s="2">
        <v>72</v>
      </c>
      <c r="D72" s="2">
        <v>1613</v>
      </c>
    </row>
    <row r="73" spans="1:4" ht="18.75" customHeight="1" x14ac:dyDescent="0.3">
      <c r="A73" s="2">
        <v>95</v>
      </c>
      <c r="B73" s="2">
        <v>4</v>
      </c>
      <c r="C73" s="2">
        <v>113</v>
      </c>
      <c r="D73" s="2">
        <v>2228</v>
      </c>
    </row>
    <row r="74" spans="1:4" ht="18.75" customHeight="1" x14ac:dyDescent="0.3">
      <c r="A74" s="2">
        <v>88</v>
      </c>
      <c r="B74" s="2">
        <v>4</v>
      </c>
      <c r="C74" s="2">
        <v>97</v>
      </c>
      <c r="D74" s="2">
        <v>2130</v>
      </c>
    </row>
    <row r="75" spans="1:4" ht="18.75" customHeight="1" x14ac:dyDescent="0.3">
      <c r="A75" s="2">
        <v>65</v>
      </c>
      <c r="B75" s="2">
        <v>4</v>
      </c>
      <c r="C75" s="2">
        <v>71</v>
      </c>
      <c r="D75" s="2">
        <v>1773</v>
      </c>
    </row>
    <row r="76" spans="1:4" ht="18.75" customHeight="1" x14ac:dyDescent="0.3">
      <c r="A76" s="2">
        <v>97</v>
      </c>
      <c r="B76" s="2">
        <v>3</v>
      </c>
      <c r="C76" s="2">
        <v>70</v>
      </c>
      <c r="D76" s="2">
        <v>2330</v>
      </c>
    </row>
    <row r="77" spans="1:4" ht="18.75" customHeight="1" x14ac:dyDescent="0.3">
      <c r="A77" s="2">
        <v>88</v>
      </c>
      <c r="B77" s="2">
        <v>4</v>
      </c>
      <c r="C77" s="2">
        <v>97</v>
      </c>
      <c r="D77" s="2">
        <v>2100</v>
      </c>
    </row>
    <row r="78" spans="1:4" ht="18.75" customHeight="1" x14ac:dyDescent="0.3">
      <c r="A78" s="2">
        <v>95</v>
      </c>
      <c r="B78" s="2">
        <v>4</v>
      </c>
      <c r="C78" s="2">
        <v>113</v>
      </c>
      <c r="D78" s="2">
        <v>2278</v>
      </c>
    </row>
    <row r="79" spans="1:4" ht="18.75" customHeight="1" x14ac:dyDescent="0.3">
      <c r="A79" s="2">
        <v>92</v>
      </c>
      <c r="B79" s="2">
        <v>4</v>
      </c>
      <c r="C79" s="2">
        <v>97</v>
      </c>
      <c r="D79" s="2">
        <v>2288</v>
      </c>
    </row>
    <row r="80" spans="1:4" ht="18.75" customHeight="1" x14ac:dyDescent="0.3">
      <c r="A80" s="2">
        <v>97</v>
      </c>
      <c r="B80" s="2">
        <v>4</v>
      </c>
      <c r="C80" s="2">
        <v>120</v>
      </c>
      <c r="D80" s="2">
        <v>2506</v>
      </c>
    </row>
    <row r="81" spans="1:4" ht="18.75" customHeight="1" x14ac:dyDescent="0.3">
      <c r="A81" s="2">
        <v>90</v>
      </c>
      <c r="B81" s="2">
        <v>3</v>
      </c>
      <c r="C81" s="2">
        <v>70</v>
      </c>
      <c r="D81" s="2">
        <v>2124</v>
      </c>
    </row>
    <row r="82" spans="1:4" ht="18.75" customHeight="1" x14ac:dyDescent="0.3">
      <c r="A82" s="2">
        <v>94</v>
      </c>
      <c r="B82" s="2">
        <v>4</v>
      </c>
      <c r="C82" s="2">
        <v>108</v>
      </c>
      <c r="D82" s="2">
        <v>2379</v>
      </c>
    </row>
    <row r="83" spans="1:4" ht="18.75" customHeight="1" x14ac:dyDescent="0.3">
      <c r="A83" s="2">
        <v>88</v>
      </c>
      <c r="B83" s="2">
        <v>4</v>
      </c>
      <c r="C83" s="2">
        <v>97</v>
      </c>
      <c r="D83" s="2">
        <v>2279</v>
      </c>
    </row>
    <row r="84" spans="1:4" ht="18.75" customHeight="1" x14ac:dyDescent="0.3">
      <c r="A84" s="2">
        <v>122</v>
      </c>
      <c r="B84" s="2">
        <v>6</v>
      </c>
      <c r="C84" s="2">
        <v>156</v>
      </c>
      <c r="D84" s="2">
        <v>2807</v>
      </c>
    </row>
    <row r="85" spans="1:4" ht="18.75" customHeight="1" x14ac:dyDescent="0.3">
      <c r="A85" s="2">
        <v>97</v>
      </c>
      <c r="B85" s="2">
        <v>4</v>
      </c>
      <c r="C85" s="2">
        <v>120</v>
      </c>
      <c r="D85" s="2">
        <v>2489</v>
      </c>
    </row>
    <row r="86" spans="1:4" ht="18.75" customHeight="1" x14ac:dyDescent="0.3">
      <c r="A86" s="2">
        <v>93</v>
      </c>
      <c r="B86" s="2">
        <v>4</v>
      </c>
      <c r="C86" s="2">
        <v>108</v>
      </c>
      <c r="D86" s="2">
        <v>2391</v>
      </c>
    </row>
    <row r="87" spans="1:4" ht="18.75" customHeight="1" x14ac:dyDescent="0.3">
      <c r="A87" s="2">
        <v>65</v>
      </c>
      <c r="B87" s="2">
        <v>4</v>
      </c>
      <c r="C87" s="2">
        <v>71</v>
      </c>
      <c r="D87" s="2">
        <v>1836</v>
      </c>
    </row>
    <row r="88" spans="1:4" ht="18.75" customHeight="1" x14ac:dyDescent="0.3">
      <c r="A88" s="2">
        <v>67</v>
      </c>
      <c r="B88" s="2">
        <v>4</v>
      </c>
      <c r="C88" s="2">
        <v>79</v>
      </c>
      <c r="D88" s="2">
        <v>1950</v>
      </c>
    </row>
    <row r="89" spans="1:4" ht="18.75" customHeight="1" x14ac:dyDescent="0.3">
      <c r="A89" s="2">
        <v>52</v>
      </c>
      <c r="B89" s="2">
        <v>4</v>
      </c>
      <c r="C89" s="2">
        <v>76</v>
      </c>
      <c r="D89" s="2">
        <v>1649</v>
      </c>
    </row>
    <row r="90" spans="1:4" ht="18.75" customHeight="1" x14ac:dyDescent="0.3">
      <c r="A90" s="2">
        <v>61</v>
      </c>
      <c r="B90" s="2">
        <v>4</v>
      </c>
      <c r="C90" s="2">
        <v>83</v>
      </c>
      <c r="D90" s="2">
        <v>2003</v>
      </c>
    </row>
    <row r="91" spans="1:4" ht="18.75" customHeight="1" x14ac:dyDescent="0.3">
      <c r="A91" s="2">
        <v>97</v>
      </c>
      <c r="B91" s="2">
        <v>4</v>
      </c>
      <c r="C91" s="2">
        <v>119</v>
      </c>
      <c r="D91" s="2">
        <v>2545</v>
      </c>
    </row>
    <row r="92" spans="1:4" ht="18.75" customHeight="1" x14ac:dyDescent="0.3">
      <c r="A92" s="2">
        <v>96</v>
      </c>
      <c r="B92" s="2">
        <v>4</v>
      </c>
      <c r="C92" s="2">
        <v>134</v>
      </c>
      <c r="D92" s="2">
        <v>2702</v>
      </c>
    </row>
    <row r="93" spans="1:4" ht="18.75" customHeight="1" x14ac:dyDescent="0.3">
      <c r="A93" s="2">
        <v>75</v>
      </c>
      <c r="B93" s="2">
        <v>4</v>
      </c>
      <c r="C93" s="2">
        <v>97</v>
      </c>
      <c r="D93" s="2">
        <v>2171</v>
      </c>
    </row>
    <row r="94" spans="1:4" ht="18.75" customHeight="1" x14ac:dyDescent="0.3">
      <c r="A94" s="2">
        <v>53</v>
      </c>
      <c r="B94" s="2">
        <v>4</v>
      </c>
      <c r="C94" s="2">
        <v>91</v>
      </c>
      <c r="D94" s="2">
        <v>1795</v>
      </c>
    </row>
    <row r="95" spans="1:4" ht="18.75" customHeight="1" x14ac:dyDescent="0.3">
      <c r="A95" s="2">
        <v>70</v>
      </c>
      <c r="B95" s="2">
        <v>4</v>
      </c>
      <c r="C95" s="2">
        <v>85</v>
      </c>
      <c r="D95" s="2">
        <v>1990</v>
      </c>
    </row>
    <row r="96" spans="1:4" ht="18.75" customHeight="1" x14ac:dyDescent="0.3">
      <c r="A96" s="2">
        <v>75</v>
      </c>
      <c r="B96" s="2">
        <v>4</v>
      </c>
      <c r="C96" s="2">
        <v>97</v>
      </c>
      <c r="D96" s="2">
        <v>2155</v>
      </c>
    </row>
    <row r="97" spans="1:4" ht="18.75" customHeight="1" x14ac:dyDescent="0.3">
      <c r="A97" s="2">
        <v>53</v>
      </c>
      <c r="B97" s="2">
        <v>4</v>
      </c>
      <c r="C97" s="2">
        <v>91</v>
      </c>
      <c r="D97" s="2">
        <v>1795</v>
      </c>
    </row>
    <row r="98" spans="1:4" ht="18.75" customHeight="1" x14ac:dyDescent="0.3">
      <c r="A98" s="2">
        <v>108</v>
      </c>
      <c r="B98" s="2">
        <v>6</v>
      </c>
      <c r="C98" s="2">
        <v>156</v>
      </c>
      <c r="D98" s="2">
        <v>2930</v>
      </c>
    </row>
    <row r="99" spans="1:4" ht="18.75" customHeight="1" x14ac:dyDescent="0.3">
      <c r="A99" s="2">
        <v>110</v>
      </c>
      <c r="B99" s="2">
        <v>3</v>
      </c>
      <c r="C99" s="2">
        <v>80</v>
      </c>
      <c r="D99" s="2">
        <v>2720</v>
      </c>
    </row>
    <row r="100" spans="1:4" ht="18.75" customHeight="1" x14ac:dyDescent="0.3">
      <c r="A100" s="2">
        <v>70</v>
      </c>
      <c r="B100" s="2">
        <v>4</v>
      </c>
      <c r="C100" s="2">
        <v>85</v>
      </c>
      <c r="D100" s="2">
        <v>1945</v>
      </c>
    </row>
    <row r="101" spans="1:4" ht="18.75" customHeight="1" x14ac:dyDescent="0.3">
      <c r="A101" s="2">
        <v>67</v>
      </c>
      <c r="B101" s="2">
        <v>4</v>
      </c>
      <c r="C101" s="2">
        <v>97</v>
      </c>
      <c r="D101" s="2">
        <v>1985</v>
      </c>
    </row>
    <row r="102" spans="1:4" ht="18.75" customHeight="1" x14ac:dyDescent="0.3">
      <c r="A102" s="2">
        <v>68</v>
      </c>
      <c r="B102" s="2">
        <v>4</v>
      </c>
      <c r="C102" s="2">
        <v>98</v>
      </c>
      <c r="D102" s="2">
        <v>2045</v>
      </c>
    </row>
    <row r="103" spans="1:4" ht="18.75" customHeight="1" x14ac:dyDescent="0.3">
      <c r="A103" s="2">
        <v>75</v>
      </c>
      <c r="B103" s="2">
        <v>4</v>
      </c>
      <c r="C103" s="2">
        <v>97</v>
      </c>
      <c r="D103" s="2">
        <v>2265</v>
      </c>
    </row>
    <row r="104" spans="1:4" ht="18.75" customHeight="1" x14ac:dyDescent="0.3">
      <c r="A104" s="2">
        <v>97</v>
      </c>
      <c r="B104" s="2">
        <v>6</v>
      </c>
      <c r="C104" s="2">
        <v>146</v>
      </c>
      <c r="D104" s="2">
        <v>2815</v>
      </c>
    </row>
    <row r="105" spans="1:4" ht="18.75" customHeight="1" x14ac:dyDescent="0.3">
      <c r="A105" s="2">
        <v>97</v>
      </c>
      <c r="B105" s="2">
        <v>4</v>
      </c>
      <c r="C105" s="2">
        <v>119</v>
      </c>
      <c r="D105" s="2">
        <v>2300</v>
      </c>
    </row>
    <row r="106" spans="1:4" ht="18.75" customHeight="1" x14ac:dyDescent="0.3">
      <c r="A106" s="2">
        <v>97</v>
      </c>
      <c r="B106" s="2">
        <v>4</v>
      </c>
      <c r="C106" s="2">
        <v>119</v>
      </c>
      <c r="D106" s="2">
        <v>2405</v>
      </c>
    </row>
    <row r="107" spans="1:4" ht="18.75" customHeight="1" x14ac:dyDescent="0.3">
      <c r="A107" s="2">
        <v>95</v>
      </c>
      <c r="B107" s="2">
        <v>4</v>
      </c>
      <c r="C107" s="2">
        <v>134</v>
      </c>
      <c r="D107" s="2">
        <v>2515</v>
      </c>
    </row>
    <row r="108" spans="1:4" ht="18.75" customHeight="1" x14ac:dyDescent="0.3">
      <c r="A108" s="2">
        <v>95</v>
      </c>
      <c r="B108" s="2">
        <v>4</v>
      </c>
      <c r="C108" s="2">
        <v>134</v>
      </c>
      <c r="D108" s="2">
        <v>2560</v>
      </c>
    </row>
    <row r="109" spans="1:4" ht="18.75" customHeight="1" x14ac:dyDescent="0.3">
      <c r="A109" s="2">
        <v>70</v>
      </c>
      <c r="B109" s="2">
        <v>4</v>
      </c>
      <c r="C109" s="2">
        <v>85</v>
      </c>
      <c r="D109" s="2">
        <v>2070</v>
      </c>
    </row>
    <row r="110" spans="1:4" ht="18.75" customHeight="1" x14ac:dyDescent="0.3">
      <c r="A110" s="2">
        <v>60</v>
      </c>
      <c r="B110" s="2">
        <v>4</v>
      </c>
      <c r="C110" s="2">
        <v>91</v>
      </c>
      <c r="D110" s="2">
        <v>1800</v>
      </c>
    </row>
    <row r="111" spans="1:4" ht="18.75" customHeight="1" x14ac:dyDescent="0.3">
      <c r="A111" s="2">
        <v>68</v>
      </c>
      <c r="B111" s="2">
        <v>4</v>
      </c>
      <c r="C111" s="2">
        <v>98</v>
      </c>
      <c r="D111" s="2">
        <v>2135</v>
      </c>
    </row>
    <row r="112" spans="1:4" ht="18.75" customHeight="1" x14ac:dyDescent="0.3">
      <c r="A112" s="2">
        <v>52</v>
      </c>
      <c r="B112" s="2">
        <v>4</v>
      </c>
      <c r="C112" s="2">
        <v>78</v>
      </c>
      <c r="D112" s="2">
        <v>1985</v>
      </c>
    </row>
    <row r="113" spans="1:4" ht="18.75" customHeight="1" x14ac:dyDescent="0.3">
      <c r="A113" s="2">
        <v>65</v>
      </c>
      <c r="B113" s="2">
        <v>4</v>
      </c>
      <c r="C113" s="2">
        <v>86</v>
      </c>
      <c r="D113" s="2">
        <v>1975</v>
      </c>
    </row>
    <row r="114" spans="1:4" ht="18.75" customHeight="1" x14ac:dyDescent="0.3">
      <c r="A114" s="2">
        <v>65</v>
      </c>
      <c r="B114" s="2">
        <v>4</v>
      </c>
      <c r="C114" s="2">
        <v>85</v>
      </c>
      <c r="D114" s="2">
        <v>2020</v>
      </c>
    </row>
    <row r="115" spans="1:4" ht="18.75" customHeight="1" x14ac:dyDescent="0.3">
      <c r="A115" s="2">
        <v>100</v>
      </c>
      <c r="B115" s="2">
        <v>3</v>
      </c>
      <c r="C115" s="2">
        <v>70</v>
      </c>
      <c r="D115" s="2">
        <v>2420</v>
      </c>
    </row>
    <row r="116" spans="1:4" ht="18.75" customHeight="1" x14ac:dyDescent="0.3">
      <c r="A116" s="2">
        <v>92</v>
      </c>
      <c r="B116" s="2">
        <v>4</v>
      </c>
      <c r="C116" s="2">
        <v>119</v>
      </c>
      <c r="D116" s="2">
        <v>2434</v>
      </c>
    </row>
    <row r="117" spans="1:4" ht="18.75" customHeight="1" x14ac:dyDescent="0.3">
      <c r="A117" s="2">
        <v>67</v>
      </c>
      <c r="B117" s="2">
        <v>4</v>
      </c>
      <c r="C117" s="2">
        <v>91</v>
      </c>
      <c r="D117" s="2">
        <v>1850</v>
      </c>
    </row>
    <row r="118" spans="1:4" ht="18.75" customHeight="1" x14ac:dyDescent="0.3">
      <c r="A118" s="2">
        <v>90</v>
      </c>
      <c r="B118" s="2">
        <v>4</v>
      </c>
      <c r="C118" s="2">
        <v>134</v>
      </c>
      <c r="D118" s="2">
        <v>2711</v>
      </c>
    </row>
    <row r="119" spans="1:4" ht="18.75" customHeight="1" x14ac:dyDescent="0.3">
      <c r="A119" s="2">
        <v>75</v>
      </c>
      <c r="B119" s="2">
        <v>4</v>
      </c>
      <c r="C119" s="2">
        <v>108</v>
      </c>
      <c r="D119" s="2">
        <v>2265</v>
      </c>
    </row>
    <row r="120" spans="1:4" ht="18.75" customHeight="1" x14ac:dyDescent="0.3">
      <c r="A120" s="2">
        <v>65</v>
      </c>
      <c r="B120" s="2">
        <v>4</v>
      </c>
      <c r="C120" s="2">
        <v>86</v>
      </c>
      <c r="D120" s="2">
        <v>2019</v>
      </c>
    </row>
    <row r="121" spans="1:4" ht="18.75" customHeight="1" x14ac:dyDescent="0.3">
      <c r="A121" s="2">
        <v>72</v>
      </c>
      <c r="B121" s="2">
        <v>4</v>
      </c>
      <c r="C121" s="2">
        <v>107</v>
      </c>
      <c r="D121" s="2">
        <v>2290</v>
      </c>
    </row>
    <row r="122" spans="1:4" ht="18.75" customHeight="1" x14ac:dyDescent="0.3">
      <c r="A122" s="2">
        <v>67</v>
      </c>
      <c r="B122" s="2">
        <v>4</v>
      </c>
      <c r="C122" s="2">
        <v>97</v>
      </c>
      <c r="D122" s="2">
        <v>2145</v>
      </c>
    </row>
    <row r="123" spans="1:4" ht="18.75" customHeight="1" x14ac:dyDescent="0.3">
      <c r="A123" s="2">
        <v>65</v>
      </c>
      <c r="B123" s="2">
        <v>4</v>
      </c>
      <c r="C123" s="2">
        <v>85</v>
      </c>
      <c r="D123" s="2">
        <v>2110</v>
      </c>
    </row>
    <row r="124" spans="1:4" ht="18.75" customHeight="1" x14ac:dyDescent="0.3">
      <c r="A124" s="2">
        <v>65</v>
      </c>
      <c r="B124" s="2">
        <v>4</v>
      </c>
      <c r="C124" s="2">
        <v>86</v>
      </c>
      <c r="D124" s="2">
        <v>2110</v>
      </c>
    </row>
    <row r="125" spans="1:4" ht="18.75" customHeight="1" x14ac:dyDescent="0.3">
      <c r="A125" s="2">
        <v>60</v>
      </c>
      <c r="B125" s="2">
        <v>4</v>
      </c>
      <c r="C125" s="2">
        <v>89</v>
      </c>
      <c r="D125" s="2">
        <v>1968</v>
      </c>
    </row>
    <row r="126" spans="1:4" ht="18.75" customHeight="1" x14ac:dyDescent="0.3">
      <c r="A126" s="2">
        <v>75</v>
      </c>
      <c r="B126" s="2">
        <v>4</v>
      </c>
      <c r="C126" s="2">
        <v>120</v>
      </c>
      <c r="D126" s="2">
        <v>2542</v>
      </c>
    </row>
    <row r="127" spans="1:4" ht="18.75" customHeight="1" x14ac:dyDescent="0.3">
      <c r="A127" s="2">
        <v>132</v>
      </c>
      <c r="B127" s="2">
        <v>6</v>
      </c>
      <c r="C127" s="2">
        <v>168</v>
      </c>
      <c r="D127" s="2">
        <v>2910</v>
      </c>
    </row>
    <row r="128" spans="1:4" ht="18.75" customHeight="1" x14ac:dyDescent="0.3">
      <c r="A128" s="2">
        <v>100</v>
      </c>
      <c r="B128" s="2">
        <v>4</v>
      </c>
      <c r="C128" s="2">
        <v>119</v>
      </c>
      <c r="D128" s="2">
        <v>2615</v>
      </c>
    </row>
    <row r="129" spans="1:4" ht="18.75" customHeight="1" x14ac:dyDescent="0.3">
      <c r="A129" s="2">
        <v>68</v>
      </c>
      <c r="B129" s="2">
        <v>4</v>
      </c>
      <c r="C129" s="2">
        <v>91</v>
      </c>
      <c r="D129" s="2">
        <v>1985</v>
      </c>
    </row>
    <row r="130" spans="1:4" ht="18.75" customHeight="1" x14ac:dyDescent="0.3">
      <c r="A130" s="2">
        <v>60</v>
      </c>
      <c r="B130" s="2">
        <v>4</v>
      </c>
      <c r="C130" s="2">
        <v>81</v>
      </c>
      <c r="D130" s="2">
        <v>1760</v>
      </c>
    </row>
    <row r="131" spans="1:4" ht="18.75" customHeight="1" x14ac:dyDescent="0.3">
      <c r="A131" s="2">
        <v>75</v>
      </c>
      <c r="B131" s="2">
        <v>4</v>
      </c>
      <c r="C131" s="2">
        <v>107</v>
      </c>
      <c r="D131" s="2">
        <v>2210</v>
      </c>
    </row>
    <row r="132" spans="1:4" ht="18.75" customHeight="1" x14ac:dyDescent="0.3">
      <c r="A132" s="2">
        <v>58</v>
      </c>
      <c r="B132" s="2">
        <v>4</v>
      </c>
      <c r="C132" s="2">
        <v>79</v>
      </c>
      <c r="D132" s="2">
        <v>1755</v>
      </c>
    </row>
    <row r="133" spans="1:4" ht="18.75" customHeight="1" x14ac:dyDescent="0.3">
      <c r="A133" s="2">
        <v>65</v>
      </c>
      <c r="B133" s="2">
        <v>4</v>
      </c>
      <c r="C133" s="2">
        <v>85</v>
      </c>
      <c r="D133" s="2">
        <v>1975</v>
      </c>
    </row>
    <row r="134" spans="1:4" ht="18.75" customHeight="1" x14ac:dyDescent="0.3">
      <c r="A134" s="2">
        <v>67</v>
      </c>
      <c r="B134" s="2">
        <v>4</v>
      </c>
      <c r="C134" s="2">
        <v>97</v>
      </c>
      <c r="D134" s="2">
        <v>2065</v>
      </c>
    </row>
    <row r="135" spans="1:4" ht="18.75" customHeight="1" x14ac:dyDescent="0.3">
      <c r="A135" s="2">
        <v>75</v>
      </c>
      <c r="B135" s="2">
        <v>4</v>
      </c>
      <c r="C135" s="2">
        <v>108</v>
      </c>
      <c r="D135" s="2">
        <v>2350</v>
      </c>
    </row>
    <row r="136" spans="1:4" ht="18.75" customHeight="1" x14ac:dyDescent="0.3">
      <c r="A136" s="2">
        <v>62</v>
      </c>
      <c r="B136" s="2">
        <v>4</v>
      </c>
      <c r="C136" s="2">
        <v>89</v>
      </c>
      <c r="D136" s="2">
        <v>2050</v>
      </c>
    </row>
    <row r="137" spans="1:4" ht="18.75" customHeight="1" x14ac:dyDescent="0.3">
      <c r="A137" s="2">
        <v>74</v>
      </c>
      <c r="B137" s="2">
        <v>4</v>
      </c>
      <c r="C137" s="2">
        <v>120</v>
      </c>
      <c r="D137" s="2">
        <v>2635</v>
      </c>
    </row>
    <row r="138" spans="1:4" ht="18.75" customHeight="1" x14ac:dyDescent="0.3">
      <c r="A138" s="2">
        <v>120</v>
      </c>
      <c r="B138" s="2">
        <v>6</v>
      </c>
      <c r="C138" s="2">
        <v>146</v>
      </c>
      <c r="D138" s="2">
        <v>2930</v>
      </c>
    </row>
    <row r="139" spans="1:4" ht="18.75" customHeight="1" x14ac:dyDescent="0.3">
      <c r="A139" s="2">
        <v>116</v>
      </c>
      <c r="B139" s="2">
        <v>6</v>
      </c>
      <c r="C139" s="2">
        <v>168</v>
      </c>
      <c r="D139" s="2">
        <v>2900</v>
      </c>
    </row>
    <row r="140" spans="1:4" ht="18.75" customHeight="1" x14ac:dyDescent="0.3">
      <c r="A140" s="2">
        <v>88</v>
      </c>
      <c r="B140" s="2">
        <v>4</v>
      </c>
      <c r="C140" s="2">
        <v>120</v>
      </c>
      <c r="D140" s="2">
        <v>2160</v>
      </c>
    </row>
    <row r="141" spans="1:4" ht="18.75" customHeight="1" x14ac:dyDescent="0.3">
      <c r="A141" s="2">
        <v>96</v>
      </c>
      <c r="B141" s="2">
        <v>4</v>
      </c>
      <c r="C141" s="2">
        <v>144</v>
      </c>
      <c r="D141" s="2">
        <v>2665</v>
      </c>
    </row>
    <row r="142" spans="1:4" ht="18.75" customHeight="1" x14ac:dyDescent="0.3">
      <c r="A142" s="2">
        <v>68</v>
      </c>
      <c r="B142" s="2">
        <v>4</v>
      </c>
      <c r="C142" s="2">
        <v>91</v>
      </c>
      <c r="D142" s="2">
        <v>1970</v>
      </c>
    </row>
    <row r="143" spans="1:4" ht="18.75" customHeight="1" x14ac:dyDescent="0.3">
      <c r="A143" s="2">
        <v>67</v>
      </c>
      <c r="B143" s="2">
        <v>4</v>
      </c>
      <c r="C143" s="2">
        <v>91</v>
      </c>
      <c r="D143" s="2">
        <v>1965</v>
      </c>
    </row>
    <row r="144" spans="1:4" ht="18.75" customHeight="1" x14ac:dyDescent="0.3">
      <c r="A144" s="2">
        <v>67</v>
      </c>
      <c r="B144" s="2">
        <v>4</v>
      </c>
      <c r="C144" s="2">
        <v>91</v>
      </c>
      <c r="D144" s="2">
        <v>1965</v>
      </c>
    </row>
    <row r="145" spans="1:4" ht="18.75" customHeight="1" x14ac:dyDescent="0.3">
      <c r="A145" s="2">
        <v>75</v>
      </c>
      <c r="B145" s="2">
        <v>4</v>
      </c>
      <c r="C145" s="2">
        <v>107</v>
      </c>
      <c r="D145" s="2">
        <v>2205</v>
      </c>
    </row>
    <row r="146" spans="1:4" ht="18.75" customHeight="1" x14ac:dyDescent="0.3">
      <c r="A146" s="2">
        <v>67</v>
      </c>
      <c r="B146" s="2">
        <v>4</v>
      </c>
      <c r="C146" s="2">
        <v>91</v>
      </c>
      <c r="D146" s="2">
        <v>1995</v>
      </c>
    </row>
    <row r="147" spans="1:4" ht="18.75" customHeight="1" x14ac:dyDescent="0.3">
      <c r="A147" s="2">
        <v>68</v>
      </c>
      <c r="B147" s="2">
        <v>4</v>
      </c>
      <c r="C147" s="2">
        <v>91</v>
      </c>
      <c r="D147" s="2">
        <v>2025</v>
      </c>
    </row>
    <row r="148" spans="1:4" ht="18.75" customHeight="1" x14ac:dyDescent="0.3">
      <c r="A148" s="2">
        <v>70</v>
      </c>
      <c r="B148" s="2">
        <v>4</v>
      </c>
      <c r="C148" s="2">
        <v>108</v>
      </c>
      <c r="D148" s="2">
        <v>2245</v>
      </c>
    </row>
    <row r="149" spans="1:4" ht="18.75" customHeight="1" x14ac:dyDescent="0.3">
      <c r="A149" s="2">
        <v>97</v>
      </c>
      <c r="B149" s="2">
        <v>6</v>
      </c>
      <c r="C149" s="2">
        <v>199</v>
      </c>
      <c r="D149" s="2">
        <v>2774</v>
      </c>
    </row>
    <row r="150" spans="1:4" ht="18.75" customHeight="1" x14ac:dyDescent="0.3">
      <c r="A150" s="2">
        <v>90</v>
      </c>
      <c r="B150" s="2">
        <v>6</v>
      </c>
      <c r="C150" s="2">
        <v>199</v>
      </c>
      <c r="D150" s="2">
        <v>2648</v>
      </c>
    </row>
    <row r="151" spans="1:4" ht="18.75" customHeight="1" x14ac:dyDescent="0.3">
      <c r="A151" s="2">
        <v>95</v>
      </c>
      <c r="B151" s="2">
        <v>6</v>
      </c>
      <c r="C151" s="2">
        <v>198</v>
      </c>
      <c r="D151" s="2">
        <v>2833</v>
      </c>
    </row>
    <row r="152" spans="1:4" ht="18.75" customHeight="1" x14ac:dyDescent="0.3">
      <c r="A152" s="2">
        <v>85</v>
      </c>
      <c r="B152" s="2">
        <v>6</v>
      </c>
      <c r="C152" s="2">
        <v>200</v>
      </c>
      <c r="D152" s="2">
        <v>2587</v>
      </c>
    </row>
    <row r="153" spans="1:4" ht="18.75" customHeight="1" x14ac:dyDescent="0.3">
      <c r="A153" s="2">
        <v>225</v>
      </c>
      <c r="B153" s="2">
        <v>8</v>
      </c>
      <c r="C153" s="2">
        <v>455</v>
      </c>
      <c r="D153" s="2">
        <v>3086</v>
      </c>
    </row>
    <row r="154" spans="1:4" ht="18.75" customHeight="1" x14ac:dyDescent="0.3">
      <c r="A154" s="2">
        <v>225</v>
      </c>
      <c r="B154" s="2">
        <v>8</v>
      </c>
      <c r="C154" s="2">
        <v>455</v>
      </c>
      <c r="D154" s="2">
        <v>4425</v>
      </c>
    </row>
    <row r="155" spans="1:4" ht="18.75" customHeight="1" x14ac:dyDescent="0.3">
      <c r="A155" s="2">
        <v>220</v>
      </c>
      <c r="B155" s="2">
        <v>8</v>
      </c>
      <c r="C155" s="2">
        <v>454</v>
      </c>
      <c r="D155" s="2">
        <v>4354</v>
      </c>
    </row>
    <row r="156" spans="1:4" ht="18.75" customHeight="1" x14ac:dyDescent="0.3">
      <c r="A156" s="2">
        <v>215</v>
      </c>
      <c r="B156" s="2">
        <v>8</v>
      </c>
      <c r="C156" s="2">
        <v>440</v>
      </c>
      <c r="D156" s="2">
        <v>4312</v>
      </c>
    </row>
    <row r="157" spans="1:4" ht="18.75" customHeight="1" x14ac:dyDescent="0.3">
      <c r="A157" s="2">
        <v>190</v>
      </c>
      <c r="B157" s="2">
        <v>8</v>
      </c>
      <c r="C157" s="2">
        <v>390</v>
      </c>
      <c r="D157" s="2">
        <v>3850</v>
      </c>
    </row>
    <row r="158" spans="1:4" ht="18.75" customHeight="1" x14ac:dyDescent="0.3">
      <c r="A158" s="2">
        <v>210</v>
      </c>
      <c r="B158" s="2">
        <v>8</v>
      </c>
      <c r="C158" s="2">
        <v>318</v>
      </c>
      <c r="D158" s="2">
        <v>4382</v>
      </c>
    </row>
    <row r="159" spans="1:4" ht="18.75" customHeight="1" x14ac:dyDescent="0.3">
      <c r="A159" s="2">
        <v>170</v>
      </c>
      <c r="B159" s="2">
        <v>8</v>
      </c>
      <c r="C159" s="2">
        <v>383</v>
      </c>
      <c r="D159" s="2">
        <v>3563</v>
      </c>
    </row>
    <row r="160" spans="1:4" ht="18.75" customHeight="1" x14ac:dyDescent="0.3">
      <c r="A160" s="2">
        <v>215</v>
      </c>
      <c r="B160" s="2">
        <v>8</v>
      </c>
      <c r="C160" s="2">
        <v>360</v>
      </c>
      <c r="D160" s="2">
        <v>4615</v>
      </c>
    </row>
    <row r="161" spans="1:4" ht="18.75" customHeight="1" x14ac:dyDescent="0.3">
      <c r="A161" s="2">
        <v>200</v>
      </c>
      <c r="B161" s="2">
        <v>8</v>
      </c>
      <c r="C161" s="2">
        <v>307</v>
      </c>
      <c r="D161" s="2">
        <v>4376</v>
      </c>
    </row>
    <row r="162" spans="1:4" ht="18.75" customHeight="1" x14ac:dyDescent="0.3">
      <c r="A162" s="2">
        <v>198</v>
      </c>
      <c r="B162" s="2">
        <v>8</v>
      </c>
      <c r="C162" s="2">
        <v>429</v>
      </c>
      <c r="D162" s="2">
        <v>4341</v>
      </c>
    </row>
    <row r="163" spans="1:4" ht="18.75" customHeight="1" x14ac:dyDescent="0.3">
      <c r="A163" s="2">
        <v>165</v>
      </c>
      <c r="B163" s="2">
        <v>8</v>
      </c>
      <c r="C163" s="2">
        <v>350</v>
      </c>
      <c r="D163" s="2">
        <v>3693</v>
      </c>
    </row>
    <row r="164" spans="1:4" ht="18.75" customHeight="1" x14ac:dyDescent="0.3">
      <c r="A164" s="2">
        <v>160</v>
      </c>
      <c r="B164" s="2">
        <v>8</v>
      </c>
      <c r="C164" s="2">
        <v>340</v>
      </c>
      <c r="D164" s="2">
        <v>3609</v>
      </c>
    </row>
    <row r="165" spans="1:4" ht="18.75" customHeight="1" x14ac:dyDescent="0.3">
      <c r="A165" s="2">
        <v>150</v>
      </c>
      <c r="B165" s="2">
        <v>8</v>
      </c>
      <c r="C165" s="2">
        <v>304</v>
      </c>
      <c r="D165" s="2">
        <v>3433</v>
      </c>
    </row>
    <row r="166" spans="1:4" ht="18.75" customHeight="1" x14ac:dyDescent="0.3">
      <c r="A166" s="2">
        <v>150</v>
      </c>
      <c r="B166" s="2">
        <v>8</v>
      </c>
      <c r="C166" s="2">
        <v>318</v>
      </c>
      <c r="D166" s="2">
        <v>3436</v>
      </c>
    </row>
    <row r="167" spans="1:4" ht="18.75" customHeight="1" x14ac:dyDescent="0.3">
      <c r="A167" s="2">
        <v>193</v>
      </c>
      <c r="B167" s="2">
        <v>8</v>
      </c>
      <c r="C167" s="2">
        <v>304</v>
      </c>
      <c r="D167" s="2">
        <v>4732</v>
      </c>
    </row>
    <row r="168" spans="1:4" ht="18.75" customHeight="1" x14ac:dyDescent="0.3">
      <c r="A168" s="2">
        <v>140</v>
      </c>
      <c r="B168" s="2">
        <v>8</v>
      </c>
      <c r="C168" s="2">
        <v>302</v>
      </c>
      <c r="D168" s="2">
        <v>3449</v>
      </c>
    </row>
    <row r="169" spans="1:4" ht="18.75" customHeight="1" x14ac:dyDescent="0.3">
      <c r="A169" s="2">
        <v>150</v>
      </c>
      <c r="B169" s="2">
        <v>8</v>
      </c>
      <c r="C169" s="2">
        <v>400</v>
      </c>
      <c r="D169" s="2">
        <v>3761</v>
      </c>
    </row>
    <row r="170" spans="1:4" ht="18.75" customHeight="1" x14ac:dyDescent="0.3">
      <c r="A170" s="2">
        <v>130</v>
      </c>
      <c r="B170" s="2">
        <v>8</v>
      </c>
      <c r="C170" s="2">
        <v>307</v>
      </c>
      <c r="D170" s="2">
        <v>3504</v>
      </c>
    </row>
    <row r="171" spans="1:4" ht="18.75" customHeight="1" x14ac:dyDescent="0.3">
      <c r="A171" s="2">
        <v>90</v>
      </c>
      <c r="B171" s="2">
        <v>4</v>
      </c>
      <c r="C171" s="2">
        <v>140</v>
      </c>
      <c r="D171" s="2">
        <v>2264</v>
      </c>
    </row>
    <row r="172" spans="1:4" ht="18.75" customHeight="1" x14ac:dyDescent="0.3">
      <c r="A172" s="2">
        <v>86</v>
      </c>
      <c r="B172" s="2">
        <v>4</v>
      </c>
      <c r="C172" s="2">
        <v>122</v>
      </c>
      <c r="D172" s="2">
        <v>2220</v>
      </c>
    </row>
    <row r="173" spans="1:4" ht="18.75" customHeight="1" x14ac:dyDescent="0.3">
      <c r="A173" s="2">
        <v>70</v>
      </c>
      <c r="B173" s="2">
        <v>4</v>
      </c>
      <c r="C173" s="2">
        <v>91</v>
      </c>
      <c r="D173" s="2">
        <v>1955</v>
      </c>
    </row>
    <row r="174" spans="1:4" ht="18.75" customHeight="1" x14ac:dyDescent="0.3">
      <c r="A174" s="2">
        <v>72</v>
      </c>
      <c r="B174" s="2">
        <v>4</v>
      </c>
      <c r="C174" s="2">
        <v>140</v>
      </c>
      <c r="D174" s="2">
        <v>2408</v>
      </c>
    </row>
    <row r="175" spans="1:4" ht="18.75" customHeight="1" x14ac:dyDescent="0.3">
      <c r="A175" s="2">
        <v>100</v>
      </c>
      <c r="B175" s="2">
        <v>6</v>
      </c>
      <c r="C175" s="2">
        <v>232</v>
      </c>
      <c r="D175" s="2">
        <v>2634</v>
      </c>
    </row>
    <row r="176" spans="1:4" ht="18.75" customHeight="1" x14ac:dyDescent="0.3">
      <c r="A176" s="2">
        <v>110</v>
      </c>
      <c r="B176" s="2">
        <v>6</v>
      </c>
      <c r="C176" s="2">
        <v>258</v>
      </c>
      <c r="D176" s="2">
        <v>2962</v>
      </c>
    </row>
    <row r="177" spans="1:4" ht="18.75" customHeight="1" x14ac:dyDescent="0.3">
      <c r="A177" s="2">
        <v>105</v>
      </c>
      <c r="B177" s="2">
        <v>6</v>
      </c>
      <c r="C177" s="2">
        <v>225</v>
      </c>
      <c r="D177" s="2">
        <v>3439</v>
      </c>
    </row>
    <row r="178" spans="1:4" ht="18.75" customHeight="1" x14ac:dyDescent="0.3">
      <c r="A178" s="2">
        <v>100</v>
      </c>
      <c r="B178" s="2">
        <v>6</v>
      </c>
      <c r="C178" s="2">
        <v>250</v>
      </c>
      <c r="D178" s="2">
        <v>3282</v>
      </c>
    </row>
    <row r="179" spans="1:4" ht="18.75" customHeight="1" x14ac:dyDescent="0.3">
      <c r="A179" s="2">
        <v>100</v>
      </c>
      <c r="B179" s="2">
        <v>6</v>
      </c>
      <c r="C179" s="2">
        <v>232</v>
      </c>
      <c r="D179" s="2">
        <v>3288</v>
      </c>
    </row>
    <row r="180" spans="1:4" ht="18.75" customHeight="1" x14ac:dyDescent="0.3">
      <c r="A180" s="2">
        <v>100</v>
      </c>
      <c r="B180" s="2">
        <v>6</v>
      </c>
      <c r="C180" s="2">
        <v>250</v>
      </c>
      <c r="D180" s="2">
        <v>3329</v>
      </c>
    </row>
    <row r="181" spans="1:4" ht="18.75" customHeight="1" x14ac:dyDescent="0.3">
      <c r="A181" s="2">
        <v>88</v>
      </c>
      <c r="B181" s="2">
        <v>6</v>
      </c>
      <c r="C181" s="2">
        <v>250</v>
      </c>
      <c r="D181" s="2">
        <v>3139</v>
      </c>
    </row>
    <row r="182" spans="1:4" ht="18.75" customHeight="1" x14ac:dyDescent="0.3">
      <c r="A182" s="2">
        <v>88</v>
      </c>
      <c r="B182" s="2">
        <v>6</v>
      </c>
      <c r="C182" s="2">
        <v>250</v>
      </c>
      <c r="D182" s="2">
        <v>3302</v>
      </c>
    </row>
    <row r="183" spans="1:4" ht="18.75" customHeight="1" x14ac:dyDescent="0.3">
      <c r="A183" s="2">
        <v>165</v>
      </c>
      <c r="B183" s="2">
        <v>8</v>
      </c>
      <c r="C183" s="2">
        <v>350</v>
      </c>
      <c r="D183" s="2">
        <v>4209</v>
      </c>
    </row>
    <row r="184" spans="1:4" ht="18.75" customHeight="1" x14ac:dyDescent="0.3">
      <c r="A184" s="2">
        <v>175</v>
      </c>
      <c r="B184" s="2">
        <v>8</v>
      </c>
      <c r="C184" s="2">
        <v>400</v>
      </c>
      <c r="D184" s="2">
        <v>4464</v>
      </c>
    </row>
    <row r="185" spans="1:4" ht="18.75" customHeight="1" x14ac:dyDescent="0.3">
      <c r="A185" s="2">
        <v>153</v>
      </c>
      <c r="B185" s="2">
        <v>8</v>
      </c>
      <c r="C185" s="2">
        <v>351</v>
      </c>
      <c r="D185" s="2">
        <v>4154</v>
      </c>
    </row>
    <row r="186" spans="1:4" ht="18.75" customHeight="1" x14ac:dyDescent="0.3">
      <c r="A186" s="2">
        <v>150</v>
      </c>
      <c r="B186" s="2">
        <v>8</v>
      </c>
      <c r="C186" s="2">
        <v>318</v>
      </c>
      <c r="D186" s="2">
        <v>4096</v>
      </c>
    </row>
    <row r="187" spans="1:4" ht="18.75" customHeight="1" x14ac:dyDescent="0.3">
      <c r="A187" s="2">
        <v>180</v>
      </c>
      <c r="B187" s="2">
        <v>8</v>
      </c>
      <c r="C187" s="2">
        <v>383</v>
      </c>
      <c r="D187" s="2">
        <v>4955</v>
      </c>
    </row>
    <row r="188" spans="1:4" ht="18.75" customHeight="1" x14ac:dyDescent="0.3">
      <c r="A188" s="2">
        <v>170</v>
      </c>
      <c r="B188" s="2">
        <v>8</v>
      </c>
      <c r="C188" s="2">
        <v>400</v>
      </c>
      <c r="D188" s="2">
        <v>4746</v>
      </c>
    </row>
    <row r="189" spans="1:4" ht="18.75" customHeight="1" x14ac:dyDescent="0.3">
      <c r="A189" s="2">
        <v>175</v>
      </c>
      <c r="B189" s="2">
        <v>8</v>
      </c>
      <c r="C189" s="2">
        <v>400</v>
      </c>
      <c r="D189" s="2">
        <v>5140</v>
      </c>
    </row>
    <row r="190" spans="1:4" ht="18.75" customHeight="1" x14ac:dyDescent="0.3">
      <c r="A190" s="2">
        <v>86</v>
      </c>
      <c r="B190" s="2">
        <v>4</v>
      </c>
      <c r="C190" s="2">
        <v>122</v>
      </c>
      <c r="D190" s="2">
        <v>2226</v>
      </c>
    </row>
    <row r="191" spans="1:4" ht="18.75" customHeight="1" x14ac:dyDescent="0.3">
      <c r="A191" s="2">
        <v>80</v>
      </c>
      <c r="B191" s="2">
        <v>4</v>
      </c>
      <c r="C191" s="8">
        <v>97.5</v>
      </c>
      <c r="D191" s="2">
        <v>2126</v>
      </c>
    </row>
    <row r="192" spans="1:4" ht="18.75" customHeight="1" x14ac:dyDescent="0.3">
      <c r="A192" s="2">
        <v>90</v>
      </c>
      <c r="B192" s="2">
        <v>4</v>
      </c>
      <c r="C192" s="2">
        <v>140</v>
      </c>
      <c r="D192" s="2">
        <v>2408</v>
      </c>
    </row>
    <row r="193" spans="1:4" ht="18.75" customHeight="1" x14ac:dyDescent="0.3">
      <c r="A193" s="2">
        <v>80</v>
      </c>
      <c r="B193" s="2">
        <v>4</v>
      </c>
      <c r="C193" s="2">
        <v>98</v>
      </c>
      <c r="D193" s="2">
        <v>2164</v>
      </c>
    </row>
    <row r="194" spans="1:4" ht="18.75" customHeight="1" x14ac:dyDescent="0.3">
      <c r="A194" s="2">
        <v>86</v>
      </c>
      <c r="B194" s="2">
        <v>4</v>
      </c>
      <c r="C194" s="2">
        <v>122</v>
      </c>
      <c r="D194" s="2">
        <v>2395</v>
      </c>
    </row>
    <row r="195" spans="1:4" ht="18.75" customHeight="1" x14ac:dyDescent="0.3">
      <c r="A195" s="2">
        <v>208</v>
      </c>
      <c r="B195" s="2">
        <v>8</v>
      </c>
      <c r="C195" s="2">
        <v>429</v>
      </c>
      <c r="D195" s="2">
        <v>4633</v>
      </c>
    </row>
    <row r="196" spans="1:4" ht="18.75" customHeight="1" x14ac:dyDescent="0.3">
      <c r="A196" s="2">
        <v>190</v>
      </c>
      <c r="B196" s="2">
        <v>8</v>
      </c>
      <c r="C196" s="2">
        <v>400</v>
      </c>
      <c r="D196" s="2">
        <v>4422</v>
      </c>
    </row>
    <row r="197" spans="1:4" ht="18.75" customHeight="1" x14ac:dyDescent="0.3">
      <c r="A197" s="2">
        <v>150</v>
      </c>
      <c r="B197" s="2">
        <v>8</v>
      </c>
      <c r="C197" s="2">
        <v>304</v>
      </c>
      <c r="D197" s="2">
        <v>3672</v>
      </c>
    </row>
    <row r="198" spans="1:4" ht="18.75" customHeight="1" x14ac:dyDescent="0.3">
      <c r="A198" s="2">
        <v>175</v>
      </c>
      <c r="B198" s="2">
        <v>8</v>
      </c>
      <c r="C198" s="2">
        <v>400</v>
      </c>
      <c r="D198" s="2">
        <v>4385</v>
      </c>
    </row>
    <row r="199" spans="1:4" ht="18.75" customHeight="1" x14ac:dyDescent="0.3">
      <c r="A199" s="2">
        <v>165</v>
      </c>
      <c r="B199" s="2">
        <v>8</v>
      </c>
      <c r="C199" s="2">
        <v>350</v>
      </c>
      <c r="D199" s="2">
        <v>4274</v>
      </c>
    </row>
    <row r="200" spans="1:4" ht="18.75" customHeight="1" x14ac:dyDescent="0.3">
      <c r="A200" s="2">
        <v>150</v>
      </c>
      <c r="B200" s="2">
        <v>8</v>
      </c>
      <c r="C200" s="2">
        <v>304</v>
      </c>
      <c r="D200" s="2">
        <v>3892</v>
      </c>
    </row>
    <row r="201" spans="1:4" ht="18.75" customHeight="1" x14ac:dyDescent="0.3">
      <c r="A201" s="2">
        <v>153</v>
      </c>
      <c r="B201" s="2">
        <v>8</v>
      </c>
      <c r="C201" s="2">
        <v>351</v>
      </c>
      <c r="D201" s="2">
        <v>4129</v>
      </c>
    </row>
    <row r="202" spans="1:4" ht="18.75" customHeight="1" x14ac:dyDescent="0.3">
      <c r="A202" s="2">
        <v>150</v>
      </c>
      <c r="B202" s="2">
        <v>8</v>
      </c>
      <c r="C202" s="2">
        <v>318</v>
      </c>
      <c r="D202" s="2">
        <v>4077</v>
      </c>
    </row>
    <row r="203" spans="1:4" ht="18.75" customHeight="1" x14ac:dyDescent="0.3">
      <c r="A203" s="2">
        <v>150</v>
      </c>
      <c r="B203" s="2">
        <v>8</v>
      </c>
      <c r="C203" s="2">
        <v>318</v>
      </c>
      <c r="D203" s="2">
        <v>4135</v>
      </c>
    </row>
    <row r="204" spans="1:4" ht="18.75" customHeight="1" x14ac:dyDescent="0.3">
      <c r="A204" s="2">
        <v>160</v>
      </c>
      <c r="B204" s="2">
        <v>8</v>
      </c>
      <c r="C204" s="2">
        <v>350</v>
      </c>
      <c r="D204" s="2">
        <v>4456</v>
      </c>
    </row>
    <row r="205" spans="1:4" ht="18.75" customHeight="1" x14ac:dyDescent="0.3">
      <c r="A205" s="2">
        <v>155</v>
      </c>
      <c r="B205" s="2">
        <v>8</v>
      </c>
      <c r="C205" s="2">
        <v>350</v>
      </c>
      <c r="D205" s="2">
        <v>4502</v>
      </c>
    </row>
    <row r="206" spans="1:4" ht="18.75" customHeight="1" x14ac:dyDescent="0.3">
      <c r="A206" s="2">
        <v>140</v>
      </c>
      <c r="B206" s="2">
        <v>8</v>
      </c>
      <c r="C206" s="2">
        <v>302</v>
      </c>
      <c r="D206" s="2">
        <v>4294</v>
      </c>
    </row>
    <row r="207" spans="1:4" ht="18.75" customHeight="1" x14ac:dyDescent="0.3">
      <c r="A207" s="2">
        <v>130</v>
      </c>
      <c r="B207" s="2">
        <v>8</v>
      </c>
      <c r="C207" s="2">
        <v>307</v>
      </c>
      <c r="D207" s="2">
        <v>4098</v>
      </c>
    </row>
    <row r="208" spans="1:4" ht="18.75" customHeight="1" x14ac:dyDescent="0.3">
      <c r="A208" s="2">
        <v>85</v>
      </c>
      <c r="B208" s="2">
        <v>4</v>
      </c>
      <c r="C208" s="2">
        <v>122</v>
      </c>
      <c r="D208" s="2">
        <v>2310</v>
      </c>
    </row>
    <row r="209" spans="1:4" ht="18.75" customHeight="1" x14ac:dyDescent="0.3">
      <c r="A209" s="2">
        <v>72</v>
      </c>
      <c r="B209" s="2">
        <v>4</v>
      </c>
      <c r="C209" s="2">
        <v>140</v>
      </c>
      <c r="D209" s="2">
        <v>2401</v>
      </c>
    </row>
    <row r="210" spans="1:4" ht="18.75" customHeight="1" x14ac:dyDescent="0.3">
      <c r="A210" s="2">
        <v>107</v>
      </c>
      <c r="B210" s="2">
        <v>6</v>
      </c>
      <c r="C210" s="2">
        <v>155</v>
      </c>
      <c r="D210" s="2">
        <v>2472</v>
      </c>
    </row>
    <row r="211" spans="1:4" ht="18.75" customHeight="1" x14ac:dyDescent="0.3">
      <c r="A211" s="2">
        <v>100</v>
      </c>
      <c r="B211" s="2">
        <v>6</v>
      </c>
      <c r="C211" s="2">
        <v>232</v>
      </c>
      <c r="D211" s="2">
        <v>2789</v>
      </c>
    </row>
    <row r="212" spans="1:4" ht="18.75" customHeight="1" x14ac:dyDescent="0.3">
      <c r="A212" s="2">
        <v>100</v>
      </c>
      <c r="B212" s="2">
        <v>6</v>
      </c>
      <c r="C212" s="2">
        <v>232</v>
      </c>
      <c r="D212" s="2">
        <v>2945</v>
      </c>
    </row>
    <row r="213" spans="1:4" ht="18.75" customHeight="1" x14ac:dyDescent="0.3">
      <c r="A213" s="2">
        <v>105</v>
      </c>
      <c r="B213" s="2">
        <v>6</v>
      </c>
      <c r="C213" s="2">
        <v>225</v>
      </c>
      <c r="D213" s="2">
        <v>3121</v>
      </c>
    </row>
    <row r="214" spans="1:4" ht="18.75" customHeight="1" x14ac:dyDescent="0.3">
      <c r="A214" s="2">
        <v>95</v>
      </c>
      <c r="B214" s="2">
        <v>6</v>
      </c>
      <c r="C214" s="2">
        <v>198</v>
      </c>
      <c r="D214" s="2">
        <v>2904</v>
      </c>
    </row>
    <row r="215" spans="1:4" ht="18.75" customHeight="1" x14ac:dyDescent="0.3">
      <c r="A215" s="2">
        <v>100</v>
      </c>
      <c r="B215" s="2">
        <v>6</v>
      </c>
      <c r="C215" s="2">
        <v>250</v>
      </c>
      <c r="D215" s="2">
        <v>3278</v>
      </c>
    </row>
    <row r="216" spans="1:4" ht="18.75" customHeight="1" x14ac:dyDescent="0.3">
      <c r="A216" s="2">
        <v>88</v>
      </c>
      <c r="B216" s="2">
        <v>6</v>
      </c>
      <c r="C216" s="2">
        <v>250</v>
      </c>
      <c r="D216" s="2">
        <v>3021</v>
      </c>
    </row>
    <row r="217" spans="1:4" ht="18.75" customHeight="1" x14ac:dyDescent="0.3">
      <c r="A217" s="2">
        <v>230</v>
      </c>
      <c r="B217" s="2">
        <v>8</v>
      </c>
      <c r="C217" s="2">
        <v>400</v>
      </c>
      <c r="D217" s="2">
        <v>4278</v>
      </c>
    </row>
    <row r="218" spans="1:4" ht="18.75" customHeight="1" x14ac:dyDescent="0.3">
      <c r="A218" s="2">
        <v>180</v>
      </c>
      <c r="B218" s="2">
        <v>8</v>
      </c>
      <c r="C218" s="2">
        <v>350</v>
      </c>
      <c r="D218" s="2">
        <v>3664</v>
      </c>
    </row>
    <row r="219" spans="1:4" ht="18.75" customHeight="1" x14ac:dyDescent="0.3">
      <c r="A219" s="2">
        <v>175</v>
      </c>
      <c r="B219" s="2">
        <v>8</v>
      </c>
      <c r="C219" s="2">
        <v>360</v>
      </c>
      <c r="D219" s="2">
        <v>3821</v>
      </c>
    </row>
    <row r="220" spans="1:4" ht="18.75" customHeight="1" x14ac:dyDescent="0.3">
      <c r="A220" s="2">
        <v>225</v>
      </c>
      <c r="B220" s="2">
        <v>8</v>
      </c>
      <c r="C220" s="2">
        <v>455</v>
      </c>
      <c r="D220" s="2">
        <v>4951</v>
      </c>
    </row>
    <row r="221" spans="1:4" ht="18.75" customHeight="1" x14ac:dyDescent="0.3">
      <c r="A221" s="2">
        <v>215</v>
      </c>
      <c r="B221" s="2">
        <v>8</v>
      </c>
      <c r="C221" s="2">
        <v>440</v>
      </c>
      <c r="D221" s="2">
        <v>4735</v>
      </c>
    </row>
    <row r="222" spans="1:4" ht="18.75" customHeight="1" x14ac:dyDescent="0.3">
      <c r="A222" s="2">
        <v>150</v>
      </c>
      <c r="B222" s="2">
        <v>8</v>
      </c>
      <c r="C222" s="2">
        <v>318</v>
      </c>
      <c r="D222" s="2">
        <v>3399</v>
      </c>
    </row>
    <row r="223" spans="1:4" ht="18.75" customHeight="1" x14ac:dyDescent="0.3">
      <c r="A223" s="2">
        <v>175</v>
      </c>
      <c r="B223" s="2">
        <v>8</v>
      </c>
      <c r="C223" s="2">
        <v>350</v>
      </c>
      <c r="D223" s="2">
        <v>4100</v>
      </c>
    </row>
    <row r="224" spans="1:4" ht="18.75" customHeight="1" x14ac:dyDescent="0.3">
      <c r="A224" s="2">
        <v>150</v>
      </c>
      <c r="B224" s="2">
        <v>8</v>
      </c>
      <c r="C224" s="2">
        <v>304</v>
      </c>
      <c r="D224" s="2">
        <v>3672</v>
      </c>
    </row>
    <row r="225" spans="1:4" ht="18.75" customHeight="1" x14ac:dyDescent="0.3">
      <c r="A225" s="2">
        <v>198</v>
      </c>
      <c r="B225" s="2">
        <v>8</v>
      </c>
      <c r="C225" s="2">
        <v>429</v>
      </c>
      <c r="D225" s="2">
        <v>4952</v>
      </c>
    </row>
    <row r="226" spans="1:4" ht="18.75" customHeight="1" x14ac:dyDescent="0.3">
      <c r="A226" s="2">
        <v>180</v>
      </c>
      <c r="B226" s="2">
        <v>8</v>
      </c>
      <c r="C226" s="2">
        <v>350</v>
      </c>
      <c r="D226" s="2">
        <v>4499</v>
      </c>
    </row>
    <row r="227" spans="1:4" ht="18.75" customHeight="1" x14ac:dyDescent="0.3">
      <c r="A227" s="2">
        <v>150</v>
      </c>
      <c r="B227" s="2">
        <v>8</v>
      </c>
      <c r="C227" s="2">
        <v>318</v>
      </c>
      <c r="D227" s="2">
        <v>3777</v>
      </c>
    </row>
    <row r="228" spans="1:4" ht="18.75" customHeight="1" x14ac:dyDescent="0.3">
      <c r="A228" s="2">
        <v>170</v>
      </c>
      <c r="B228" s="2">
        <v>8</v>
      </c>
      <c r="C228" s="2">
        <v>360</v>
      </c>
      <c r="D228" s="2">
        <v>4654</v>
      </c>
    </row>
    <row r="229" spans="1:4" ht="18.75" customHeight="1" x14ac:dyDescent="0.3">
      <c r="A229" s="2">
        <v>145</v>
      </c>
      <c r="B229" s="2">
        <v>8</v>
      </c>
      <c r="C229" s="2">
        <v>350</v>
      </c>
      <c r="D229" s="2">
        <v>3988</v>
      </c>
    </row>
    <row r="230" spans="1:4" ht="18.75" customHeight="1" x14ac:dyDescent="0.3">
      <c r="A230" s="2">
        <v>158</v>
      </c>
      <c r="B230" s="2">
        <v>8</v>
      </c>
      <c r="C230" s="2">
        <v>351</v>
      </c>
      <c r="D230" s="2">
        <v>4363</v>
      </c>
    </row>
    <row r="231" spans="1:4" ht="18.75" customHeight="1" x14ac:dyDescent="0.3">
      <c r="A231" s="2">
        <v>145</v>
      </c>
      <c r="B231" s="2">
        <v>8</v>
      </c>
      <c r="C231" s="2">
        <v>350</v>
      </c>
      <c r="D231" s="2">
        <v>4082</v>
      </c>
    </row>
    <row r="232" spans="1:4" ht="18.75" customHeight="1" x14ac:dyDescent="0.3">
      <c r="A232" s="2">
        <v>150</v>
      </c>
      <c r="B232" s="2">
        <v>8</v>
      </c>
      <c r="C232" s="2">
        <v>318</v>
      </c>
      <c r="D232" s="2">
        <v>4237</v>
      </c>
    </row>
    <row r="233" spans="1:4" ht="18.75" customHeight="1" x14ac:dyDescent="0.3">
      <c r="A233" s="2">
        <v>167</v>
      </c>
      <c r="B233" s="2">
        <v>8</v>
      </c>
      <c r="C233" s="2">
        <v>400</v>
      </c>
      <c r="D233" s="2">
        <v>4906</v>
      </c>
    </row>
    <row r="234" spans="1:4" ht="18.75" customHeight="1" x14ac:dyDescent="0.3">
      <c r="A234" s="2">
        <v>137</v>
      </c>
      <c r="B234" s="2">
        <v>8</v>
      </c>
      <c r="C234" s="2">
        <v>302</v>
      </c>
      <c r="D234" s="2">
        <v>4042</v>
      </c>
    </row>
    <row r="235" spans="1:4" ht="18.75" customHeight="1" x14ac:dyDescent="0.3">
      <c r="A235" s="2">
        <v>150</v>
      </c>
      <c r="B235" s="2">
        <v>8</v>
      </c>
      <c r="C235" s="2">
        <v>400</v>
      </c>
      <c r="D235" s="2">
        <v>4464</v>
      </c>
    </row>
    <row r="236" spans="1:4" ht="18.75" customHeight="1" x14ac:dyDescent="0.3">
      <c r="A236" s="2">
        <v>150</v>
      </c>
      <c r="B236" s="2">
        <v>8</v>
      </c>
      <c r="C236" s="2">
        <v>400</v>
      </c>
      <c r="D236" s="2">
        <v>4997</v>
      </c>
    </row>
    <row r="237" spans="1:4" ht="18.75" customHeight="1" x14ac:dyDescent="0.3">
      <c r="A237" s="2">
        <v>75</v>
      </c>
      <c r="B237" s="2">
        <v>4</v>
      </c>
      <c r="C237" s="2">
        <v>90</v>
      </c>
      <c r="D237" s="2">
        <v>2125</v>
      </c>
    </row>
    <row r="238" spans="1:4" ht="18.75" customHeight="1" x14ac:dyDescent="0.3">
      <c r="A238" s="2">
        <v>80</v>
      </c>
      <c r="B238" s="2">
        <v>4</v>
      </c>
      <c r="C238" s="2">
        <v>122</v>
      </c>
      <c r="D238" s="2">
        <v>2451</v>
      </c>
    </row>
    <row r="239" spans="1:4" ht="18.75" customHeight="1" x14ac:dyDescent="0.3">
      <c r="A239" s="2">
        <v>75</v>
      </c>
      <c r="B239" s="2">
        <v>4</v>
      </c>
      <c r="C239" s="2">
        <v>140</v>
      </c>
      <c r="D239" s="2">
        <v>2542</v>
      </c>
    </row>
    <row r="240" spans="1:4" ht="18.75" customHeight="1" x14ac:dyDescent="0.3">
      <c r="A240" s="2">
        <v>100</v>
      </c>
      <c r="B240" s="2">
        <v>6</v>
      </c>
      <c r="C240" s="2">
        <v>232</v>
      </c>
      <c r="D240" s="2">
        <v>2901</v>
      </c>
    </row>
    <row r="241" spans="1:4" ht="18.75" customHeight="1" x14ac:dyDescent="0.3">
      <c r="A241" s="2">
        <v>95</v>
      </c>
      <c r="B241" s="2">
        <v>6</v>
      </c>
      <c r="C241" s="2">
        <v>198</v>
      </c>
      <c r="D241" s="2">
        <v>3102</v>
      </c>
    </row>
    <row r="242" spans="1:4" ht="18.75" customHeight="1" x14ac:dyDescent="0.3">
      <c r="A242" s="2">
        <v>110</v>
      </c>
      <c r="B242" s="2">
        <v>6</v>
      </c>
      <c r="C242" s="2">
        <v>258</v>
      </c>
      <c r="D242" s="2">
        <v>3632</v>
      </c>
    </row>
    <row r="243" spans="1:4" ht="18.75" customHeight="1" x14ac:dyDescent="0.3">
      <c r="A243" s="2">
        <v>100</v>
      </c>
      <c r="B243" s="2">
        <v>6</v>
      </c>
      <c r="C243" s="2">
        <v>250</v>
      </c>
      <c r="D243" s="2">
        <v>3336</v>
      </c>
    </row>
    <row r="244" spans="1:4" ht="18.75" customHeight="1" x14ac:dyDescent="0.3">
      <c r="A244" s="2">
        <v>105</v>
      </c>
      <c r="B244" s="2">
        <v>6</v>
      </c>
      <c r="C244" s="2">
        <v>225</v>
      </c>
      <c r="D244" s="2">
        <v>3613</v>
      </c>
    </row>
    <row r="245" spans="1:4" ht="18.75" customHeight="1" x14ac:dyDescent="0.3">
      <c r="A245" s="2">
        <v>100</v>
      </c>
      <c r="B245" s="2">
        <v>6</v>
      </c>
      <c r="C245" s="2">
        <v>250</v>
      </c>
      <c r="D245" s="2">
        <v>3781</v>
      </c>
    </row>
    <row r="246" spans="1:4" ht="18.75" customHeight="1" x14ac:dyDescent="0.3">
      <c r="A246" s="2">
        <v>150</v>
      </c>
      <c r="B246" s="2">
        <v>8</v>
      </c>
      <c r="C246" s="2">
        <v>304</v>
      </c>
      <c r="D246" s="2">
        <v>4257</v>
      </c>
    </row>
    <row r="247" spans="1:4" ht="18.75" customHeight="1" x14ac:dyDescent="0.3">
      <c r="A247" s="2">
        <v>140</v>
      </c>
      <c r="B247" s="2">
        <v>8</v>
      </c>
      <c r="C247" s="2">
        <v>302</v>
      </c>
      <c r="D247" s="2">
        <v>4141</v>
      </c>
    </row>
    <row r="248" spans="1:4" ht="18.75" customHeight="1" x14ac:dyDescent="0.3">
      <c r="A248" s="2">
        <v>150</v>
      </c>
      <c r="B248" s="2">
        <v>8</v>
      </c>
      <c r="C248" s="2">
        <v>318</v>
      </c>
      <c r="D248" s="2">
        <v>4457</v>
      </c>
    </row>
    <row r="249" spans="1:4" ht="18.75" customHeight="1" x14ac:dyDescent="0.3">
      <c r="A249" s="2">
        <v>150</v>
      </c>
      <c r="B249" s="2">
        <v>8</v>
      </c>
      <c r="C249" s="2">
        <v>350</v>
      </c>
      <c r="D249" s="2">
        <v>4699</v>
      </c>
    </row>
    <row r="250" spans="1:4" ht="18.75" customHeight="1" x14ac:dyDescent="0.3">
      <c r="A250" s="2">
        <v>140</v>
      </c>
      <c r="B250" s="2">
        <v>8</v>
      </c>
      <c r="C250" s="2">
        <v>302</v>
      </c>
      <c r="D250" s="2">
        <v>4638</v>
      </c>
    </row>
    <row r="251" spans="1:4" ht="18.75" customHeight="1" x14ac:dyDescent="0.3">
      <c r="A251" s="2">
        <v>83</v>
      </c>
      <c r="B251" s="2">
        <v>4</v>
      </c>
      <c r="C251" s="2">
        <v>140</v>
      </c>
      <c r="D251" s="2">
        <v>2639</v>
      </c>
    </row>
    <row r="252" spans="1:4" ht="18.75" customHeight="1" x14ac:dyDescent="0.3">
      <c r="A252" s="2">
        <v>78</v>
      </c>
      <c r="B252" s="2">
        <v>4</v>
      </c>
      <c r="C252" s="2">
        <v>140</v>
      </c>
      <c r="D252" s="2">
        <v>2592</v>
      </c>
    </row>
    <row r="253" spans="1:4" ht="18.75" customHeight="1" x14ac:dyDescent="0.3">
      <c r="A253" s="2">
        <v>110</v>
      </c>
      <c r="B253" s="2">
        <v>6</v>
      </c>
      <c r="C253" s="2">
        <v>231</v>
      </c>
      <c r="D253" s="2">
        <v>3039</v>
      </c>
    </row>
    <row r="254" spans="1:4" ht="18.75" customHeight="1" x14ac:dyDescent="0.3">
      <c r="A254" s="2">
        <v>100</v>
      </c>
      <c r="B254" s="2">
        <v>6</v>
      </c>
      <c r="C254" s="2">
        <v>232</v>
      </c>
      <c r="D254" s="2">
        <v>2914</v>
      </c>
    </row>
    <row r="255" spans="1:4" ht="18.75" customHeight="1" x14ac:dyDescent="0.3">
      <c r="A255" s="2">
        <v>97</v>
      </c>
      <c r="B255" s="2">
        <v>6</v>
      </c>
      <c r="C255" s="2">
        <v>171</v>
      </c>
      <c r="D255" s="2">
        <v>2984</v>
      </c>
    </row>
    <row r="256" spans="1:4" ht="18.75" customHeight="1" x14ac:dyDescent="0.3">
      <c r="A256" s="2">
        <v>105</v>
      </c>
      <c r="B256" s="2">
        <v>6</v>
      </c>
      <c r="C256" s="2">
        <v>250</v>
      </c>
      <c r="D256" s="2">
        <v>3459</v>
      </c>
    </row>
    <row r="257" spans="1:4" ht="18.75" customHeight="1" x14ac:dyDescent="0.3">
      <c r="A257" s="2">
        <v>110</v>
      </c>
      <c r="B257" s="2">
        <v>6</v>
      </c>
      <c r="C257" s="2">
        <v>258</v>
      </c>
      <c r="D257" s="2">
        <v>3730</v>
      </c>
    </row>
    <row r="258" spans="1:4" ht="18.75" customHeight="1" x14ac:dyDescent="0.3">
      <c r="A258" s="2">
        <v>95</v>
      </c>
      <c r="B258" s="2">
        <v>6</v>
      </c>
      <c r="C258" s="2">
        <v>225</v>
      </c>
      <c r="D258" s="2">
        <v>3264</v>
      </c>
    </row>
    <row r="259" spans="1:4" ht="18.75" customHeight="1" x14ac:dyDescent="0.3">
      <c r="A259" s="2">
        <v>110</v>
      </c>
      <c r="B259" s="2">
        <v>6</v>
      </c>
      <c r="C259" s="2">
        <v>231</v>
      </c>
      <c r="D259" s="2">
        <v>3907</v>
      </c>
    </row>
    <row r="260" spans="1:4" ht="18.75" customHeight="1" x14ac:dyDescent="0.3">
      <c r="A260" s="2">
        <v>90</v>
      </c>
      <c r="B260" s="2">
        <v>6</v>
      </c>
      <c r="C260" s="2">
        <v>232</v>
      </c>
      <c r="D260" s="2">
        <v>3211</v>
      </c>
    </row>
    <row r="261" spans="1:4" ht="18.75" customHeight="1" x14ac:dyDescent="0.3">
      <c r="A261" s="2">
        <v>105</v>
      </c>
      <c r="B261" s="2">
        <v>6</v>
      </c>
      <c r="C261" s="2">
        <v>250</v>
      </c>
      <c r="D261" s="2">
        <v>3897</v>
      </c>
    </row>
    <row r="262" spans="1:4" ht="18.75" customHeight="1" x14ac:dyDescent="0.3">
      <c r="A262" s="2">
        <v>95</v>
      </c>
      <c r="B262" s="2">
        <v>6</v>
      </c>
      <c r="C262" s="2">
        <v>225</v>
      </c>
      <c r="D262" s="2">
        <v>3785</v>
      </c>
    </row>
    <row r="263" spans="1:4" ht="18.75" customHeight="1" x14ac:dyDescent="0.3">
      <c r="A263" s="2">
        <v>72</v>
      </c>
      <c r="B263" s="2">
        <v>6</v>
      </c>
      <c r="C263" s="2">
        <v>250</v>
      </c>
      <c r="D263" s="2">
        <v>3158</v>
      </c>
    </row>
    <row r="264" spans="1:4" ht="18.75" customHeight="1" x14ac:dyDescent="0.3">
      <c r="A264" s="2">
        <v>72</v>
      </c>
      <c r="B264" s="2">
        <v>6</v>
      </c>
      <c r="C264" s="2">
        <v>250</v>
      </c>
      <c r="D264" s="2">
        <v>3432</v>
      </c>
    </row>
    <row r="265" spans="1:4" ht="18.75" customHeight="1" x14ac:dyDescent="0.3">
      <c r="A265" s="2">
        <v>129</v>
      </c>
      <c r="B265" s="2">
        <v>8</v>
      </c>
      <c r="C265" s="2">
        <v>302</v>
      </c>
      <c r="D265" s="2">
        <v>3169</v>
      </c>
    </row>
    <row r="266" spans="1:4" ht="18.75" customHeight="1" x14ac:dyDescent="0.3">
      <c r="A266" s="2">
        <v>170</v>
      </c>
      <c r="B266" s="2">
        <v>8</v>
      </c>
      <c r="C266" s="2">
        <v>400</v>
      </c>
      <c r="D266" s="2">
        <v>4668</v>
      </c>
    </row>
    <row r="267" spans="1:4" ht="18.75" customHeight="1" x14ac:dyDescent="0.3">
      <c r="A267" s="2">
        <v>110</v>
      </c>
      <c r="B267" s="2">
        <v>8</v>
      </c>
      <c r="C267" s="2">
        <v>262</v>
      </c>
      <c r="D267" s="2">
        <v>3221</v>
      </c>
    </row>
    <row r="268" spans="1:4" ht="18.75" customHeight="1" x14ac:dyDescent="0.3">
      <c r="A268" s="2">
        <v>150</v>
      </c>
      <c r="B268" s="2">
        <v>8</v>
      </c>
      <c r="C268" s="2">
        <v>318</v>
      </c>
      <c r="D268" s="2">
        <v>4498</v>
      </c>
    </row>
    <row r="269" spans="1:4" ht="18.75" customHeight="1" x14ac:dyDescent="0.3">
      <c r="A269" s="2">
        <v>145</v>
      </c>
      <c r="B269" s="2">
        <v>8</v>
      </c>
      <c r="C269" s="2">
        <v>350</v>
      </c>
      <c r="D269" s="2">
        <v>4440</v>
      </c>
    </row>
    <row r="270" spans="1:4" ht="18.75" customHeight="1" x14ac:dyDescent="0.3">
      <c r="A270" s="2">
        <v>148</v>
      </c>
      <c r="B270" s="2">
        <v>8</v>
      </c>
      <c r="C270" s="2">
        <v>351</v>
      </c>
      <c r="D270" s="2">
        <v>4657</v>
      </c>
    </row>
    <row r="271" spans="1:4" ht="18.75" customHeight="1" x14ac:dyDescent="0.3">
      <c r="A271" s="2">
        <v>92</v>
      </c>
      <c r="B271" s="2">
        <v>4</v>
      </c>
      <c r="C271" s="2">
        <v>140</v>
      </c>
      <c r="D271" s="2">
        <v>2572</v>
      </c>
    </row>
    <row r="272" spans="1:4" ht="18.75" customHeight="1" x14ac:dyDescent="0.3">
      <c r="A272" s="2">
        <v>79</v>
      </c>
      <c r="B272" s="2">
        <v>4</v>
      </c>
      <c r="C272" s="2">
        <v>98</v>
      </c>
      <c r="D272" s="2">
        <v>2255</v>
      </c>
    </row>
    <row r="273" spans="1:4" ht="18.75" customHeight="1" x14ac:dyDescent="0.3">
      <c r="A273" s="2">
        <v>72</v>
      </c>
      <c r="B273" s="2">
        <v>4</v>
      </c>
      <c r="C273" s="2">
        <v>140</v>
      </c>
      <c r="D273" s="2">
        <v>2565</v>
      </c>
    </row>
    <row r="274" spans="1:4" ht="18.75" customHeight="1" x14ac:dyDescent="0.3">
      <c r="A274" s="2">
        <v>60</v>
      </c>
      <c r="B274" s="2">
        <v>4</v>
      </c>
      <c r="C274" s="2">
        <v>98</v>
      </c>
      <c r="D274" s="2">
        <v>2164</v>
      </c>
    </row>
    <row r="275" spans="1:4" ht="18.75" customHeight="1" x14ac:dyDescent="0.3">
      <c r="A275" s="2">
        <v>52</v>
      </c>
      <c r="B275" s="2">
        <v>4</v>
      </c>
      <c r="C275" s="2">
        <v>85</v>
      </c>
      <c r="D275" s="2">
        <v>2035</v>
      </c>
    </row>
    <row r="276" spans="1:4" ht="18.75" customHeight="1" x14ac:dyDescent="0.3">
      <c r="A276" s="2">
        <v>105</v>
      </c>
      <c r="B276" s="2">
        <v>6</v>
      </c>
      <c r="C276" s="2">
        <v>250</v>
      </c>
      <c r="D276" s="2">
        <v>3353</v>
      </c>
    </row>
    <row r="277" spans="1:4" ht="18.75" customHeight="1" x14ac:dyDescent="0.3">
      <c r="A277" s="2">
        <v>100</v>
      </c>
      <c r="B277" s="2">
        <v>6</v>
      </c>
      <c r="C277" s="2">
        <v>225</v>
      </c>
      <c r="D277" s="2">
        <v>3233</v>
      </c>
    </row>
    <row r="278" spans="1:4" ht="18.75" customHeight="1" x14ac:dyDescent="0.3">
      <c r="A278" s="2">
        <v>110</v>
      </c>
      <c r="B278" s="2">
        <v>6</v>
      </c>
      <c r="C278" s="2">
        <v>250</v>
      </c>
      <c r="D278" s="2">
        <v>3645</v>
      </c>
    </row>
    <row r="279" spans="1:4" ht="18.75" customHeight="1" x14ac:dyDescent="0.3">
      <c r="A279" s="2">
        <v>95</v>
      </c>
      <c r="B279" s="2">
        <v>6</v>
      </c>
      <c r="C279" s="2">
        <v>258</v>
      </c>
      <c r="D279" s="2">
        <v>3193</v>
      </c>
    </row>
    <row r="280" spans="1:4" ht="18.75" customHeight="1" x14ac:dyDescent="0.3">
      <c r="A280" s="2">
        <v>90</v>
      </c>
      <c r="B280" s="2">
        <v>6</v>
      </c>
      <c r="C280" s="2">
        <v>232</v>
      </c>
      <c r="D280" s="2">
        <v>3085</v>
      </c>
    </row>
    <row r="281" spans="1:4" ht="18.75" customHeight="1" x14ac:dyDescent="0.3">
      <c r="A281" s="2">
        <v>100</v>
      </c>
      <c r="B281" s="2">
        <v>6</v>
      </c>
      <c r="C281" s="2">
        <v>225</v>
      </c>
      <c r="D281" s="2">
        <v>3651</v>
      </c>
    </row>
    <row r="282" spans="1:4" ht="18.75" customHeight="1" x14ac:dyDescent="0.3">
      <c r="A282" s="2">
        <v>81</v>
      </c>
      <c r="B282" s="2">
        <v>6</v>
      </c>
      <c r="C282" s="2">
        <v>200</v>
      </c>
      <c r="D282" s="2">
        <v>3012</v>
      </c>
    </row>
    <row r="283" spans="1:4" ht="18.75" customHeight="1" x14ac:dyDescent="0.3">
      <c r="A283" s="2">
        <v>78</v>
      </c>
      <c r="B283" s="2">
        <v>6</v>
      </c>
      <c r="C283" s="2">
        <v>250</v>
      </c>
      <c r="D283" s="2">
        <v>3574</v>
      </c>
    </row>
    <row r="284" spans="1:4" ht="18.75" customHeight="1" x14ac:dyDescent="0.3">
      <c r="A284" s="2">
        <v>180</v>
      </c>
      <c r="B284" s="2">
        <v>8</v>
      </c>
      <c r="C284" s="2">
        <v>350</v>
      </c>
      <c r="D284" s="2">
        <v>4380</v>
      </c>
    </row>
    <row r="285" spans="1:4" ht="18.75" customHeight="1" x14ac:dyDescent="0.3">
      <c r="A285" s="2">
        <v>150</v>
      </c>
      <c r="B285" s="2">
        <v>8</v>
      </c>
      <c r="C285" s="2">
        <v>318</v>
      </c>
      <c r="D285" s="2">
        <v>3755</v>
      </c>
    </row>
    <row r="286" spans="1:4" ht="18.75" customHeight="1" x14ac:dyDescent="0.3">
      <c r="A286" s="2">
        <v>150</v>
      </c>
      <c r="B286" s="2">
        <v>8</v>
      </c>
      <c r="C286" s="2">
        <v>318</v>
      </c>
      <c r="D286" s="2">
        <v>3940</v>
      </c>
    </row>
    <row r="287" spans="1:4" ht="18.75" customHeight="1" x14ac:dyDescent="0.3">
      <c r="A287" s="2">
        <v>152</v>
      </c>
      <c r="B287" s="2">
        <v>8</v>
      </c>
      <c r="C287" s="2">
        <v>351</v>
      </c>
      <c r="D287" s="2">
        <v>4215</v>
      </c>
    </row>
    <row r="288" spans="1:4" ht="18.75" customHeight="1" x14ac:dyDescent="0.3">
      <c r="A288" s="2">
        <v>145</v>
      </c>
      <c r="B288" s="2">
        <v>8</v>
      </c>
      <c r="C288" s="2">
        <v>350</v>
      </c>
      <c r="D288" s="2">
        <v>4055</v>
      </c>
    </row>
    <row r="289" spans="1:4" ht="18.75" customHeight="1" x14ac:dyDescent="0.3">
      <c r="A289" s="2">
        <v>150</v>
      </c>
      <c r="B289" s="2">
        <v>8</v>
      </c>
      <c r="C289" s="2">
        <v>318</v>
      </c>
      <c r="D289" s="2">
        <v>4190</v>
      </c>
    </row>
    <row r="290" spans="1:4" ht="18.75" customHeight="1" x14ac:dyDescent="0.3">
      <c r="A290" s="2">
        <v>130</v>
      </c>
      <c r="B290" s="2">
        <v>8</v>
      </c>
      <c r="C290" s="2">
        <v>302</v>
      </c>
      <c r="D290" s="2">
        <v>3870</v>
      </c>
    </row>
    <row r="291" spans="1:4" ht="18.75" customHeight="1" x14ac:dyDescent="0.3">
      <c r="A291" s="2">
        <v>140</v>
      </c>
      <c r="B291" s="2">
        <v>8</v>
      </c>
      <c r="C291" s="2">
        <v>305</v>
      </c>
      <c r="D291" s="2">
        <v>4215</v>
      </c>
    </row>
    <row r="292" spans="1:4" ht="18.75" customHeight="1" x14ac:dyDescent="0.3">
      <c r="A292" s="2">
        <v>120</v>
      </c>
      <c r="B292" s="2">
        <v>8</v>
      </c>
      <c r="C292" s="2">
        <v>304</v>
      </c>
      <c r="D292" s="2">
        <v>3962</v>
      </c>
    </row>
    <row r="293" spans="1:4" ht="18.75" customHeight="1" x14ac:dyDescent="0.3">
      <c r="A293" s="2">
        <v>96</v>
      </c>
      <c r="B293" s="2">
        <v>4</v>
      </c>
      <c r="C293" s="2">
        <v>122</v>
      </c>
      <c r="D293" s="2">
        <v>2300</v>
      </c>
    </row>
    <row r="294" spans="1:4" ht="18.75" customHeight="1" x14ac:dyDescent="0.3">
      <c r="A294" s="2">
        <v>83</v>
      </c>
      <c r="B294" s="2">
        <v>4</v>
      </c>
      <c r="C294" s="2">
        <v>98</v>
      </c>
      <c r="D294" s="2">
        <v>2075</v>
      </c>
    </row>
    <row r="295" spans="1:4" ht="18.75" customHeight="1" x14ac:dyDescent="0.3">
      <c r="A295" s="2">
        <v>80</v>
      </c>
      <c r="B295" s="2">
        <v>4</v>
      </c>
      <c r="C295" s="2">
        <v>111</v>
      </c>
      <c r="D295" s="2">
        <v>2155</v>
      </c>
    </row>
    <row r="296" spans="1:4" ht="18.75" customHeight="1" x14ac:dyDescent="0.3">
      <c r="A296" s="2">
        <v>89</v>
      </c>
      <c r="B296" s="2">
        <v>4</v>
      </c>
      <c r="C296" s="2">
        <v>140</v>
      </c>
      <c r="D296" s="2">
        <v>2755</v>
      </c>
    </row>
    <row r="297" spans="1:4" ht="18.75" customHeight="1" x14ac:dyDescent="0.3">
      <c r="A297" s="2">
        <v>88</v>
      </c>
      <c r="B297" s="2">
        <v>4</v>
      </c>
      <c r="C297" s="2">
        <v>151</v>
      </c>
      <c r="D297" s="2">
        <v>2740</v>
      </c>
    </row>
    <row r="298" spans="1:4" ht="18.75" customHeight="1" x14ac:dyDescent="0.3">
      <c r="A298" s="2">
        <v>63</v>
      </c>
      <c r="B298" s="2">
        <v>4</v>
      </c>
      <c r="C298" s="2">
        <v>98</v>
      </c>
      <c r="D298" s="2">
        <v>2051</v>
      </c>
    </row>
    <row r="299" spans="1:4" ht="18.75" customHeight="1" x14ac:dyDescent="0.3">
      <c r="A299" s="2">
        <v>110</v>
      </c>
      <c r="B299" s="2">
        <v>6</v>
      </c>
      <c r="C299" s="2">
        <v>250</v>
      </c>
      <c r="D299" s="2">
        <v>3520</v>
      </c>
    </row>
    <row r="300" spans="1:4" ht="18.75" customHeight="1" x14ac:dyDescent="0.3">
      <c r="A300" s="2">
        <v>105</v>
      </c>
      <c r="B300" s="2">
        <v>6</v>
      </c>
      <c r="C300" s="2">
        <v>231</v>
      </c>
      <c r="D300" s="2">
        <v>3425</v>
      </c>
    </row>
    <row r="301" spans="1:4" ht="18.75" customHeight="1" x14ac:dyDescent="0.3">
      <c r="A301" s="2">
        <v>98</v>
      </c>
      <c r="B301" s="2">
        <v>6</v>
      </c>
      <c r="C301" s="2">
        <v>250</v>
      </c>
      <c r="D301" s="2">
        <v>3525</v>
      </c>
    </row>
    <row r="302" spans="1:4" ht="18.75" customHeight="1" x14ac:dyDescent="0.3">
      <c r="A302" s="2">
        <v>100</v>
      </c>
      <c r="B302" s="2">
        <v>6</v>
      </c>
      <c r="C302" s="2">
        <v>225</v>
      </c>
      <c r="D302" s="2">
        <v>3630</v>
      </c>
    </row>
    <row r="303" spans="1:4" ht="18.75" customHeight="1" x14ac:dyDescent="0.3">
      <c r="A303" s="2">
        <v>190</v>
      </c>
      <c r="B303" s="2">
        <v>8</v>
      </c>
      <c r="C303" s="2">
        <v>400</v>
      </c>
      <c r="D303" s="2">
        <v>4325</v>
      </c>
    </row>
    <row r="304" spans="1:4" ht="18.75" customHeight="1" x14ac:dyDescent="0.3">
      <c r="A304" s="2">
        <v>180</v>
      </c>
      <c r="B304" s="2">
        <v>8</v>
      </c>
      <c r="C304" s="2">
        <v>400</v>
      </c>
      <c r="D304" s="2">
        <v>4220</v>
      </c>
    </row>
    <row r="305" spans="1:4" ht="18.75" customHeight="1" x14ac:dyDescent="0.3">
      <c r="A305" s="2">
        <v>170</v>
      </c>
      <c r="B305" s="2">
        <v>8</v>
      </c>
      <c r="C305" s="2">
        <v>350</v>
      </c>
      <c r="D305" s="2">
        <v>4165</v>
      </c>
    </row>
    <row r="306" spans="1:4" ht="18.75" customHeight="1" x14ac:dyDescent="0.3">
      <c r="A306" s="2">
        <v>145</v>
      </c>
      <c r="B306" s="2">
        <v>8</v>
      </c>
      <c r="C306" s="2">
        <v>305</v>
      </c>
      <c r="D306" s="2">
        <v>3880</v>
      </c>
    </row>
    <row r="307" spans="1:4" ht="18.75" customHeight="1" x14ac:dyDescent="0.3">
      <c r="A307" s="2">
        <v>145</v>
      </c>
      <c r="B307" s="2">
        <v>8</v>
      </c>
      <c r="C307" s="2">
        <v>318</v>
      </c>
      <c r="D307" s="2">
        <v>4140</v>
      </c>
    </row>
    <row r="308" spans="1:4" ht="18.75" customHeight="1" x14ac:dyDescent="0.3">
      <c r="A308" s="2">
        <v>149</v>
      </c>
      <c r="B308" s="2">
        <v>8</v>
      </c>
      <c r="C308" s="2">
        <v>351</v>
      </c>
      <c r="D308" s="2">
        <v>4335</v>
      </c>
    </row>
    <row r="309" spans="1:4" ht="18.75" customHeight="1" x14ac:dyDescent="0.3">
      <c r="A309" s="2">
        <v>130</v>
      </c>
      <c r="B309" s="2">
        <v>8</v>
      </c>
      <c r="C309" s="2">
        <v>302</v>
      </c>
      <c r="D309" s="2">
        <v>4295</v>
      </c>
    </row>
    <row r="310" spans="1:4" ht="18.75" customHeight="1" x14ac:dyDescent="0.3">
      <c r="A310" s="2">
        <v>110</v>
      </c>
      <c r="B310" s="2">
        <v>8</v>
      </c>
      <c r="C310" s="2">
        <v>260</v>
      </c>
      <c r="D310" s="2">
        <v>4060</v>
      </c>
    </row>
    <row r="311" spans="1:4" ht="18.75" customHeight="1" x14ac:dyDescent="0.3">
      <c r="A311" s="2">
        <v>105</v>
      </c>
      <c r="B311" s="2">
        <v>4</v>
      </c>
      <c r="C311" s="2">
        <v>156</v>
      </c>
      <c r="D311" s="2">
        <v>2745</v>
      </c>
    </row>
    <row r="312" spans="1:4" ht="18.75" customHeight="1" x14ac:dyDescent="0.3">
      <c r="A312" s="2">
        <v>66</v>
      </c>
      <c r="B312" s="2">
        <v>4</v>
      </c>
      <c r="C312" s="2">
        <v>98</v>
      </c>
      <c r="D312" s="2">
        <v>1800</v>
      </c>
    </row>
    <row r="313" spans="1:4" ht="18.75" customHeight="1" x14ac:dyDescent="0.3">
      <c r="A313" s="2">
        <v>75</v>
      </c>
      <c r="B313" s="2">
        <v>4</v>
      </c>
      <c r="C313" s="2">
        <v>105</v>
      </c>
      <c r="D313" s="2">
        <v>2230</v>
      </c>
    </row>
    <row r="314" spans="1:4" ht="18.75" customHeight="1" x14ac:dyDescent="0.3">
      <c r="A314" s="2">
        <v>88</v>
      </c>
      <c r="B314" s="2">
        <v>4</v>
      </c>
      <c r="C314" s="2">
        <v>140</v>
      </c>
      <c r="D314" s="2">
        <v>2720</v>
      </c>
    </row>
    <row r="315" spans="1:4" ht="18.75" customHeight="1" x14ac:dyDescent="0.3">
      <c r="A315" s="2">
        <v>68</v>
      </c>
      <c r="B315" s="2">
        <v>4</v>
      </c>
      <c r="C315" s="2">
        <v>98</v>
      </c>
      <c r="D315" s="2">
        <v>2155</v>
      </c>
    </row>
    <row r="316" spans="1:4" ht="18.75" customHeight="1" x14ac:dyDescent="0.3">
      <c r="A316" s="2">
        <v>85</v>
      </c>
      <c r="B316" s="2">
        <v>4</v>
      </c>
      <c r="C316" s="2">
        <v>151</v>
      </c>
      <c r="D316" s="2">
        <v>2855</v>
      </c>
    </row>
    <row r="317" spans="1:4" ht="18.75" customHeight="1" x14ac:dyDescent="0.3">
      <c r="A317" s="2">
        <v>165</v>
      </c>
      <c r="B317" s="2">
        <v>6</v>
      </c>
      <c r="C317" s="2">
        <v>231</v>
      </c>
      <c r="D317" s="2">
        <v>3445</v>
      </c>
    </row>
    <row r="318" spans="1:4" ht="18.75" customHeight="1" x14ac:dyDescent="0.3">
      <c r="A318" s="2">
        <v>120</v>
      </c>
      <c r="B318" s="2">
        <v>6</v>
      </c>
      <c r="C318" s="2">
        <v>258</v>
      </c>
      <c r="D318" s="2">
        <v>3410</v>
      </c>
    </row>
    <row r="319" spans="1:4" ht="18.75" customHeight="1" x14ac:dyDescent="0.3">
      <c r="A319" s="2">
        <v>105</v>
      </c>
      <c r="B319" s="2">
        <v>6</v>
      </c>
      <c r="C319" s="2">
        <v>231</v>
      </c>
      <c r="D319" s="2">
        <v>3380</v>
      </c>
    </row>
    <row r="320" spans="1:4" ht="18.75" customHeight="1" x14ac:dyDescent="0.3">
      <c r="A320" s="2">
        <v>110</v>
      </c>
      <c r="B320" s="2">
        <v>6</v>
      </c>
      <c r="C320" s="2">
        <v>225</v>
      </c>
      <c r="D320" s="2">
        <v>3620</v>
      </c>
    </row>
    <row r="321" spans="1:4" ht="18.75" customHeight="1" x14ac:dyDescent="0.3">
      <c r="A321" s="2">
        <v>95</v>
      </c>
      <c r="B321" s="2">
        <v>6</v>
      </c>
      <c r="C321" s="2">
        <v>200</v>
      </c>
      <c r="D321" s="2">
        <v>3155</v>
      </c>
    </row>
    <row r="322" spans="1:4" ht="18.75" customHeight="1" x14ac:dyDescent="0.3">
      <c r="A322" s="2">
        <v>105</v>
      </c>
      <c r="B322" s="2">
        <v>6</v>
      </c>
      <c r="C322" s="2">
        <v>231</v>
      </c>
      <c r="D322" s="2">
        <v>3535</v>
      </c>
    </row>
    <row r="323" spans="1:4" ht="18.75" customHeight="1" x14ac:dyDescent="0.3">
      <c r="A323" s="2">
        <v>100</v>
      </c>
      <c r="B323" s="2">
        <v>6</v>
      </c>
      <c r="C323" s="2">
        <v>225</v>
      </c>
      <c r="D323" s="2">
        <v>3430</v>
      </c>
    </row>
    <row r="324" spans="1:4" ht="18.75" customHeight="1" x14ac:dyDescent="0.3">
      <c r="A324" s="2">
        <v>85</v>
      </c>
      <c r="B324" s="2">
        <v>6</v>
      </c>
      <c r="C324" s="2">
        <v>200</v>
      </c>
      <c r="D324" s="2">
        <v>2965</v>
      </c>
    </row>
    <row r="325" spans="1:4" ht="18.75" customHeight="1" x14ac:dyDescent="0.3">
      <c r="A325" s="2">
        <v>90</v>
      </c>
      <c r="B325" s="2">
        <v>6</v>
      </c>
      <c r="C325" s="2">
        <v>232</v>
      </c>
      <c r="D325" s="2">
        <v>3210</v>
      </c>
    </row>
    <row r="326" spans="1:4" ht="18.75" customHeight="1" x14ac:dyDescent="0.3">
      <c r="A326" s="2">
        <v>85</v>
      </c>
      <c r="B326" s="2">
        <v>6</v>
      </c>
      <c r="C326" s="2">
        <v>200</v>
      </c>
      <c r="D326" s="2">
        <v>3070</v>
      </c>
    </row>
    <row r="327" spans="1:4" ht="18.75" customHeight="1" x14ac:dyDescent="0.3">
      <c r="A327" s="2">
        <v>139</v>
      </c>
      <c r="B327" s="2">
        <v>8</v>
      </c>
      <c r="C327" s="2">
        <v>302</v>
      </c>
      <c r="D327" s="2">
        <v>3205</v>
      </c>
    </row>
    <row r="328" spans="1:4" ht="18.75" customHeight="1" x14ac:dyDescent="0.3">
      <c r="A328" s="2">
        <v>145</v>
      </c>
      <c r="B328" s="2">
        <v>8</v>
      </c>
      <c r="C328" s="2">
        <v>305</v>
      </c>
      <c r="D328" s="2">
        <v>3425</v>
      </c>
    </row>
    <row r="329" spans="1:4" ht="18.75" customHeight="1" x14ac:dyDescent="0.3">
      <c r="A329" s="2">
        <v>139</v>
      </c>
      <c r="B329" s="2">
        <v>8</v>
      </c>
      <c r="C329" s="2">
        <v>302</v>
      </c>
      <c r="D329" s="2">
        <v>3570</v>
      </c>
    </row>
    <row r="330" spans="1:4" ht="18.75" customHeight="1" x14ac:dyDescent="0.3">
      <c r="A330" s="2">
        <v>140</v>
      </c>
      <c r="B330" s="2">
        <v>8</v>
      </c>
      <c r="C330" s="2">
        <v>318</v>
      </c>
      <c r="D330" s="2">
        <v>3735</v>
      </c>
    </row>
    <row r="331" spans="1:4" ht="18.75" customHeight="1" x14ac:dyDescent="0.3">
      <c r="A331" s="2">
        <v>140</v>
      </c>
      <c r="B331" s="2">
        <v>8</v>
      </c>
      <c r="C331" s="2">
        <v>318</v>
      </c>
      <c r="D331" s="2">
        <v>4080</v>
      </c>
    </row>
    <row r="332" spans="1:4" ht="18.75" customHeight="1" x14ac:dyDescent="0.3">
      <c r="A332" s="2">
        <v>110</v>
      </c>
      <c r="B332" s="2">
        <v>8</v>
      </c>
      <c r="C332" s="2">
        <v>260</v>
      </c>
      <c r="D332" s="2">
        <v>3365</v>
      </c>
    </row>
    <row r="333" spans="1:4" ht="18.75" customHeight="1" x14ac:dyDescent="0.3">
      <c r="A333" s="2">
        <v>80</v>
      </c>
      <c r="B333" s="2">
        <v>4</v>
      </c>
      <c r="C333" s="2">
        <v>98</v>
      </c>
      <c r="D333" s="2">
        <v>1915</v>
      </c>
    </row>
    <row r="334" spans="1:4" ht="18.75" customHeight="1" x14ac:dyDescent="0.3">
      <c r="A334" s="2">
        <v>90</v>
      </c>
      <c r="B334" s="2">
        <v>4</v>
      </c>
      <c r="C334" s="2">
        <v>151</v>
      </c>
      <c r="D334" s="2">
        <v>2556</v>
      </c>
    </row>
    <row r="335" spans="1:4" ht="18.75" customHeight="1" x14ac:dyDescent="0.3">
      <c r="A335" s="2">
        <v>90</v>
      </c>
      <c r="B335" s="2">
        <v>4</v>
      </c>
      <c r="C335" s="2">
        <v>151</v>
      </c>
      <c r="D335" s="2">
        <v>2670</v>
      </c>
    </row>
    <row r="336" spans="1:4" ht="18.75" customHeight="1" x14ac:dyDescent="0.3">
      <c r="A336" s="2">
        <v>70</v>
      </c>
      <c r="B336" s="2">
        <v>4</v>
      </c>
      <c r="C336" s="2">
        <v>105</v>
      </c>
      <c r="D336" s="2">
        <v>2150</v>
      </c>
    </row>
    <row r="337" spans="1:4" ht="18.75" customHeight="1" x14ac:dyDescent="0.3">
      <c r="A337" s="2">
        <v>70</v>
      </c>
      <c r="B337" s="2">
        <v>4</v>
      </c>
      <c r="C337" s="2">
        <v>105</v>
      </c>
      <c r="D337" s="2">
        <v>2200</v>
      </c>
    </row>
    <row r="338" spans="1:4" ht="18.75" customHeight="1" x14ac:dyDescent="0.3">
      <c r="A338" s="2">
        <v>88</v>
      </c>
      <c r="B338" s="2">
        <v>4</v>
      </c>
      <c r="C338" s="2">
        <v>140</v>
      </c>
      <c r="D338" s="2">
        <v>2890</v>
      </c>
    </row>
    <row r="339" spans="1:4" ht="18.75" customHeight="1" x14ac:dyDescent="0.3">
      <c r="A339" s="2">
        <v>80</v>
      </c>
      <c r="B339" s="2">
        <v>4</v>
      </c>
      <c r="C339" s="2">
        <v>121</v>
      </c>
      <c r="D339" s="2">
        <v>2670</v>
      </c>
    </row>
    <row r="340" spans="1:4" ht="18.75" customHeight="1" x14ac:dyDescent="0.3">
      <c r="A340" s="2">
        <v>115</v>
      </c>
      <c r="B340" s="2">
        <v>6</v>
      </c>
      <c r="C340" s="2">
        <v>173</v>
      </c>
      <c r="D340" s="2">
        <v>2595</v>
      </c>
    </row>
    <row r="341" spans="1:4" ht="18.75" customHeight="1" x14ac:dyDescent="0.3">
      <c r="A341" s="2">
        <v>115</v>
      </c>
      <c r="B341" s="2">
        <v>6</v>
      </c>
      <c r="C341" s="2">
        <v>173</v>
      </c>
      <c r="D341" s="2">
        <v>2700</v>
      </c>
    </row>
    <row r="342" spans="1:4" ht="18.75" customHeight="1" x14ac:dyDescent="0.3">
      <c r="A342" s="2">
        <v>115</v>
      </c>
      <c r="B342" s="2">
        <v>6</v>
      </c>
      <c r="C342" s="2">
        <v>231</v>
      </c>
      <c r="D342" s="2">
        <v>3245</v>
      </c>
    </row>
    <row r="343" spans="1:4" ht="18.75" customHeight="1" x14ac:dyDescent="0.3">
      <c r="A343" s="2">
        <v>110</v>
      </c>
      <c r="B343" s="2">
        <v>6</v>
      </c>
      <c r="C343" s="2">
        <v>225</v>
      </c>
      <c r="D343" s="2">
        <v>3360</v>
      </c>
    </row>
    <row r="344" spans="1:4" ht="18.75" customHeight="1" x14ac:dyDescent="0.3">
      <c r="A344" s="2">
        <v>85</v>
      </c>
      <c r="B344" s="2">
        <v>6</v>
      </c>
      <c r="C344" s="2">
        <v>200</v>
      </c>
      <c r="D344" s="2">
        <v>2990</v>
      </c>
    </row>
    <row r="345" spans="1:4" ht="18.75" customHeight="1" x14ac:dyDescent="0.3">
      <c r="A345" s="2">
        <v>90</v>
      </c>
      <c r="B345" s="2">
        <v>6</v>
      </c>
      <c r="C345" s="2">
        <v>232</v>
      </c>
      <c r="D345" s="2">
        <v>3265</v>
      </c>
    </row>
    <row r="346" spans="1:4" ht="18.75" customHeight="1" x14ac:dyDescent="0.3">
      <c r="A346" s="2">
        <v>150</v>
      </c>
      <c r="B346" s="2">
        <v>8</v>
      </c>
      <c r="C346" s="2">
        <v>360</v>
      </c>
      <c r="D346" s="2">
        <v>3940</v>
      </c>
    </row>
    <row r="347" spans="1:4" ht="18.75" customHeight="1" x14ac:dyDescent="0.3">
      <c r="A347" s="2">
        <v>155</v>
      </c>
      <c r="B347" s="2">
        <v>8</v>
      </c>
      <c r="C347" s="2">
        <v>350</v>
      </c>
      <c r="D347" s="2">
        <v>4360</v>
      </c>
    </row>
    <row r="348" spans="1:4" ht="18.75" customHeight="1" x14ac:dyDescent="0.3">
      <c r="A348" s="2">
        <v>135</v>
      </c>
      <c r="B348" s="2">
        <v>8</v>
      </c>
      <c r="C348" s="2">
        <v>318</v>
      </c>
      <c r="D348" s="2">
        <v>3830</v>
      </c>
    </row>
    <row r="349" spans="1:4" ht="18.75" customHeight="1" x14ac:dyDescent="0.3">
      <c r="A349" s="2">
        <v>142</v>
      </c>
      <c r="B349" s="2">
        <v>8</v>
      </c>
      <c r="C349" s="2">
        <v>351</v>
      </c>
      <c r="D349" s="2">
        <v>4054</v>
      </c>
    </row>
    <row r="350" spans="1:4" ht="18.75" customHeight="1" x14ac:dyDescent="0.3">
      <c r="A350" s="2">
        <v>138</v>
      </c>
      <c r="B350" s="2">
        <v>8</v>
      </c>
      <c r="C350" s="2">
        <v>351</v>
      </c>
      <c r="D350" s="2">
        <v>3955</v>
      </c>
    </row>
    <row r="351" spans="1:4" ht="18.75" customHeight="1" x14ac:dyDescent="0.3">
      <c r="A351" s="2">
        <v>125</v>
      </c>
      <c r="B351" s="2">
        <v>8</v>
      </c>
      <c r="C351" s="2">
        <v>267</v>
      </c>
      <c r="D351" s="2">
        <v>3605</v>
      </c>
    </row>
    <row r="352" spans="1:4" ht="18.75" customHeight="1" x14ac:dyDescent="0.3">
      <c r="A352" s="2">
        <v>129</v>
      </c>
      <c r="B352" s="2">
        <v>8</v>
      </c>
      <c r="C352" s="2">
        <v>302</v>
      </c>
      <c r="D352" s="2">
        <v>3725</v>
      </c>
    </row>
    <row r="353" spans="1:4" ht="18.75" customHeight="1" x14ac:dyDescent="0.3">
      <c r="A353" s="2">
        <v>130</v>
      </c>
      <c r="B353" s="2">
        <v>8</v>
      </c>
      <c r="C353" s="2">
        <v>305</v>
      </c>
      <c r="D353" s="2">
        <v>3840</v>
      </c>
    </row>
    <row r="354" spans="1:4" ht="18.75" customHeight="1" x14ac:dyDescent="0.3">
      <c r="A354" s="2">
        <v>125</v>
      </c>
      <c r="B354" s="2">
        <v>8</v>
      </c>
      <c r="C354" s="2">
        <v>350</v>
      </c>
      <c r="D354" s="2">
        <v>3900</v>
      </c>
    </row>
    <row r="355" spans="1:4" ht="18.75" customHeight="1" x14ac:dyDescent="0.3">
      <c r="A355" s="2">
        <v>90</v>
      </c>
      <c r="B355" s="2">
        <v>8</v>
      </c>
      <c r="C355" s="2">
        <v>260</v>
      </c>
      <c r="D355" s="2">
        <v>3420</v>
      </c>
    </row>
    <row r="356" spans="1:4" ht="18.75" customHeight="1" x14ac:dyDescent="0.3">
      <c r="A356" s="2">
        <v>105</v>
      </c>
      <c r="B356" s="2">
        <v>4</v>
      </c>
      <c r="C356" s="2">
        <v>156</v>
      </c>
      <c r="D356" s="2">
        <v>2800</v>
      </c>
    </row>
    <row r="357" spans="1:4" ht="18.75" customHeight="1" x14ac:dyDescent="0.3">
      <c r="A357" s="2">
        <v>90</v>
      </c>
      <c r="B357" s="2">
        <v>4</v>
      </c>
      <c r="C357" s="2">
        <v>151</v>
      </c>
      <c r="D357" s="2">
        <v>2678</v>
      </c>
    </row>
    <row r="358" spans="1:4" ht="18.75" customHeight="1" x14ac:dyDescent="0.3">
      <c r="A358" s="2">
        <v>70</v>
      </c>
      <c r="B358" s="2">
        <v>4</v>
      </c>
      <c r="C358" s="2">
        <v>98</v>
      </c>
      <c r="D358" s="2">
        <v>2120</v>
      </c>
    </row>
    <row r="359" spans="1:4" ht="18.75" customHeight="1" x14ac:dyDescent="0.3">
      <c r="A359" s="2">
        <v>88</v>
      </c>
      <c r="B359" s="2">
        <v>4</v>
      </c>
      <c r="C359" s="2">
        <v>140</v>
      </c>
      <c r="D359" s="2">
        <v>2870</v>
      </c>
    </row>
    <row r="360" spans="1:4" ht="18.75" customHeight="1" x14ac:dyDescent="0.3">
      <c r="A360" s="2">
        <v>90</v>
      </c>
      <c r="B360" s="2">
        <v>4</v>
      </c>
      <c r="C360" s="2">
        <v>151</v>
      </c>
      <c r="D360" s="2">
        <v>3003</v>
      </c>
    </row>
    <row r="361" spans="1:4" ht="18.75" customHeight="1" x14ac:dyDescent="0.3">
      <c r="A361" s="2">
        <v>90</v>
      </c>
      <c r="B361" s="2">
        <v>6</v>
      </c>
      <c r="C361" s="2">
        <v>225</v>
      </c>
      <c r="D361" s="2">
        <v>3381</v>
      </c>
    </row>
    <row r="362" spans="1:4" ht="18.75" customHeight="1" x14ac:dyDescent="0.3">
      <c r="A362" s="2">
        <v>84</v>
      </c>
      <c r="B362" s="2">
        <v>4</v>
      </c>
      <c r="C362" s="2">
        <v>135</v>
      </c>
      <c r="D362" s="2">
        <v>2385</v>
      </c>
    </row>
    <row r="363" spans="1:4" ht="18.75" customHeight="1" x14ac:dyDescent="0.3">
      <c r="A363" s="2">
        <v>92</v>
      </c>
      <c r="B363" s="2">
        <v>4</v>
      </c>
      <c r="C363" s="2">
        <v>156</v>
      </c>
      <c r="D363" s="2">
        <v>2620</v>
      </c>
    </row>
    <row r="364" spans="1:4" ht="18.75" customHeight="1" x14ac:dyDescent="0.3">
      <c r="A364" s="2">
        <v>64</v>
      </c>
      <c r="B364" s="2">
        <v>4</v>
      </c>
      <c r="C364" s="2">
        <v>86</v>
      </c>
      <c r="D364" s="2">
        <v>1875</v>
      </c>
    </row>
    <row r="365" spans="1:4" ht="18.75" customHeight="1" x14ac:dyDescent="0.3">
      <c r="A365" s="2">
        <v>84</v>
      </c>
      <c r="B365" s="2">
        <v>4</v>
      </c>
      <c r="C365" s="2">
        <v>135</v>
      </c>
      <c r="D365" s="2">
        <v>2490</v>
      </c>
    </row>
    <row r="366" spans="1:4" ht="18.75" customHeight="1" x14ac:dyDescent="0.3">
      <c r="A366" s="2">
        <v>84</v>
      </c>
      <c r="B366" s="2">
        <v>4</v>
      </c>
      <c r="C366" s="2">
        <v>151</v>
      </c>
      <c r="D366" s="2">
        <v>2635</v>
      </c>
    </row>
    <row r="367" spans="1:4" ht="18.75" customHeight="1" x14ac:dyDescent="0.3">
      <c r="A367" s="2">
        <v>65</v>
      </c>
      <c r="B367" s="2">
        <v>4</v>
      </c>
      <c r="C367" s="2">
        <v>98</v>
      </c>
      <c r="D367" s="2">
        <v>2045</v>
      </c>
    </row>
    <row r="368" spans="1:4" ht="18.75" customHeight="1" x14ac:dyDescent="0.3">
      <c r="A368" s="2">
        <v>63</v>
      </c>
      <c r="B368" s="2">
        <v>4</v>
      </c>
      <c r="C368" s="2">
        <v>105</v>
      </c>
      <c r="D368" s="2">
        <v>2215</v>
      </c>
    </row>
    <row r="369" spans="1:4" ht="18.75" customHeight="1" x14ac:dyDescent="0.3">
      <c r="A369" s="2">
        <v>65</v>
      </c>
      <c r="B369" s="2">
        <v>4</v>
      </c>
      <c r="C369" s="2">
        <v>98</v>
      </c>
      <c r="D369" s="2">
        <v>2380</v>
      </c>
    </row>
    <row r="370" spans="1:4" ht="18.75" customHeight="1" x14ac:dyDescent="0.3">
      <c r="A370" s="2">
        <v>110</v>
      </c>
      <c r="B370" s="2">
        <v>6</v>
      </c>
      <c r="C370" s="2">
        <v>173</v>
      </c>
      <c r="D370" s="2">
        <v>2725</v>
      </c>
    </row>
    <row r="371" spans="1:4" ht="18.75" customHeight="1" x14ac:dyDescent="0.3">
      <c r="A371" s="2">
        <v>110</v>
      </c>
      <c r="B371" s="2">
        <v>6</v>
      </c>
      <c r="C371" s="2">
        <v>231</v>
      </c>
      <c r="D371" s="2">
        <v>3415</v>
      </c>
    </row>
    <row r="372" spans="1:4" ht="18.75" customHeight="1" x14ac:dyDescent="0.3">
      <c r="A372" s="2">
        <v>88</v>
      </c>
      <c r="B372" s="2">
        <v>6</v>
      </c>
      <c r="C372" s="2">
        <v>200</v>
      </c>
      <c r="D372" s="2">
        <v>3060</v>
      </c>
    </row>
    <row r="373" spans="1:4" ht="18.75" customHeight="1" x14ac:dyDescent="0.3">
      <c r="A373" s="2">
        <v>85</v>
      </c>
      <c r="B373" s="2">
        <v>6</v>
      </c>
      <c r="C373" s="2">
        <v>225</v>
      </c>
      <c r="D373" s="2">
        <v>3465</v>
      </c>
    </row>
    <row r="374" spans="1:4" ht="18.75" customHeight="1" x14ac:dyDescent="0.3">
      <c r="A374" s="2">
        <v>105</v>
      </c>
      <c r="B374" s="2">
        <v>8</v>
      </c>
      <c r="C374" s="2">
        <v>350</v>
      </c>
      <c r="D374" s="2">
        <v>3725</v>
      </c>
    </row>
    <row r="375" spans="1:4" ht="18.75" customHeight="1" x14ac:dyDescent="0.3">
      <c r="A375" s="2">
        <v>88</v>
      </c>
      <c r="B375" s="2">
        <v>4</v>
      </c>
      <c r="C375" s="2">
        <v>112</v>
      </c>
      <c r="D375" s="2">
        <v>2395</v>
      </c>
    </row>
    <row r="376" spans="1:4" ht="18.75" customHeight="1" x14ac:dyDescent="0.3">
      <c r="A376" s="2">
        <v>84</v>
      </c>
      <c r="B376" s="2">
        <v>4</v>
      </c>
      <c r="C376" s="2">
        <v>135</v>
      </c>
      <c r="D376" s="2">
        <v>2295</v>
      </c>
    </row>
    <row r="377" spans="1:4" ht="18.75" customHeight="1" x14ac:dyDescent="0.3">
      <c r="A377" s="2">
        <v>92</v>
      </c>
      <c r="B377" s="2">
        <v>4</v>
      </c>
      <c r="C377" s="2">
        <v>156</v>
      </c>
      <c r="D377" s="2">
        <v>2585</v>
      </c>
    </row>
    <row r="378" spans="1:4" ht="18.75" customHeight="1" x14ac:dyDescent="0.3">
      <c r="A378" s="2">
        <v>84</v>
      </c>
      <c r="B378" s="2">
        <v>4</v>
      </c>
      <c r="C378" s="2">
        <v>135</v>
      </c>
      <c r="D378" s="2">
        <v>2370</v>
      </c>
    </row>
    <row r="379" spans="1:4" ht="18.75" customHeight="1" x14ac:dyDescent="0.3">
      <c r="A379" s="2">
        <v>88</v>
      </c>
      <c r="B379" s="2">
        <v>4</v>
      </c>
      <c r="C379" s="2">
        <v>112</v>
      </c>
      <c r="D379" s="2">
        <v>2605</v>
      </c>
    </row>
    <row r="380" spans="1:4" ht="18.75" customHeight="1" x14ac:dyDescent="0.3">
      <c r="A380" s="2">
        <v>88</v>
      </c>
      <c r="B380" s="2">
        <v>4</v>
      </c>
      <c r="C380" s="2">
        <v>112</v>
      </c>
      <c r="D380" s="2">
        <v>2640</v>
      </c>
    </row>
    <row r="381" spans="1:4" ht="18.75" customHeight="1" x14ac:dyDescent="0.3">
      <c r="A381" s="2">
        <v>84</v>
      </c>
      <c r="B381" s="2">
        <v>4</v>
      </c>
      <c r="C381" s="2">
        <v>135</v>
      </c>
      <c r="D381" s="2">
        <v>2525</v>
      </c>
    </row>
    <row r="382" spans="1:4" ht="18.75" customHeight="1" x14ac:dyDescent="0.3">
      <c r="A382" s="2">
        <v>85</v>
      </c>
      <c r="B382" s="2">
        <v>4</v>
      </c>
      <c r="C382" s="2">
        <v>112</v>
      </c>
      <c r="D382" s="2">
        <v>2575</v>
      </c>
    </row>
    <row r="383" spans="1:4" ht="18.75" customHeight="1" x14ac:dyDescent="0.3">
      <c r="A383" s="2">
        <v>70</v>
      </c>
      <c r="B383" s="2">
        <v>4</v>
      </c>
      <c r="C383" s="2">
        <v>98</v>
      </c>
      <c r="D383" s="2">
        <v>2125</v>
      </c>
    </row>
    <row r="384" spans="1:4" ht="18.75" customHeight="1" x14ac:dyDescent="0.3">
      <c r="A384" s="2">
        <v>90</v>
      </c>
      <c r="B384" s="2">
        <v>4</v>
      </c>
      <c r="C384" s="2">
        <v>151</v>
      </c>
      <c r="D384" s="2">
        <v>2735</v>
      </c>
    </row>
    <row r="385" spans="1:4" ht="18.75" customHeight="1" x14ac:dyDescent="0.3">
      <c r="A385" s="2">
        <v>92</v>
      </c>
      <c r="B385" s="2">
        <v>4</v>
      </c>
      <c r="C385" s="2">
        <v>140</v>
      </c>
      <c r="D385" s="2">
        <v>2865</v>
      </c>
    </row>
    <row r="386" spans="1:4" ht="18.75" customHeight="1" x14ac:dyDescent="0.3">
      <c r="A386" s="2">
        <v>86</v>
      </c>
      <c r="B386" s="2">
        <v>4</v>
      </c>
      <c r="C386" s="2">
        <v>140</v>
      </c>
      <c r="D386" s="2">
        <v>2790</v>
      </c>
    </row>
    <row r="387" spans="1:4" ht="18.75" customHeight="1" x14ac:dyDescent="0.3">
      <c r="A387" s="2">
        <v>90</v>
      </c>
      <c r="B387" s="2">
        <v>4</v>
      </c>
      <c r="C387" s="2">
        <v>151</v>
      </c>
      <c r="D387" s="2">
        <v>2950</v>
      </c>
    </row>
    <row r="388" spans="1:4" ht="18.75" customHeight="1" x14ac:dyDescent="0.3">
      <c r="A388" s="2">
        <v>82</v>
      </c>
      <c r="B388" s="2">
        <v>4</v>
      </c>
      <c r="C388" s="2">
        <v>119</v>
      </c>
      <c r="D388" s="2">
        <v>2720</v>
      </c>
    </row>
    <row r="389" spans="1:4" ht="18.75" customHeight="1" x14ac:dyDescent="0.3">
      <c r="A389" s="2">
        <v>79</v>
      </c>
      <c r="B389" s="2">
        <v>4</v>
      </c>
      <c r="C389" s="2">
        <v>120</v>
      </c>
      <c r="D389" s="2">
        <v>2625</v>
      </c>
    </row>
    <row r="390" spans="1:4" ht="18.75" customHeight="1" x14ac:dyDescent="0.3">
      <c r="A390" s="2">
        <v>63</v>
      </c>
      <c r="B390" s="2">
        <v>4</v>
      </c>
      <c r="C390" s="2">
        <v>105</v>
      </c>
      <c r="D390" s="2">
        <v>2125</v>
      </c>
    </row>
    <row r="391" spans="1:4" ht="18.75" customHeight="1" x14ac:dyDescent="0.3">
      <c r="A391" s="2">
        <v>112</v>
      </c>
      <c r="B391" s="2">
        <v>6</v>
      </c>
      <c r="C391" s="2">
        <v>232</v>
      </c>
      <c r="D391" s="2">
        <v>2835</v>
      </c>
    </row>
    <row r="392" spans="1:4" ht="18.75" customHeight="1" x14ac:dyDescent="0.3">
      <c r="A392" s="2">
        <v>110</v>
      </c>
      <c r="B392" s="2">
        <v>6</v>
      </c>
      <c r="C392" s="2">
        <v>181</v>
      </c>
      <c r="D392" s="2">
        <v>2945</v>
      </c>
    </row>
    <row r="393" spans="1:4" ht="18.75" customHeight="1" x14ac:dyDescent="0.3">
      <c r="A393" s="2">
        <v>85</v>
      </c>
      <c r="B393" s="2">
        <v>6</v>
      </c>
      <c r="C393" s="2">
        <v>262</v>
      </c>
      <c r="D393" s="2">
        <v>3015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N20"/>
  <sheetViews>
    <sheetView workbookViewId="0"/>
  </sheetViews>
  <sheetFormatPr defaultRowHeight="14.4" x14ac:dyDescent="0.3"/>
  <cols>
    <col min="1" max="1" width="17.44140625" bestFit="1" customWidth="1"/>
    <col min="2" max="2" width="12" style="4" bestFit="1" customWidth="1"/>
    <col min="3" max="3" width="13.44140625" style="4" bestFit="1" customWidth="1"/>
    <col min="4" max="4" width="12.6640625" style="4" bestFit="1" customWidth="1"/>
    <col min="5" max="5" width="12" style="4" bestFit="1" customWidth="1"/>
    <col min="6" max="6" width="12.6640625" style="4" bestFit="1" customWidth="1"/>
    <col min="7" max="7" width="12" style="4" bestFit="1" customWidth="1"/>
    <col min="8" max="8" width="12.6640625" style="4" bestFit="1" customWidth="1"/>
    <col min="9" max="9" width="12.109375" style="4" bestFit="1" customWidth="1"/>
    <col min="10" max="10" width="28.6640625" bestFit="1" customWidth="1"/>
    <col min="11" max="11" width="7.5546875" style="6" bestFit="1" customWidth="1"/>
    <col min="12" max="13" width="13.5546875" style="6" bestFit="1" customWidth="1"/>
    <col min="14" max="14" width="13.5546875" style="5" bestFit="1" customWidth="1"/>
  </cols>
  <sheetData>
    <row r="1" spans="1:14" ht="18.75" customHeight="1" x14ac:dyDescent="0.3">
      <c r="A1" t="s">
        <v>346</v>
      </c>
      <c r="J1" t="s">
        <v>347</v>
      </c>
    </row>
    <row r="2" spans="1:14" ht="18.75" customHeight="1" x14ac:dyDescent="0.3">
      <c r="J2" s="14" t="s">
        <v>348</v>
      </c>
      <c r="K2" s="15" t="s">
        <v>35</v>
      </c>
      <c r="L2" s="15" t="s">
        <v>34</v>
      </c>
      <c r="M2" s="15" t="s">
        <v>32</v>
      </c>
      <c r="N2" s="16" t="s">
        <v>349</v>
      </c>
    </row>
    <row r="3" spans="1:14" ht="18.75" customHeight="1" x14ac:dyDescent="0.3">
      <c r="A3" s="17" t="s">
        <v>350</v>
      </c>
      <c r="B3" s="18"/>
      <c r="J3" s="14" t="s">
        <v>91</v>
      </c>
      <c r="K3" s="19">
        <v>85</v>
      </c>
      <c r="L3" s="19">
        <v>1835</v>
      </c>
      <c r="M3" s="19">
        <v>4</v>
      </c>
      <c r="N3" s="20">
        <f t="shared" ref="N3:N8" si="0">$B$17 + ($B$18 * K3) + ($B$19 * L3) + ($B$20 * M3)</f>
        <v>332.43990373097154</v>
      </c>
    </row>
    <row r="4" spans="1:14" ht="18.75" customHeight="1" x14ac:dyDescent="0.3">
      <c r="A4" t="s">
        <v>351</v>
      </c>
      <c r="B4" s="8">
        <v>0.90137226862314968</v>
      </c>
      <c r="J4" s="14" t="s">
        <v>95</v>
      </c>
      <c r="K4" s="19">
        <v>100</v>
      </c>
      <c r="L4" s="19">
        <v>2320</v>
      </c>
      <c r="M4" s="19">
        <v>4</v>
      </c>
      <c r="N4" s="20">
        <f t="shared" si="0"/>
        <v>433.62308109869332</v>
      </c>
    </row>
    <row r="5" spans="1:14" ht="18.75" customHeight="1" x14ac:dyDescent="0.3">
      <c r="A5" t="s">
        <v>352</v>
      </c>
      <c r="B5" s="8">
        <v>0.81247196664284349</v>
      </c>
      <c r="J5" s="14" t="s">
        <v>185</v>
      </c>
      <c r="K5" s="19">
        <v>98</v>
      </c>
      <c r="L5" s="19">
        <v>2046</v>
      </c>
      <c r="M5" s="19">
        <v>4</v>
      </c>
      <c r="N5" s="20">
        <f t="shared" si="0"/>
        <v>357.48304318581</v>
      </c>
    </row>
    <row r="6" spans="1:14" ht="18.75" customHeight="1" x14ac:dyDescent="0.3">
      <c r="A6" t="s">
        <v>353</v>
      </c>
      <c r="B6" s="8">
        <v>0.81102200762204069</v>
      </c>
      <c r="J6" s="14" t="s">
        <v>162</v>
      </c>
      <c r="K6" s="19">
        <v>200</v>
      </c>
      <c r="L6" s="19">
        <v>2875</v>
      </c>
      <c r="M6" s="19">
        <v>6</v>
      </c>
      <c r="N6" s="20">
        <f t="shared" si="0"/>
        <v>306.63037066889922</v>
      </c>
    </row>
    <row r="7" spans="1:14" ht="18.75" customHeight="1" x14ac:dyDescent="0.3">
      <c r="A7" t="s">
        <v>354</v>
      </c>
      <c r="B7" s="8">
        <v>16.732722714877234</v>
      </c>
      <c r="J7" s="14" t="s">
        <v>317</v>
      </c>
      <c r="K7" s="19">
        <v>140</v>
      </c>
      <c r="L7" s="19">
        <v>2905</v>
      </c>
      <c r="M7" s="19">
        <v>4</v>
      </c>
      <c r="N7" s="20">
        <f t="shared" si="0"/>
        <v>491.45601218328284</v>
      </c>
    </row>
    <row r="8" spans="1:14" ht="18.75" customHeight="1" x14ac:dyDescent="0.3">
      <c r="A8" s="21" t="s">
        <v>355</v>
      </c>
      <c r="B8" s="22">
        <v>392</v>
      </c>
      <c r="J8" s="14" t="s">
        <v>342</v>
      </c>
      <c r="K8" s="19">
        <v>151</v>
      </c>
      <c r="L8" s="19">
        <v>3035</v>
      </c>
      <c r="M8" s="19">
        <v>4</v>
      </c>
      <c r="N8" s="20">
        <f t="shared" si="0"/>
        <v>498.11984725831337</v>
      </c>
    </row>
    <row r="9" spans="1:14" ht="18.75" customHeight="1" x14ac:dyDescent="0.3"/>
    <row r="10" spans="1:14" ht="18.75" customHeight="1" x14ac:dyDescent="0.3">
      <c r="A10" t="s">
        <v>356</v>
      </c>
    </row>
    <row r="11" spans="1:14" ht="18.75" customHeight="1" x14ac:dyDescent="0.3">
      <c r="A11" s="23"/>
      <c r="B11" s="24" t="s">
        <v>357</v>
      </c>
      <c r="C11" s="24" t="s">
        <v>358</v>
      </c>
      <c r="D11" s="24" t="s">
        <v>359</v>
      </c>
      <c r="E11" s="24" t="s">
        <v>360</v>
      </c>
      <c r="F11" s="24" t="s">
        <v>361</v>
      </c>
    </row>
    <row r="12" spans="1:14" ht="18.75" customHeight="1" x14ac:dyDescent="0.3">
      <c r="A12" t="s">
        <v>362</v>
      </c>
      <c r="B12" s="2">
        <v>3</v>
      </c>
      <c r="C12" s="8">
        <v>470659.83698531019</v>
      </c>
      <c r="D12" s="8">
        <v>156886.61232843672</v>
      </c>
      <c r="E12" s="8">
        <v>560.3413303315466</v>
      </c>
      <c r="F12" s="8">
        <v>1.3402863411082927E-140</v>
      </c>
    </row>
    <row r="13" spans="1:14" ht="18.75" customHeight="1" x14ac:dyDescent="0.3">
      <c r="A13" t="s">
        <v>363</v>
      </c>
      <c r="B13" s="2">
        <v>388</v>
      </c>
      <c r="C13" s="8">
        <v>108633.79566775181</v>
      </c>
      <c r="D13" s="8">
        <v>279.98400945296856</v>
      </c>
    </row>
    <row r="14" spans="1:14" ht="18.75" customHeight="1" x14ac:dyDescent="0.3">
      <c r="A14" s="21" t="s">
        <v>364</v>
      </c>
      <c r="B14" s="22">
        <v>391</v>
      </c>
      <c r="C14" s="25">
        <v>579293.632653062</v>
      </c>
      <c r="D14" s="26"/>
      <c r="E14" s="26"/>
      <c r="F14" s="26"/>
    </row>
    <row r="15" spans="1:14" ht="18.75" customHeight="1" x14ac:dyDescent="0.3"/>
    <row r="16" spans="1:14" ht="18.75" customHeight="1" x14ac:dyDescent="0.3">
      <c r="A16" s="23"/>
      <c r="B16" s="24" t="s">
        <v>365</v>
      </c>
      <c r="C16" s="24" t="s">
        <v>354</v>
      </c>
      <c r="D16" s="24" t="s">
        <v>366</v>
      </c>
      <c r="E16" s="24" t="s">
        <v>367</v>
      </c>
      <c r="F16" s="24" t="s">
        <v>368</v>
      </c>
      <c r="G16" s="24" t="s">
        <v>369</v>
      </c>
      <c r="H16" s="24" t="s">
        <v>370</v>
      </c>
      <c r="I16" s="24" t="s">
        <v>371</v>
      </c>
    </row>
    <row r="17" spans="1:9" ht="18.75" customHeight="1" x14ac:dyDescent="0.3">
      <c r="A17" t="s">
        <v>372</v>
      </c>
      <c r="B17" s="8">
        <v>32.369273363310853</v>
      </c>
      <c r="C17" s="8">
        <v>5.7664876291311096</v>
      </c>
      <c r="D17" s="8">
        <v>5.6133430686277626</v>
      </c>
      <c r="E17" s="8">
        <v>3.7847906055796825E-8</v>
      </c>
      <c r="F17" s="8">
        <v>21.03180003785576</v>
      </c>
      <c r="G17" s="8">
        <v>43.706746688765946</v>
      </c>
      <c r="H17" s="8">
        <v>21.03180003785576</v>
      </c>
      <c r="I17" s="8">
        <v>43.706746688765946</v>
      </c>
    </row>
    <row r="18" spans="1:9" ht="18.75" customHeight="1" x14ac:dyDescent="0.3">
      <c r="A18" t="s">
        <v>373</v>
      </c>
      <c r="B18" s="8">
        <v>-2.9311234996791815</v>
      </c>
      <c r="C18" s="8">
        <v>1.6086794515826432</v>
      </c>
      <c r="D18" s="8">
        <v>-1.8220680924316512</v>
      </c>
      <c r="E18" s="8">
        <v>6.9214340656917964E-2</v>
      </c>
      <c r="F18" s="8">
        <v>-6.0939431473602941</v>
      </c>
      <c r="G18" s="8">
        <v>0.23169614800193061</v>
      </c>
      <c r="H18" s="8">
        <v>-6.0939431473602941</v>
      </c>
      <c r="I18" s="8">
        <v>0.23169614800193061</v>
      </c>
    </row>
    <row r="19" spans="1:9" ht="18.75" customHeight="1" x14ac:dyDescent="0.3">
      <c r="A19" t="s">
        <v>374</v>
      </c>
      <c r="B19" s="8">
        <v>0.29927841208847311</v>
      </c>
      <c r="C19" s="8">
        <v>3.2129665252985537E-2</v>
      </c>
      <c r="D19" s="8">
        <v>9.3147068210013089</v>
      </c>
      <c r="E19" s="8">
        <v>9.2934315610798203E-19</v>
      </c>
      <c r="F19" s="8">
        <v>0.23610837753896471</v>
      </c>
      <c r="G19" s="8">
        <v>0.36244844663798148</v>
      </c>
      <c r="H19" s="8">
        <v>0.23610837753896471</v>
      </c>
      <c r="I19" s="8">
        <v>0.36244844663798148</v>
      </c>
    </row>
    <row r="20" spans="1:9" ht="18.75" customHeight="1" x14ac:dyDescent="0.3">
      <c r="A20" s="21" t="s">
        <v>375</v>
      </c>
      <c r="B20" s="25">
        <v>1.0060414510751249E-2</v>
      </c>
      <c r="C20" s="25">
        <v>2.7803381114456967E-3</v>
      </c>
      <c r="D20" s="25">
        <v>3.6184140588283054</v>
      </c>
      <c r="E20" s="25">
        <v>3.3562279555425734E-4</v>
      </c>
      <c r="F20" s="25">
        <v>4.5940004296702334E-3</v>
      </c>
      <c r="G20" s="25">
        <v>1.5526828591832263E-2</v>
      </c>
      <c r="H20" s="25">
        <v>4.5940004296702334E-3</v>
      </c>
      <c r="I20" s="25">
        <v>1.5526828591832263E-2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0AF8-0566-4440-89B9-751DFE240C82}">
  <dimension ref="A1:J393"/>
  <sheetViews>
    <sheetView tabSelected="1" workbookViewId="0">
      <selection activeCell="Q16" sqref="Q16"/>
    </sheetView>
  </sheetViews>
  <sheetFormatPr defaultRowHeight="14.4" x14ac:dyDescent="0.3"/>
  <cols>
    <col min="1" max="1" width="31.88671875" bestFit="1" customWidth="1"/>
    <col min="3" max="3" width="10.33203125" customWidth="1"/>
    <col min="4" max="4" width="14.109375" customWidth="1"/>
    <col min="5" max="5" width="12.88671875" customWidth="1"/>
    <col min="7" max="7" width="17.33203125" customWidth="1"/>
    <col min="8" max="8" width="13.109375" customWidth="1"/>
    <col min="9" max="9" width="12.88671875" customWidth="1"/>
  </cols>
  <sheetData>
    <row r="1" spans="1:10" ht="28.8" x14ac:dyDescent="0.3">
      <c r="A1" s="11" t="s">
        <v>31</v>
      </c>
      <c r="B1" s="13" t="s">
        <v>33</v>
      </c>
      <c r="C1" s="12" t="s">
        <v>32</v>
      </c>
      <c r="D1" s="12" t="s">
        <v>35</v>
      </c>
      <c r="E1" s="12" t="s">
        <v>36</v>
      </c>
      <c r="F1" s="12" t="s">
        <v>34</v>
      </c>
      <c r="G1" s="13" t="s">
        <v>37</v>
      </c>
      <c r="H1" s="12" t="s">
        <v>38</v>
      </c>
      <c r="I1" s="12" t="s">
        <v>39</v>
      </c>
      <c r="J1" s="11" t="s">
        <v>40</v>
      </c>
    </row>
    <row r="2" spans="1:10" x14ac:dyDescent="0.3">
      <c r="A2" t="s">
        <v>41</v>
      </c>
      <c r="B2" s="2">
        <v>26</v>
      </c>
      <c r="C2" s="2">
        <v>4</v>
      </c>
      <c r="D2" s="2">
        <v>121</v>
      </c>
      <c r="E2" s="2">
        <v>113</v>
      </c>
      <c r="F2" s="2">
        <v>2234</v>
      </c>
      <c r="G2" s="8">
        <f t="shared" ref="G2:G64" si="0">IFERROR(E2/F2, "")</f>
        <v>5.0581915846016116E-2</v>
      </c>
      <c r="H2" s="8">
        <v>12.5</v>
      </c>
      <c r="I2" s="2">
        <v>70</v>
      </c>
      <c r="J2" t="s">
        <v>27</v>
      </c>
    </row>
    <row r="3" spans="1:10" x14ac:dyDescent="0.3">
      <c r="A3" t="s">
        <v>42</v>
      </c>
      <c r="B3" s="2">
        <v>25</v>
      </c>
      <c r="C3" s="2">
        <v>4</v>
      </c>
      <c r="D3" s="2">
        <v>104</v>
      </c>
      <c r="E3" s="2">
        <v>95</v>
      </c>
      <c r="F3" s="2">
        <v>2375</v>
      </c>
      <c r="G3" s="8">
        <f t="shared" si="0"/>
        <v>0.04</v>
      </c>
      <c r="H3" s="8">
        <v>17.5</v>
      </c>
      <c r="I3" s="2">
        <v>70</v>
      </c>
      <c r="J3" t="s">
        <v>27</v>
      </c>
    </row>
    <row r="4" spans="1:10" x14ac:dyDescent="0.3">
      <c r="A4" t="s">
        <v>43</v>
      </c>
      <c r="B4" s="2">
        <v>24</v>
      </c>
      <c r="C4" s="2">
        <v>4</v>
      </c>
      <c r="D4" s="2">
        <v>107</v>
      </c>
      <c r="E4" s="2">
        <v>90</v>
      </c>
      <c r="F4" s="2">
        <v>2430</v>
      </c>
      <c r="G4" s="8">
        <f t="shared" si="0"/>
        <v>3.7037037037037035E-2</v>
      </c>
      <c r="H4" s="8">
        <v>14.5</v>
      </c>
      <c r="I4" s="2">
        <v>70</v>
      </c>
      <c r="J4" t="s">
        <v>27</v>
      </c>
    </row>
    <row r="5" spans="1:10" x14ac:dyDescent="0.3">
      <c r="A5" t="s">
        <v>44</v>
      </c>
      <c r="B5" s="2">
        <v>25</v>
      </c>
      <c r="C5" s="2">
        <v>4</v>
      </c>
      <c r="D5" s="2">
        <v>110</v>
      </c>
      <c r="E5" s="2">
        <v>87</v>
      </c>
      <c r="F5" s="2">
        <v>2672</v>
      </c>
      <c r="G5" s="8">
        <f t="shared" si="0"/>
        <v>3.2559880239520958E-2</v>
      </c>
      <c r="H5" s="8">
        <v>17.5</v>
      </c>
      <c r="I5" s="2">
        <v>70</v>
      </c>
      <c r="J5" t="s">
        <v>27</v>
      </c>
    </row>
    <row r="6" spans="1:10" x14ac:dyDescent="0.3">
      <c r="A6" t="s">
        <v>45</v>
      </c>
      <c r="B6" s="2">
        <v>26</v>
      </c>
      <c r="C6" s="2">
        <v>4</v>
      </c>
      <c r="D6" s="2">
        <v>97</v>
      </c>
      <c r="E6" s="2">
        <v>46</v>
      </c>
      <c r="F6" s="2">
        <v>1835</v>
      </c>
      <c r="G6" s="8">
        <f t="shared" si="0"/>
        <v>2.5068119891008173E-2</v>
      </c>
      <c r="H6" s="8">
        <v>20.5</v>
      </c>
      <c r="I6" s="2">
        <v>70</v>
      </c>
      <c r="J6" t="s">
        <v>27</v>
      </c>
    </row>
    <row r="7" spans="1:10" x14ac:dyDescent="0.3">
      <c r="A7" t="s">
        <v>46</v>
      </c>
      <c r="B7" s="2">
        <v>28</v>
      </c>
      <c r="C7" s="2">
        <v>4</v>
      </c>
      <c r="D7" s="2">
        <v>116</v>
      </c>
      <c r="E7" s="2">
        <v>90</v>
      </c>
      <c r="F7" s="2">
        <v>2123</v>
      </c>
      <c r="G7" s="8">
        <f t="shared" si="0"/>
        <v>4.239284032030146E-2</v>
      </c>
      <c r="H7" s="2">
        <v>14</v>
      </c>
      <c r="I7" s="2">
        <v>71</v>
      </c>
      <c r="J7" t="s">
        <v>27</v>
      </c>
    </row>
    <row r="8" spans="1:10" x14ac:dyDescent="0.3">
      <c r="A8" t="s">
        <v>47</v>
      </c>
      <c r="B8" s="2">
        <v>30</v>
      </c>
      <c r="C8" s="2">
        <v>4</v>
      </c>
      <c r="D8" s="2">
        <v>88</v>
      </c>
      <c r="E8" s="2">
        <v>76</v>
      </c>
      <c r="F8" s="2">
        <v>2065</v>
      </c>
      <c r="G8" s="8">
        <f t="shared" si="0"/>
        <v>3.6803874092009685E-2</v>
      </c>
      <c r="H8" s="8">
        <v>14.5</v>
      </c>
      <c r="I8" s="2">
        <v>71</v>
      </c>
      <c r="J8" t="s">
        <v>27</v>
      </c>
    </row>
    <row r="9" spans="1:10" x14ac:dyDescent="0.3">
      <c r="A9" t="s">
        <v>48</v>
      </c>
      <c r="B9" s="2">
        <v>30</v>
      </c>
      <c r="C9" s="2">
        <v>4</v>
      </c>
      <c r="D9" s="2">
        <v>79</v>
      </c>
      <c r="E9" s="2">
        <v>70</v>
      </c>
      <c r="F9" s="2">
        <v>2074</v>
      </c>
      <c r="G9" s="8">
        <f t="shared" si="0"/>
        <v>3.3751205400192864E-2</v>
      </c>
      <c r="H9" s="8">
        <v>19.5</v>
      </c>
      <c r="I9" s="2">
        <v>71</v>
      </c>
      <c r="J9" t="s">
        <v>27</v>
      </c>
    </row>
    <row r="10" spans="1:10" x14ac:dyDescent="0.3">
      <c r="A10" t="s">
        <v>49</v>
      </c>
      <c r="B10" s="2">
        <v>27</v>
      </c>
      <c r="C10" s="2">
        <v>4</v>
      </c>
      <c r="D10" s="2">
        <v>97</v>
      </c>
      <c r="E10" s="2">
        <v>60</v>
      </c>
      <c r="F10" s="2">
        <v>1834</v>
      </c>
      <c r="G10" s="8">
        <f t="shared" si="0"/>
        <v>3.271537622682661E-2</v>
      </c>
      <c r="H10" s="2">
        <v>19</v>
      </c>
      <c r="I10" s="2">
        <v>71</v>
      </c>
      <c r="J10" t="s">
        <v>27</v>
      </c>
    </row>
    <row r="11" spans="1:10" x14ac:dyDescent="0.3">
      <c r="A11" t="s">
        <v>50</v>
      </c>
      <c r="B11" s="2">
        <v>18</v>
      </c>
      <c r="C11" s="2">
        <v>4</v>
      </c>
      <c r="D11" s="2">
        <v>121</v>
      </c>
      <c r="E11" s="2">
        <v>112</v>
      </c>
      <c r="F11" s="2">
        <v>2933</v>
      </c>
      <c r="G11" s="8">
        <f t="shared" si="0"/>
        <v>3.8186157517899763E-2</v>
      </c>
      <c r="H11" s="8">
        <v>14.5</v>
      </c>
      <c r="I11" s="2">
        <v>72</v>
      </c>
      <c r="J11" t="s">
        <v>27</v>
      </c>
    </row>
    <row r="12" spans="1:10" x14ac:dyDescent="0.3">
      <c r="A12" t="s">
        <v>51</v>
      </c>
      <c r="B12" s="2">
        <v>26</v>
      </c>
      <c r="C12" s="2">
        <v>4</v>
      </c>
      <c r="D12" s="2">
        <v>96</v>
      </c>
      <c r="E12" s="2">
        <v>69</v>
      </c>
      <c r="F12" s="2">
        <v>2189</v>
      </c>
      <c r="G12" s="8">
        <f t="shared" si="0"/>
        <v>3.1521242576518956E-2</v>
      </c>
      <c r="H12" s="2">
        <v>18</v>
      </c>
      <c r="I12" s="2">
        <v>72</v>
      </c>
      <c r="J12" t="s">
        <v>27</v>
      </c>
    </row>
    <row r="13" spans="1:10" x14ac:dyDescent="0.3">
      <c r="A13" t="s">
        <v>52</v>
      </c>
      <c r="B13" s="2">
        <v>22</v>
      </c>
      <c r="C13" s="2">
        <v>4</v>
      </c>
      <c r="D13" s="2">
        <v>121</v>
      </c>
      <c r="E13" s="2">
        <v>76</v>
      </c>
      <c r="F13" s="2">
        <v>2511</v>
      </c>
      <c r="G13" s="8">
        <f t="shared" si="0"/>
        <v>3.0266825965750695E-2</v>
      </c>
      <c r="H13" s="2">
        <v>18</v>
      </c>
      <c r="I13" s="2">
        <v>72</v>
      </c>
      <c r="J13" t="s">
        <v>27</v>
      </c>
    </row>
    <row r="14" spans="1:10" x14ac:dyDescent="0.3">
      <c r="A14" t="s">
        <v>53</v>
      </c>
      <c r="B14" s="2">
        <v>21</v>
      </c>
      <c r="C14" s="2">
        <v>4</v>
      </c>
      <c r="D14" s="2">
        <v>120</v>
      </c>
      <c r="E14" s="2">
        <v>87</v>
      </c>
      <c r="F14" s="2">
        <v>2979</v>
      </c>
      <c r="G14" s="8">
        <f t="shared" si="0"/>
        <v>2.920443101711984E-2</v>
      </c>
      <c r="H14" s="8">
        <v>19.5</v>
      </c>
      <c r="I14" s="2">
        <v>72</v>
      </c>
      <c r="J14" t="s">
        <v>27</v>
      </c>
    </row>
    <row r="15" spans="1:10" x14ac:dyDescent="0.3">
      <c r="A15" t="s">
        <v>54</v>
      </c>
      <c r="B15" s="2">
        <v>23</v>
      </c>
      <c r="C15" s="2">
        <v>4</v>
      </c>
      <c r="D15" s="2">
        <v>97</v>
      </c>
      <c r="E15" s="2">
        <v>54</v>
      </c>
      <c r="F15" s="2">
        <v>2254</v>
      </c>
      <c r="G15" s="8">
        <f t="shared" si="0"/>
        <v>2.3957409050576754E-2</v>
      </c>
      <c r="H15" s="8">
        <v>23.5</v>
      </c>
      <c r="I15" s="2">
        <v>72</v>
      </c>
      <c r="J15" t="s">
        <v>27</v>
      </c>
    </row>
    <row r="16" spans="1:10" x14ac:dyDescent="0.3">
      <c r="A16" t="s">
        <v>55</v>
      </c>
      <c r="B16" s="2">
        <v>24</v>
      </c>
      <c r="C16" s="2">
        <v>4</v>
      </c>
      <c r="D16" s="2">
        <v>121</v>
      </c>
      <c r="E16" s="2">
        <v>110</v>
      </c>
      <c r="F16" s="2">
        <v>2660</v>
      </c>
      <c r="G16" s="8">
        <f t="shared" si="0"/>
        <v>4.1353383458646614E-2</v>
      </c>
      <c r="H16" s="2">
        <v>14</v>
      </c>
      <c r="I16" s="2">
        <v>73</v>
      </c>
      <c r="J16" t="s">
        <v>27</v>
      </c>
    </row>
    <row r="17" spans="1:10" x14ac:dyDescent="0.3">
      <c r="A17" t="s">
        <v>56</v>
      </c>
      <c r="B17" s="2">
        <v>26</v>
      </c>
      <c r="C17" s="2">
        <v>4</v>
      </c>
      <c r="D17" s="2">
        <v>98</v>
      </c>
      <c r="E17" s="2">
        <v>90</v>
      </c>
      <c r="F17" s="2">
        <v>2265</v>
      </c>
      <c r="G17" s="8">
        <f t="shared" si="0"/>
        <v>3.9735099337748346E-2</v>
      </c>
      <c r="H17" s="8">
        <v>15.5</v>
      </c>
      <c r="I17" s="2">
        <v>73</v>
      </c>
      <c r="J17" t="s">
        <v>27</v>
      </c>
    </row>
    <row r="18" spans="1:10" x14ac:dyDescent="0.3">
      <c r="A18" t="s">
        <v>57</v>
      </c>
      <c r="B18" s="2">
        <v>19</v>
      </c>
      <c r="C18" s="2">
        <v>4</v>
      </c>
      <c r="D18" s="2">
        <v>121</v>
      </c>
      <c r="E18" s="2">
        <v>112</v>
      </c>
      <c r="F18" s="2">
        <v>2868</v>
      </c>
      <c r="G18" s="8">
        <f t="shared" si="0"/>
        <v>3.9051603905160388E-2</v>
      </c>
      <c r="H18" s="8">
        <v>15.5</v>
      </c>
      <c r="I18" s="2">
        <v>73</v>
      </c>
      <c r="J18" t="s">
        <v>27</v>
      </c>
    </row>
    <row r="19" spans="1:10" x14ac:dyDescent="0.3">
      <c r="A19" t="s">
        <v>58</v>
      </c>
      <c r="B19" s="2">
        <v>20</v>
      </c>
      <c r="C19" s="2">
        <v>4</v>
      </c>
      <c r="D19" s="2">
        <v>114</v>
      </c>
      <c r="E19" s="2">
        <v>91</v>
      </c>
      <c r="F19" s="2">
        <v>2582</v>
      </c>
      <c r="G19" s="8">
        <f t="shared" si="0"/>
        <v>3.5243996901626648E-2</v>
      </c>
      <c r="H19" s="2">
        <v>14</v>
      </c>
      <c r="I19" s="2">
        <v>73</v>
      </c>
      <c r="J19" t="s">
        <v>27</v>
      </c>
    </row>
    <row r="20" spans="1:10" x14ac:dyDescent="0.3">
      <c r="A20" t="s">
        <v>59</v>
      </c>
      <c r="B20" s="2">
        <v>24</v>
      </c>
      <c r="C20" s="2">
        <v>4</v>
      </c>
      <c r="D20" s="2">
        <v>116</v>
      </c>
      <c r="E20" s="2">
        <v>75</v>
      </c>
      <c r="F20" s="2">
        <v>2158</v>
      </c>
      <c r="G20" s="8">
        <f t="shared" si="0"/>
        <v>3.4754402224281743E-2</v>
      </c>
      <c r="H20" s="8">
        <v>15.5</v>
      </c>
      <c r="I20" s="2">
        <v>73</v>
      </c>
      <c r="J20" t="s">
        <v>27</v>
      </c>
    </row>
    <row r="21" spans="1:10" x14ac:dyDescent="0.3">
      <c r="A21" t="s">
        <v>60</v>
      </c>
      <c r="B21" s="2">
        <v>29</v>
      </c>
      <c r="C21" s="2">
        <v>4</v>
      </c>
      <c r="D21" s="2">
        <v>68</v>
      </c>
      <c r="E21" s="2">
        <v>49</v>
      </c>
      <c r="F21" s="2">
        <v>1867</v>
      </c>
      <c r="G21" s="8">
        <f t="shared" si="0"/>
        <v>2.6245313336904125E-2</v>
      </c>
      <c r="H21" s="8">
        <v>19.5</v>
      </c>
      <c r="I21" s="2">
        <v>73</v>
      </c>
      <c r="J21" t="s">
        <v>27</v>
      </c>
    </row>
    <row r="22" spans="1:10" x14ac:dyDescent="0.3">
      <c r="A22" t="s">
        <v>61</v>
      </c>
      <c r="B22" s="2">
        <v>26</v>
      </c>
      <c r="C22" s="2">
        <v>4</v>
      </c>
      <c r="D22" s="2">
        <v>97</v>
      </c>
      <c r="E22" s="2">
        <v>46</v>
      </c>
      <c r="F22" s="2">
        <v>1950</v>
      </c>
      <c r="G22" s="8">
        <f t="shared" si="0"/>
        <v>2.3589743589743591E-2</v>
      </c>
      <c r="H22" s="2">
        <v>21</v>
      </c>
      <c r="I22" s="2">
        <v>73</v>
      </c>
      <c r="J22" t="s">
        <v>27</v>
      </c>
    </row>
    <row r="23" spans="1:10" x14ac:dyDescent="0.3">
      <c r="A23" t="s">
        <v>62</v>
      </c>
      <c r="B23" s="2">
        <v>29</v>
      </c>
      <c r="C23" s="2">
        <v>4</v>
      </c>
      <c r="D23" s="2">
        <v>98</v>
      </c>
      <c r="E23" s="2">
        <v>83</v>
      </c>
      <c r="F23" s="2">
        <v>2219</v>
      </c>
      <c r="G23" s="8">
        <f t="shared" si="0"/>
        <v>3.740423614240649E-2</v>
      </c>
      <c r="H23" s="8">
        <v>16.5</v>
      </c>
      <c r="I23" s="2">
        <v>74</v>
      </c>
      <c r="J23" t="s">
        <v>27</v>
      </c>
    </row>
    <row r="24" spans="1:10" x14ac:dyDescent="0.3">
      <c r="A24" t="s">
        <v>60</v>
      </c>
      <c r="B24" s="2">
        <v>24</v>
      </c>
      <c r="C24" s="2">
        <v>4</v>
      </c>
      <c r="D24" s="2">
        <v>90</v>
      </c>
      <c r="E24" s="2">
        <v>75</v>
      </c>
      <c r="F24" s="2">
        <v>2108</v>
      </c>
      <c r="G24" s="8">
        <f t="shared" si="0"/>
        <v>3.5578747628083489E-2</v>
      </c>
      <c r="H24" s="8">
        <v>15.5</v>
      </c>
      <c r="I24" s="2">
        <v>74</v>
      </c>
      <c r="J24" t="s">
        <v>27</v>
      </c>
    </row>
    <row r="25" spans="1:10" x14ac:dyDescent="0.3">
      <c r="A25" t="s">
        <v>63</v>
      </c>
      <c r="B25" s="2">
        <v>26</v>
      </c>
      <c r="C25" s="2">
        <v>4</v>
      </c>
      <c r="D25" s="2">
        <v>79</v>
      </c>
      <c r="E25" s="2">
        <v>67</v>
      </c>
      <c r="F25" s="2">
        <v>1963</v>
      </c>
      <c r="G25" s="8">
        <f t="shared" si="0"/>
        <v>3.4131431482424861E-2</v>
      </c>
      <c r="H25" s="8">
        <v>15.5</v>
      </c>
      <c r="I25" s="2">
        <v>74</v>
      </c>
      <c r="J25" t="s">
        <v>27</v>
      </c>
    </row>
    <row r="26" spans="1:10" x14ac:dyDescent="0.3">
      <c r="A26" t="s">
        <v>59</v>
      </c>
      <c r="B26" s="2">
        <v>26</v>
      </c>
      <c r="C26" s="2">
        <v>4</v>
      </c>
      <c r="D26" s="2">
        <v>97</v>
      </c>
      <c r="E26" s="2">
        <v>78</v>
      </c>
      <c r="F26" s="2">
        <v>2300</v>
      </c>
      <c r="G26" s="8">
        <f t="shared" si="0"/>
        <v>3.3913043478260872E-2</v>
      </c>
      <c r="H26" s="8">
        <v>14.5</v>
      </c>
      <c r="I26" s="2">
        <v>74</v>
      </c>
      <c r="J26" t="s">
        <v>27</v>
      </c>
    </row>
    <row r="27" spans="1:10" x14ac:dyDescent="0.3">
      <c r="A27" t="s">
        <v>64</v>
      </c>
      <c r="B27" s="2">
        <v>31</v>
      </c>
      <c r="C27" s="2">
        <v>4</v>
      </c>
      <c r="D27" s="2">
        <v>79</v>
      </c>
      <c r="E27" s="2">
        <v>67</v>
      </c>
      <c r="F27" s="2">
        <v>2000</v>
      </c>
      <c r="G27" s="8">
        <f t="shared" si="0"/>
        <v>3.3500000000000002E-2</v>
      </c>
      <c r="H27" s="2">
        <v>16</v>
      </c>
      <c r="I27" s="2">
        <v>74</v>
      </c>
      <c r="J27" t="s">
        <v>27</v>
      </c>
    </row>
    <row r="28" spans="1:10" x14ac:dyDescent="0.3">
      <c r="A28" t="s">
        <v>65</v>
      </c>
      <c r="B28" s="2">
        <v>26</v>
      </c>
      <c r="C28" s="2">
        <v>4</v>
      </c>
      <c r="D28" s="2">
        <v>116</v>
      </c>
      <c r="E28" s="2">
        <v>75</v>
      </c>
      <c r="F28" s="2">
        <v>2246</v>
      </c>
      <c r="G28" s="8">
        <f t="shared" si="0"/>
        <v>3.3392698130008905E-2</v>
      </c>
      <c r="H28" s="2">
        <v>14</v>
      </c>
      <c r="I28" s="2">
        <v>74</v>
      </c>
      <c r="J28" t="s">
        <v>27</v>
      </c>
    </row>
    <row r="29" spans="1:10" x14ac:dyDescent="0.3">
      <c r="A29" t="s">
        <v>55</v>
      </c>
      <c r="B29" s="2">
        <v>25</v>
      </c>
      <c r="C29" s="2">
        <v>4</v>
      </c>
      <c r="D29" s="2">
        <v>121</v>
      </c>
      <c r="E29" s="2">
        <v>115</v>
      </c>
      <c r="F29" s="2">
        <v>2671</v>
      </c>
      <c r="G29" s="8">
        <f t="shared" si="0"/>
        <v>4.3055035567203297E-2</v>
      </c>
      <c r="H29" s="8">
        <v>13.5</v>
      </c>
      <c r="I29" s="2">
        <v>75</v>
      </c>
      <c r="J29" t="s">
        <v>27</v>
      </c>
    </row>
    <row r="30" spans="1:10" x14ac:dyDescent="0.3">
      <c r="A30" t="s">
        <v>66</v>
      </c>
      <c r="B30" s="2">
        <v>29</v>
      </c>
      <c r="C30" s="2">
        <v>4</v>
      </c>
      <c r="D30" s="2">
        <v>90</v>
      </c>
      <c r="E30" s="2">
        <v>70</v>
      </c>
      <c r="F30" s="2">
        <v>1937</v>
      </c>
      <c r="G30" s="8">
        <f t="shared" si="0"/>
        <v>3.6138358286009295E-2</v>
      </c>
      <c r="H30" s="2">
        <v>14</v>
      </c>
      <c r="I30" s="2">
        <v>75</v>
      </c>
      <c r="J30" t="s">
        <v>27</v>
      </c>
    </row>
    <row r="31" spans="1:10" x14ac:dyDescent="0.3">
      <c r="A31" t="s">
        <v>58</v>
      </c>
      <c r="B31" s="2">
        <v>23</v>
      </c>
      <c r="C31" s="2">
        <v>4</v>
      </c>
      <c r="D31" s="2">
        <v>115</v>
      </c>
      <c r="E31" s="2">
        <v>95</v>
      </c>
      <c r="F31" s="2">
        <v>2694</v>
      </c>
      <c r="G31" s="8">
        <f t="shared" si="0"/>
        <v>3.526354862657758E-2</v>
      </c>
      <c r="H31" s="2">
        <v>15</v>
      </c>
      <c r="I31" s="2">
        <v>75</v>
      </c>
      <c r="J31" t="s">
        <v>27</v>
      </c>
    </row>
    <row r="32" spans="1:10" x14ac:dyDescent="0.3">
      <c r="A32" t="s">
        <v>67</v>
      </c>
      <c r="B32" s="2">
        <v>22</v>
      </c>
      <c r="C32" s="2">
        <v>4</v>
      </c>
      <c r="D32" s="2">
        <v>121</v>
      </c>
      <c r="E32" s="2">
        <v>98</v>
      </c>
      <c r="F32" s="2">
        <v>2945</v>
      </c>
      <c r="G32" s="8">
        <f t="shared" si="0"/>
        <v>3.3276740237691005E-2</v>
      </c>
      <c r="H32" s="8">
        <v>14.5</v>
      </c>
      <c r="I32" s="2">
        <v>75</v>
      </c>
      <c r="J32" t="s">
        <v>27</v>
      </c>
    </row>
    <row r="33" spans="1:10" x14ac:dyDescent="0.3">
      <c r="A33" t="s">
        <v>63</v>
      </c>
      <c r="B33" s="2">
        <v>25</v>
      </c>
      <c r="C33" s="2">
        <v>4</v>
      </c>
      <c r="D33" s="2">
        <v>90</v>
      </c>
      <c r="E33" s="2">
        <v>71</v>
      </c>
      <c r="F33" s="2">
        <v>2223</v>
      </c>
      <c r="G33" s="8">
        <f t="shared" si="0"/>
        <v>3.1938821412505626E-2</v>
      </c>
      <c r="H33" s="8">
        <v>16.5</v>
      </c>
      <c r="I33" s="2">
        <v>75</v>
      </c>
      <c r="J33" t="s">
        <v>27</v>
      </c>
    </row>
    <row r="34" spans="1:10" x14ac:dyDescent="0.3">
      <c r="A34" t="s">
        <v>44</v>
      </c>
      <c r="B34" s="2">
        <v>23</v>
      </c>
      <c r="C34" s="2">
        <v>4</v>
      </c>
      <c r="D34" s="2">
        <v>120</v>
      </c>
      <c r="E34" s="2">
        <v>88</v>
      </c>
      <c r="F34" s="2">
        <v>2957</v>
      </c>
      <c r="G34" s="8">
        <f t="shared" si="0"/>
        <v>2.9759891782211702E-2</v>
      </c>
      <c r="H34" s="2">
        <v>17</v>
      </c>
      <c r="I34" s="2">
        <v>75</v>
      </c>
      <c r="J34" t="s">
        <v>27</v>
      </c>
    </row>
    <row r="35" spans="1:10" x14ac:dyDescent="0.3">
      <c r="A35" t="s">
        <v>66</v>
      </c>
      <c r="B35" s="8">
        <v>29.5</v>
      </c>
      <c r="C35" s="2">
        <v>4</v>
      </c>
      <c r="D35" s="2">
        <v>97</v>
      </c>
      <c r="E35" s="2">
        <v>71</v>
      </c>
      <c r="F35" s="2">
        <v>1825</v>
      </c>
      <c r="G35" s="8">
        <f t="shared" si="0"/>
        <v>3.8904109589041093E-2</v>
      </c>
      <c r="H35" s="8">
        <v>12.2</v>
      </c>
      <c r="I35" s="2">
        <v>76</v>
      </c>
      <c r="J35" t="s">
        <v>27</v>
      </c>
    </row>
    <row r="36" spans="1:10" x14ac:dyDescent="0.3">
      <c r="A36" t="s">
        <v>68</v>
      </c>
      <c r="B36" s="2">
        <v>27</v>
      </c>
      <c r="C36" s="2">
        <v>4</v>
      </c>
      <c r="D36" s="2">
        <v>101</v>
      </c>
      <c r="E36" s="2">
        <v>83</v>
      </c>
      <c r="F36" s="2">
        <v>2202</v>
      </c>
      <c r="G36" s="8">
        <f t="shared" si="0"/>
        <v>3.7693006357856496E-2</v>
      </c>
      <c r="H36" s="8">
        <v>15.3</v>
      </c>
      <c r="I36" s="2">
        <v>76</v>
      </c>
      <c r="J36" t="s">
        <v>27</v>
      </c>
    </row>
    <row r="37" spans="1:10" x14ac:dyDescent="0.3">
      <c r="A37" t="s">
        <v>46</v>
      </c>
      <c r="B37" s="2">
        <v>25</v>
      </c>
      <c r="C37" s="2">
        <v>4</v>
      </c>
      <c r="D37" s="2">
        <v>116</v>
      </c>
      <c r="E37" s="2">
        <v>81</v>
      </c>
      <c r="F37" s="2">
        <v>2220</v>
      </c>
      <c r="G37" s="8">
        <f t="shared" si="0"/>
        <v>3.6486486486486489E-2</v>
      </c>
      <c r="H37" s="8">
        <v>16.899999999999999</v>
      </c>
      <c r="I37" s="2">
        <v>76</v>
      </c>
      <c r="J37" t="s">
        <v>27</v>
      </c>
    </row>
    <row r="38" spans="1:10" x14ac:dyDescent="0.3">
      <c r="A38" t="s">
        <v>69</v>
      </c>
      <c r="B38" s="2">
        <v>29</v>
      </c>
      <c r="C38" s="2">
        <v>4</v>
      </c>
      <c r="D38" s="2">
        <v>90</v>
      </c>
      <c r="E38" s="2">
        <v>70</v>
      </c>
      <c r="F38" s="2">
        <v>1937</v>
      </c>
      <c r="G38" s="8">
        <f t="shared" si="0"/>
        <v>3.6138358286009295E-2</v>
      </c>
      <c r="H38" s="8">
        <v>14.2</v>
      </c>
      <c r="I38" s="2">
        <v>76</v>
      </c>
      <c r="J38" t="s">
        <v>27</v>
      </c>
    </row>
    <row r="39" spans="1:10" x14ac:dyDescent="0.3">
      <c r="A39" t="s">
        <v>70</v>
      </c>
      <c r="B39" s="2">
        <v>28</v>
      </c>
      <c r="C39" s="2">
        <v>4</v>
      </c>
      <c r="D39" s="2">
        <v>107</v>
      </c>
      <c r="E39" s="2">
        <v>86</v>
      </c>
      <c r="F39" s="2">
        <v>2464</v>
      </c>
      <c r="G39" s="8">
        <f t="shared" si="0"/>
        <v>3.49025974025974E-2</v>
      </c>
      <c r="H39" s="8">
        <v>15.5</v>
      </c>
      <c r="I39" s="2">
        <v>76</v>
      </c>
      <c r="J39" t="s">
        <v>27</v>
      </c>
    </row>
    <row r="40" spans="1:10" x14ac:dyDescent="0.3">
      <c r="A40" t="s">
        <v>71</v>
      </c>
      <c r="B40" s="2">
        <v>20</v>
      </c>
      <c r="C40" s="2">
        <v>4</v>
      </c>
      <c r="D40" s="2">
        <v>130</v>
      </c>
      <c r="E40" s="2">
        <v>102</v>
      </c>
      <c r="F40" s="2">
        <v>3150</v>
      </c>
      <c r="G40" s="8">
        <f t="shared" si="0"/>
        <v>3.2380952380952378E-2</v>
      </c>
      <c r="H40" s="8">
        <v>15.7</v>
      </c>
      <c r="I40" s="2">
        <v>76</v>
      </c>
      <c r="J40" t="s">
        <v>27</v>
      </c>
    </row>
    <row r="41" spans="1:10" x14ac:dyDescent="0.3">
      <c r="A41" t="s">
        <v>44</v>
      </c>
      <c r="B41" s="2">
        <v>19</v>
      </c>
      <c r="C41" s="2">
        <v>4</v>
      </c>
      <c r="D41" s="2">
        <v>120</v>
      </c>
      <c r="E41" s="2">
        <v>88</v>
      </c>
      <c r="F41" s="2">
        <v>3270</v>
      </c>
      <c r="G41" s="8">
        <f t="shared" si="0"/>
        <v>2.6911314984709479E-2</v>
      </c>
      <c r="H41" s="8">
        <v>21.9</v>
      </c>
      <c r="I41" s="2">
        <v>76</v>
      </c>
      <c r="J41" t="s">
        <v>27</v>
      </c>
    </row>
    <row r="42" spans="1:10" x14ac:dyDescent="0.3">
      <c r="A42" t="s">
        <v>72</v>
      </c>
      <c r="B42" s="8">
        <v>16.5</v>
      </c>
      <c r="C42" s="2">
        <v>6</v>
      </c>
      <c r="D42" s="2">
        <v>168</v>
      </c>
      <c r="E42" s="2">
        <v>120</v>
      </c>
      <c r="F42" s="2">
        <v>3820</v>
      </c>
      <c r="G42" s="8">
        <f t="shared" si="0"/>
        <v>3.1413612565445025E-2</v>
      </c>
      <c r="H42" s="8">
        <v>16.7</v>
      </c>
      <c r="I42" s="2">
        <v>76</v>
      </c>
      <c r="J42" t="s">
        <v>27</v>
      </c>
    </row>
    <row r="43" spans="1:10" x14ac:dyDescent="0.3">
      <c r="A43" t="s">
        <v>73</v>
      </c>
      <c r="B43" s="8">
        <v>21.5</v>
      </c>
      <c r="C43" s="2">
        <v>4</v>
      </c>
      <c r="D43" s="2">
        <v>121</v>
      </c>
      <c r="E43" s="2">
        <v>110</v>
      </c>
      <c r="F43" s="2">
        <v>2600</v>
      </c>
      <c r="G43" s="8">
        <f t="shared" si="0"/>
        <v>4.230769230769231E-2</v>
      </c>
      <c r="H43" s="8">
        <v>12.8</v>
      </c>
      <c r="I43" s="2">
        <v>77</v>
      </c>
      <c r="J43" t="s">
        <v>27</v>
      </c>
    </row>
    <row r="44" spans="1:10" x14ac:dyDescent="0.3">
      <c r="A44" t="s">
        <v>74</v>
      </c>
      <c r="B44" s="2">
        <v>29</v>
      </c>
      <c r="C44" s="2">
        <v>4</v>
      </c>
      <c r="D44" s="2">
        <v>97</v>
      </c>
      <c r="E44" s="2">
        <v>78</v>
      </c>
      <c r="F44" s="2">
        <v>1940</v>
      </c>
      <c r="G44" s="8">
        <f t="shared" si="0"/>
        <v>4.0206185567010312E-2</v>
      </c>
      <c r="H44" s="8">
        <v>14.5</v>
      </c>
      <c r="I44" s="2">
        <v>77</v>
      </c>
      <c r="J44" t="s">
        <v>27</v>
      </c>
    </row>
    <row r="45" spans="1:10" x14ac:dyDescent="0.3">
      <c r="A45" t="s">
        <v>63</v>
      </c>
      <c r="B45" s="8">
        <v>30.5</v>
      </c>
      <c r="C45" s="2">
        <v>4</v>
      </c>
      <c r="D45" s="2">
        <v>97</v>
      </c>
      <c r="E45" s="2">
        <v>78</v>
      </c>
      <c r="F45" s="2">
        <v>2190</v>
      </c>
      <c r="G45" s="8">
        <f t="shared" si="0"/>
        <v>3.5616438356164383E-2</v>
      </c>
      <c r="H45" s="8">
        <v>14.1</v>
      </c>
      <c r="I45" s="2">
        <v>77</v>
      </c>
      <c r="J45" t="s">
        <v>27</v>
      </c>
    </row>
    <row r="46" spans="1:10" x14ac:dyDescent="0.3">
      <c r="A46" t="s">
        <v>75</v>
      </c>
      <c r="B46" s="2">
        <v>36</v>
      </c>
      <c r="C46" s="2">
        <v>4</v>
      </c>
      <c r="D46" s="2">
        <v>79</v>
      </c>
      <c r="E46" s="2">
        <v>58</v>
      </c>
      <c r="F46" s="2">
        <v>1825</v>
      </c>
      <c r="G46" s="8">
        <f t="shared" si="0"/>
        <v>3.1780821917808219E-2</v>
      </c>
      <c r="H46" s="8">
        <v>18.600000000000001</v>
      </c>
      <c r="I46" s="2">
        <v>77</v>
      </c>
      <c r="J46" t="s">
        <v>27</v>
      </c>
    </row>
    <row r="47" spans="1:10" x14ac:dyDescent="0.3">
      <c r="A47" t="s">
        <v>76</v>
      </c>
      <c r="B47" s="8">
        <v>21.6</v>
      </c>
      <c r="C47" s="2">
        <v>4</v>
      </c>
      <c r="D47" s="2">
        <v>121</v>
      </c>
      <c r="E47" s="2">
        <v>115</v>
      </c>
      <c r="F47" s="2">
        <v>2795</v>
      </c>
      <c r="G47" s="8">
        <f t="shared" si="0"/>
        <v>4.1144901610017888E-2</v>
      </c>
      <c r="H47" s="8">
        <v>15.7</v>
      </c>
      <c r="I47" s="2">
        <v>78</v>
      </c>
      <c r="J47" t="s">
        <v>27</v>
      </c>
    </row>
    <row r="48" spans="1:10" x14ac:dyDescent="0.3">
      <c r="A48" t="s">
        <v>77</v>
      </c>
      <c r="B48" s="8">
        <v>31.5</v>
      </c>
      <c r="C48" s="2">
        <v>4</v>
      </c>
      <c r="D48" s="2">
        <v>89</v>
      </c>
      <c r="E48" s="2">
        <v>71</v>
      </c>
      <c r="F48" s="2">
        <v>1990</v>
      </c>
      <c r="G48" s="8">
        <f t="shared" si="0"/>
        <v>3.5678391959798994E-2</v>
      </c>
      <c r="H48" s="8">
        <v>14.9</v>
      </c>
      <c r="I48" s="2">
        <v>78</v>
      </c>
      <c r="J48" t="s">
        <v>27</v>
      </c>
    </row>
    <row r="49" spans="1:10" x14ac:dyDescent="0.3">
      <c r="A49" t="s">
        <v>78</v>
      </c>
      <c r="B49" s="8">
        <v>43.1</v>
      </c>
      <c r="C49" s="2">
        <v>4</v>
      </c>
      <c r="D49" s="2">
        <v>90</v>
      </c>
      <c r="E49" s="2">
        <v>48</v>
      </c>
      <c r="F49" s="2">
        <v>1985</v>
      </c>
      <c r="G49" s="8">
        <f t="shared" si="0"/>
        <v>2.4181360201511334E-2</v>
      </c>
      <c r="H49" s="8">
        <v>21.5</v>
      </c>
      <c r="I49" s="2">
        <v>78</v>
      </c>
      <c r="J49" t="s">
        <v>27</v>
      </c>
    </row>
    <row r="50" spans="1:10" x14ac:dyDescent="0.3">
      <c r="A50" t="s">
        <v>79</v>
      </c>
      <c r="B50" s="8">
        <v>20.3</v>
      </c>
      <c r="C50" s="2">
        <v>5</v>
      </c>
      <c r="D50" s="2">
        <v>131</v>
      </c>
      <c r="E50" s="2">
        <v>103</v>
      </c>
      <c r="F50" s="2">
        <v>2830</v>
      </c>
      <c r="G50" s="8">
        <f t="shared" si="0"/>
        <v>3.6395759717314485E-2</v>
      </c>
      <c r="H50" s="8">
        <v>15.9</v>
      </c>
      <c r="I50" s="2">
        <v>78</v>
      </c>
      <c r="J50" t="s">
        <v>27</v>
      </c>
    </row>
    <row r="51" spans="1:10" x14ac:dyDescent="0.3">
      <c r="A51" t="s">
        <v>80</v>
      </c>
      <c r="B51" s="2">
        <v>17</v>
      </c>
      <c r="C51" s="2">
        <v>6</v>
      </c>
      <c r="D51" s="2">
        <v>163</v>
      </c>
      <c r="E51" s="2">
        <v>125</v>
      </c>
      <c r="F51" s="2">
        <v>3140</v>
      </c>
      <c r="G51" s="8">
        <f t="shared" si="0"/>
        <v>3.9808917197452227E-2</v>
      </c>
      <c r="H51" s="8">
        <v>13.6</v>
      </c>
      <c r="I51" s="2">
        <v>78</v>
      </c>
      <c r="J51" t="s">
        <v>27</v>
      </c>
    </row>
    <row r="52" spans="1:10" x14ac:dyDescent="0.3">
      <c r="A52" t="s">
        <v>81</v>
      </c>
      <c r="B52" s="8">
        <v>16.2</v>
      </c>
      <c r="C52" s="2">
        <v>6</v>
      </c>
      <c r="D52" s="2">
        <v>163</v>
      </c>
      <c r="E52" s="2">
        <v>133</v>
      </c>
      <c r="F52" s="2">
        <v>3410</v>
      </c>
      <c r="G52" s="8">
        <f t="shared" si="0"/>
        <v>3.9002932551319647E-2</v>
      </c>
      <c r="H52" s="8">
        <v>15.8</v>
      </c>
      <c r="I52" s="2">
        <v>78</v>
      </c>
      <c r="J52" t="s">
        <v>27</v>
      </c>
    </row>
    <row r="53" spans="1:10" x14ac:dyDescent="0.3">
      <c r="A53" t="s">
        <v>82</v>
      </c>
      <c r="B53" s="8">
        <v>31.9</v>
      </c>
      <c r="C53" s="2">
        <v>4</v>
      </c>
      <c r="D53" s="2">
        <v>89</v>
      </c>
      <c r="E53" s="2">
        <v>71</v>
      </c>
      <c r="F53" s="2">
        <v>1925</v>
      </c>
      <c r="G53" s="8">
        <f t="shared" si="0"/>
        <v>3.6883116883116886E-2</v>
      </c>
      <c r="H53" s="2">
        <v>14</v>
      </c>
      <c r="I53" s="2">
        <v>79</v>
      </c>
      <c r="J53" t="s">
        <v>27</v>
      </c>
    </row>
    <row r="54" spans="1:10" x14ac:dyDescent="0.3">
      <c r="A54" t="s">
        <v>83</v>
      </c>
      <c r="B54" s="8">
        <v>37.299999999999997</v>
      </c>
      <c r="C54" s="2">
        <v>4</v>
      </c>
      <c r="D54" s="2">
        <v>91</v>
      </c>
      <c r="E54" s="2">
        <v>69</v>
      </c>
      <c r="F54" s="2">
        <v>2130</v>
      </c>
      <c r="G54" s="8">
        <f t="shared" si="0"/>
        <v>3.2394366197183097E-2</v>
      </c>
      <c r="H54" s="8">
        <v>14.7</v>
      </c>
      <c r="I54" s="2">
        <v>79</v>
      </c>
      <c r="J54" t="s">
        <v>27</v>
      </c>
    </row>
    <row r="55" spans="1:10" x14ac:dyDescent="0.3">
      <c r="A55" t="s">
        <v>44</v>
      </c>
      <c r="B55" s="8">
        <v>27.2</v>
      </c>
      <c r="C55" s="2">
        <v>4</v>
      </c>
      <c r="D55" s="2">
        <v>141</v>
      </c>
      <c r="E55" s="2">
        <v>71</v>
      </c>
      <c r="F55" s="2">
        <v>3190</v>
      </c>
      <c r="G55" s="8">
        <f t="shared" si="0"/>
        <v>2.2257053291536051E-2</v>
      </c>
      <c r="H55" s="8">
        <v>24.8</v>
      </c>
      <c r="I55" s="2">
        <v>79</v>
      </c>
      <c r="J55" t="s">
        <v>27</v>
      </c>
    </row>
    <row r="56" spans="1:10" x14ac:dyDescent="0.3">
      <c r="A56" t="s">
        <v>84</v>
      </c>
      <c r="B56" s="8">
        <v>25.4</v>
      </c>
      <c r="C56" s="2">
        <v>5</v>
      </c>
      <c r="D56" s="2">
        <v>183</v>
      </c>
      <c r="E56" s="2">
        <v>77</v>
      </c>
      <c r="F56" s="2">
        <v>3530</v>
      </c>
      <c r="G56" s="8">
        <f t="shared" si="0"/>
        <v>2.1813031161473088E-2</v>
      </c>
      <c r="H56" s="8">
        <v>20.100000000000001</v>
      </c>
      <c r="I56" s="2">
        <v>79</v>
      </c>
      <c r="J56" t="s">
        <v>27</v>
      </c>
    </row>
    <row r="57" spans="1:10" x14ac:dyDescent="0.3">
      <c r="A57" t="s">
        <v>85</v>
      </c>
      <c r="B57" s="8">
        <v>34.299999999999997</v>
      </c>
      <c r="C57" s="2">
        <v>4</v>
      </c>
      <c r="D57" s="2">
        <v>97</v>
      </c>
      <c r="E57" s="2">
        <v>78</v>
      </c>
      <c r="F57" s="2">
        <v>2188</v>
      </c>
      <c r="G57" s="8">
        <f t="shared" si="0"/>
        <v>3.5648994515539302E-2</v>
      </c>
      <c r="H57" s="8">
        <v>15.8</v>
      </c>
      <c r="I57" s="2">
        <v>80</v>
      </c>
      <c r="J57" t="s">
        <v>27</v>
      </c>
    </row>
    <row r="58" spans="1:10" x14ac:dyDescent="0.3">
      <c r="A58" t="s">
        <v>69</v>
      </c>
      <c r="B58" s="8">
        <v>41.5</v>
      </c>
      <c r="C58" s="2">
        <v>4</v>
      </c>
      <c r="D58" s="2">
        <v>98</v>
      </c>
      <c r="E58" s="2">
        <v>76</v>
      </c>
      <c r="F58" s="2">
        <v>2144</v>
      </c>
      <c r="G58" s="8">
        <f t="shared" si="0"/>
        <v>3.5447761194029849E-2</v>
      </c>
      <c r="H58" s="8">
        <v>14.7</v>
      </c>
      <c r="I58" s="2">
        <v>80</v>
      </c>
      <c r="J58" t="s">
        <v>27</v>
      </c>
    </row>
    <row r="59" spans="1:10" x14ac:dyDescent="0.3">
      <c r="A59" t="s">
        <v>86</v>
      </c>
      <c r="B59" s="2">
        <v>35</v>
      </c>
      <c r="C59" s="2">
        <v>4</v>
      </c>
      <c r="D59" s="2">
        <v>122</v>
      </c>
      <c r="E59" s="2">
        <v>88</v>
      </c>
      <c r="F59" s="2">
        <v>2500</v>
      </c>
      <c r="G59" s="8">
        <f t="shared" si="0"/>
        <v>3.5200000000000002E-2</v>
      </c>
      <c r="H59" s="8">
        <v>15.1</v>
      </c>
      <c r="I59" s="2">
        <v>80</v>
      </c>
      <c r="J59" t="s">
        <v>27</v>
      </c>
    </row>
    <row r="60" spans="1:10" x14ac:dyDescent="0.3">
      <c r="A60" t="s">
        <v>87</v>
      </c>
      <c r="B60" s="8">
        <v>29.8</v>
      </c>
      <c r="C60" s="2">
        <v>4</v>
      </c>
      <c r="D60" s="2">
        <v>89</v>
      </c>
      <c r="E60" s="2">
        <v>62</v>
      </c>
      <c r="F60" s="2">
        <v>1845</v>
      </c>
      <c r="G60" s="8">
        <f t="shared" si="0"/>
        <v>3.3604336043360432E-2</v>
      </c>
      <c r="H60" s="8">
        <v>15.3</v>
      </c>
      <c r="I60" s="2">
        <v>80</v>
      </c>
      <c r="J60" t="s">
        <v>27</v>
      </c>
    </row>
    <row r="61" spans="1:10" x14ac:dyDescent="0.3">
      <c r="A61" t="s">
        <v>88</v>
      </c>
      <c r="B61" s="8">
        <v>44.3</v>
      </c>
      <c r="C61" s="2">
        <v>4</v>
      </c>
      <c r="D61" s="2">
        <v>90</v>
      </c>
      <c r="E61" s="2">
        <v>48</v>
      </c>
      <c r="F61" s="2">
        <v>2085</v>
      </c>
      <c r="G61" s="8">
        <f t="shared" si="0"/>
        <v>2.302158273381295E-2</v>
      </c>
      <c r="H61" s="8">
        <v>21.7</v>
      </c>
      <c r="I61" s="2">
        <v>80</v>
      </c>
      <c r="J61" t="s">
        <v>27</v>
      </c>
    </row>
    <row r="62" spans="1:10" x14ac:dyDescent="0.3">
      <c r="A62" t="s">
        <v>89</v>
      </c>
      <c r="B62" s="2">
        <v>30</v>
      </c>
      <c r="C62" s="2">
        <v>4</v>
      </c>
      <c r="D62" s="2">
        <v>146</v>
      </c>
      <c r="E62" s="2">
        <v>67</v>
      </c>
      <c r="F62" s="2">
        <v>3250</v>
      </c>
      <c r="G62" s="8">
        <f t="shared" si="0"/>
        <v>2.0615384615384615E-2</v>
      </c>
      <c r="H62" s="8">
        <v>21.8</v>
      </c>
      <c r="I62" s="2">
        <v>80</v>
      </c>
      <c r="J62" t="s">
        <v>27</v>
      </c>
    </row>
    <row r="63" spans="1:10" x14ac:dyDescent="0.3">
      <c r="A63" t="s">
        <v>90</v>
      </c>
      <c r="B63" s="8">
        <v>43.4</v>
      </c>
      <c r="C63" s="2">
        <v>4</v>
      </c>
      <c r="D63" s="2">
        <v>90</v>
      </c>
      <c r="E63" s="2">
        <v>48</v>
      </c>
      <c r="F63" s="2">
        <v>2335</v>
      </c>
      <c r="G63" s="8">
        <f t="shared" si="0"/>
        <v>2.0556745182012847E-2</v>
      </c>
      <c r="H63" s="8">
        <v>23.7</v>
      </c>
      <c r="I63" s="2">
        <v>80</v>
      </c>
      <c r="J63" t="s">
        <v>27</v>
      </c>
    </row>
    <row r="64" spans="1:10" x14ac:dyDescent="0.3">
      <c r="A64" t="s">
        <v>92</v>
      </c>
      <c r="B64" s="8">
        <v>36.4</v>
      </c>
      <c r="C64" s="2">
        <v>5</v>
      </c>
      <c r="D64" s="2">
        <v>121</v>
      </c>
      <c r="E64" s="2">
        <v>67</v>
      </c>
      <c r="F64" s="2">
        <v>2950</v>
      </c>
      <c r="G64" s="8">
        <f t="shared" si="0"/>
        <v>2.271186440677966E-2</v>
      </c>
      <c r="H64" s="8">
        <v>19.899999999999999</v>
      </c>
      <c r="I64" s="2">
        <v>80</v>
      </c>
      <c r="J64" t="s">
        <v>27</v>
      </c>
    </row>
    <row r="65" spans="1:10" x14ac:dyDescent="0.3">
      <c r="A65" t="s">
        <v>93</v>
      </c>
      <c r="B65" s="2">
        <v>33</v>
      </c>
      <c r="C65" s="2">
        <v>4</v>
      </c>
      <c r="D65" s="2">
        <v>105</v>
      </c>
      <c r="E65" s="2">
        <v>74</v>
      </c>
      <c r="F65" s="2">
        <v>2190</v>
      </c>
      <c r="G65" s="8">
        <f t="shared" ref="G65:G127" si="1">IFERROR(E65/F65, "")</f>
        <v>3.3789954337899546E-2</v>
      </c>
      <c r="H65" s="8">
        <v>14.2</v>
      </c>
      <c r="I65" s="2">
        <v>81</v>
      </c>
      <c r="J65" t="s">
        <v>27</v>
      </c>
    </row>
    <row r="66" spans="1:10" x14ac:dyDescent="0.3">
      <c r="A66" t="s">
        <v>94</v>
      </c>
      <c r="B66" s="8">
        <v>28.1</v>
      </c>
      <c r="C66" s="2">
        <v>4</v>
      </c>
      <c r="D66" s="2">
        <v>141</v>
      </c>
      <c r="E66" s="2">
        <v>80</v>
      </c>
      <c r="F66" s="2">
        <v>3230</v>
      </c>
      <c r="G66" s="8">
        <f t="shared" si="1"/>
        <v>2.4767801857585141E-2</v>
      </c>
      <c r="H66" s="8">
        <v>20.399999999999999</v>
      </c>
      <c r="I66" s="2">
        <v>81</v>
      </c>
      <c r="J66" t="s">
        <v>27</v>
      </c>
    </row>
    <row r="67" spans="1:10" x14ac:dyDescent="0.3">
      <c r="A67" t="s">
        <v>96</v>
      </c>
      <c r="B67" s="8">
        <v>30.7</v>
      </c>
      <c r="C67" s="2">
        <v>6</v>
      </c>
      <c r="D67" s="2">
        <v>145</v>
      </c>
      <c r="E67" s="2">
        <v>76</v>
      </c>
      <c r="F67" s="2">
        <v>3160</v>
      </c>
      <c r="G67" s="8">
        <f t="shared" si="1"/>
        <v>2.4050632911392405E-2</v>
      </c>
      <c r="H67" s="8">
        <v>19.600000000000001</v>
      </c>
      <c r="I67" s="2">
        <v>81</v>
      </c>
      <c r="J67" t="s">
        <v>27</v>
      </c>
    </row>
    <row r="68" spans="1:10" x14ac:dyDescent="0.3">
      <c r="A68" t="s">
        <v>97</v>
      </c>
      <c r="B68" s="2">
        <v>36</v>
      </c>
      <c r="C68" s="2">
        <v>4</v>
      </c>
      <c r="D68" s="2">
        <v>105</v>
      </c>
      <c r="E68" s="2">
        <v>74</v>
      </c>
      <c r="F68" s="2">
        <v>1980</v>
      </c>
      <c r="G68" s="8">
        <f t="shared" si="1"/>
        <v>3.7373737373737372E-2</v>
      </c>
      <c r="H68" s="8">
        <v>15.3</v>
      </c>
      <c r="I68" s="2">
        <v>82</v>
      </c>
      <c r="J68" t="s">
        <v>27</v>
      </c>
    </row>
    <row r="69" spans="1:10" x14ac:dyDescent="0.3">
      <c r="A69" t="s">
        <v>98</v>
      </c>
      <c r="B69" s="2">
        <v>44</v>
      </c>
      <c r="C69" s="2">
        <v>4</v>
      </c>
      <c r="D69" s="2">
        <v>97</v>
      </c>
      <c r="E69" s="2">
        <v>52</v>
      </c>
      <c r="F69" s="2">
        <v>2130</v>
      </c>
      <c r="G69" s="8">
        <f t="shared" si="1"/>
        <v>2.4413145539906103E-2</v>
      </c>
      <c r="H69" s="8">
        <v>24.6</v>
      </c>
      <c r="I69" s="2">
        <v>82</v>
      </c>
      <c r="J69" t="s">
        <v>27</v>
      </c>
    </row>
    <row r="70" spans="1:10" x14ac:dyDescent="0.3">
      <c r="A70" t="s">
        <v>99</v>
      </c>
      <c r="B70" s="2">
        <v>27</v>
      </c>
      <c r="C70" s="2">
        <v>4</v>
      </c>
      <c r="D70" s="2">
        <v>97</v>
      </c>
      <c r="E70" s="2">
        <v>88</v>
      </c>
      <c r="F70" s="2">
        <v>2130</v>
      </c>
      <c r="G70" s="8">
        <f t="shared" si="1"/>
        <v>4.1314553990610327E-2</v>
      </c>
      <c r="H70" s="8">
        <v>14.5</v>
      </c>
      <c r="I70" s="2">
        <v>70</v>
      </c>
      <c r="J70" t="s">
        <v>28</v>
      </c>
    </row>
    <row r="71" spans="1:10" x14ac:dyDescent="0.3">
      <c r="A71" t="s">
        <v>100</v>
      </c>
      <c r="B71" s="2">
        <v>24</v>
      </c>
      <c r="C71" s="2">
        <v>4</v>
      </c>
      <c r="D71" s="2">
        <v>113</v>
      </c>
      <c r="E71" s="2">
        <v>95</v>
      </c>
      <c r="F71" s="2">
        <v>2372</v>
      </c>
      <c r="G71" s="8">
        <f t="shared" si="1"/>
        <v>4.0050590219224282E-2</v>
      </c>
      <c r="H71" s="2">
        <v>15</v>
      </c>
      <c r="I71" s="2">
        <v>70</v>
      </c>
      <c r="J71" t="s">
        <v>28</v>
      </c>
    </row>
    <row r="72" spans="1:10" x14ac:dyDescent="0.3">
      <c r="A72" t="s">
        <v>101</v>
      </c>
      <c r="B72" s="2">
        <v>35</v>
      </c>
      <c r="C72" s="2">
        <v>4</v>
      </c>
      <c r="D72" s="2">
        <v>72</v>
      </c>
      <c r="E72" s="2">
        <v>69</v>
      </c>
      <c r="F72" s="2">
        <v>1613</v>
      </c>
      <c r="G72" s="8">
        <f t="shared" si="1"/>
        <v>4.2777433353998758E-2</v>
      </c>
      <c r="H72" s="2">
        <v>18</v>
      </c>
      <c r="I72" s="2">
        <v>71</v>
      </c>
      <c r="J72" t="s">
        <v>28</v>
      </c>
    </row>
    <row r="73" spans="1:10" x14ac:dyDescent="0.3">
      <c r="A73" t="s">
        <v>102</v>
      </c>
      <c r="B73" s="2">
        <v>25</v>
      </c>
      <c r="C73" s="2">
        <v>4</v>
      </c>
      <c r="D73" s="2">
        <v>113</v>
      </c>
      <c r="E73" s="2">
        <v>95</v>
      </c>
      <c r="F73" s="2">
        <v>2228</v>
      </c>
      <c r="G73" s="8">
        <f t="shared" si="1"/>
        <v>4.2639138240574505E-2</v>
      </c>
      <c r="H73" s="2">
        <v>14</v>
      </c>
      <c r="I73" s="2">
        <v>71</v>
      </c>
      <c r="J73" t="s">
        <v>28</v>
      </c>
    </row>
    <row r="74" spans="1:10" x14ac:dyDescent="0.3">
      <c r="A74" t="s">
        <v>99</v>
      </c>
      <c r="B74" s="2">
        <v>27</v>
      </c>
      <c r="C74" s="2">
        <v>4</v>
      </c>
      <c r="D74" s="2">
        <v>97</v>
      </c>
      <c r="E74" s="2">
        <v>88</v>
      </c>
      <c r="F74" s="2">
        <v>2130</v>
      </c>
      <c r="G74" s="8">
        <f t="shared" si="1"/>
        <v>4.1314553990610327E-2</v>
      </c>
      <c r="H74" s="8">
        <v>14.5</v>
      </c>
      <c r="I74" s="2">
        <v>71</v>
      </c>
      <c r="J74" t="s">
        <v>28</v>
      </c>
    </row>
    <row r="75" spans="1:10" x14ac:dyDescent="0.3">
      <c r="A75" t="s">
        <v>103</v>
      </c>
      <c r="B75" s="2">
        <v>31</v>
      </c>
      <c r="C75" s="2">
        <v>4</v>
      </c>
      <c r="D75" s="2">
        <v>71</v>
      </c>
      <c r="E75" s="2">
        <v>65</v>
      </c>
      <c r="F75" s="2">
        <v>1773</v>
      </c>
      <c r="G75" s="8">
        <f t="shared" si="1"/>
        <v>3.6661026508742242E-2</v>
      </c>
      <c r="H75" s="2">
        <v>19</v>
      </c>
      <c r="I75" s="2">
        <v>71</v>
      </c>
      <c r="J75" t="s">
        <v>28</v>
      </c>
    </row>
    <row r="76" spans="1:10" x14ac:dyDescent="0.3">
      <c r="A76" t="s">
        <v>104</v>
      </c>
      <c r="B76" s="2">
        <v>19</v>
      </c>
      <c r="C76" s="2">
        <v>3</v>
      </c>
      <c r="D76" s="2">
        <v>70</v>
      </c>
      <c r="E76" s="2">
        <v>97</v>
      </c>
      <c r="F76" s="2">
        <v>2330</v>
      </c>
      <c r="G76" s="8">
        <f t="shared" si="1"/>
        <v>4.1630901287553645E-2</v>
      </c>
      <c r="H76" s="8">
        <v>13.5</v>
      </c>
      <c r="I76" s="2">
        <v>72</v>
      </c>
      <c r="J76" t="s">
        <v>28</v>
      </c>
    </row>
    <row r="77" spans="1:10" x14ac:dyDescent="0.3">
      <c r="A77" t="s">
        <v>105</v>
      </c>
      <c r="B77" s="2">
        <v>27</v>
      </c>
      <c r="C77" s="2">
        <v>4</v>
      </c>
      <c r="D77" s="2">
        <v>97</v>
      </c>
      <c r="E77" s="2">
        <v>88</v>
      </c>
      <c r="F77" s="2">
        <v>2100</v>
      </c>
      <c r="G77" s="8">
        <f t="shared" si="1"/>
        <v>4.1904761904761903E-2</v>
      </c>
      <c r="H77" s="8">
        <v>16.5</v>
      </c>
      <c r="I77" s="2">
        <v>72</v>
      </c>
      <c r="J77" t="s">
        <v>28</v>
      </c>
    </row>
    <row r="78" spans="1:10" x14ac:dyDescent="0.3">
      <c r="A78" t="s">
        <v>106</v>
      </c>
      <c r="B78" s="2">
        <v>24</v>
      </c>
      <c r="C78" s="2">
        <v>4</v>
      </c>
      <c r="D78" s="2">
        <v>113</v>
      </c>
      <c r="E78" s="2">
        <v>95</v>
      </c>
      <c r="F78" s="2">
        <v>2278</v>
      </c>
      <c r="G78" s="8">
        <f t="shared" si="1"/>
        <v>4.1703248463564532E-2</v>
      </c>
      <c r="H78" s="8">
        <v>15.5</v>
      </c>
      <c r="I78" s="2">
        <v>72</v>
      </c>
      <c r="J78" t="s">
        <v>28</v>
      </c>
    </row>
    <row r="79" spans="1:10" x14ac:dyDescent="0.3">
      <c r="A79" t="s">
        <v>107</v>
      </c>
      <c r="B79" s="2">
        <v>28</v>
      </c>
      <c r="C79" s="2">
        <v>4</v>
      </c>
      <c r="D79" s="2">
        <v>97</v>
      </c>
      <c r="E79" s="2">
        <v>92</v>
      </c>
      <c r="F79" s="2">
        <v>2288</v>
      </c>
      <c r="G79" s="8">
        <f t="shared" si="1"/>
        <v>4.0209790209790208E-2</v>
      </c>
      <c r="H79" s="2">
        <v>17</v>
      </c>
      <c r="I79" s="2">
        <v>72</v>
      </c>
      <c r="J79" t="s">
        <v>28</v>
      </c>
    </row>
    <row r="80" spans="1:10" x14ac:dyDescent="0.3">
      <c r="A80" t="s">
        <v>108</v>
      </c>
      <c r="B80" s="2">
        <v>23</v>
      </c>
      <c r="C80" s="2">
        <v>4</v>
      </c>
      <c r="D80" s="2">
        <v>120</v>
      </c>
      <c r="E80" s="2">
        <v>97</v>
      </c>
      <c r="F80" s="2">
        <v>2506</v>
      </c>
      <c r="G80" s="8">
        <f t="shared" si="1"/>
        <v>3.8707102952913006E-2</v>
      </c>
      <c r="H80" s="8">
        <v>14.5</v>
      </c>
      <c r="I80" s="2">
        <v>72</v>
      </c>
      <c r="J80" t="s">
        <v>28</v>
      </c>
    </row>
    <row r="81" spans="1:10" x14ac:dyDescent="0.3">
      <c r="A81" t="s">
        <v>109</v>
      </c>
      <c r="B81" s="2">
        <v>18</v>
      </c>
      <c r="C81" s="2">
        <v>3</v>
      </c>
      <c r="D81" s="2">
        <v>70</v>
      </c>
      <c r="E81" s="2">
        <v>90</v>
      </c>
      <c r="F81" s="2">
        <v>2124</v>
      </c>
      <c r="G81" s="8">
        <f t="shared" si="1"/>
        <v>4.2372881355932202E-2</v>
      </c>
      <c r="H81" s="8">
        <v>13.5</v>
      </c>
      <c r="I81" s="2">
        <v>73</v>
      </c>
      <c r="J81" t="s">
        <v>28</v>
      </c>
    </row>
    <row r="82" spans="1:10" x14ac:dyDescent="0.3">
      <c r="A82" t="s">
        <v>110</v>
      </c>
      <c r="B82" s="2">
        <v>22</v>
      </c>
      <c r="C82" s="2">
        <v>4</v>
      </c>
      <c r="D82" s="2">
        <v>108</v>
      </c>
      <c r="E82" s="2">
        <v>94</v>
      </c>
      <c r="F82" s="2">
        <v>2379</v>
      </c>
      <c r="G82" s="8">
        <f t="shared" si="1"/>
        <v>3.9512400168137875E-2</v>
      </c>
      <c r="H82" s="8">
        <v>16.5</v>
      </c>
      <c r="I82" s="2">
        <v>73</v>
      </c>
      <c r="J82" t="s">
        <v>28</v>
      </c>
    </row>
    <row r="83" spans="1:10" x14ac:dyDescent="0.3">
      <c r="A83" t="s">
        <v>111</v>
      </c>
      <c r="B83" s="2">
        <v>20</v>
      </c>
      <c r="C83" s="2">
        <v>4</v>
      </c>
      <c r="D83" s="2">
        <v>97</v>
      </c>
      <c r="E83" s="2">
        <v>88</v>
      </c>
      <c r="F83" s="2">
        <v>2279</v>
      </c>
      <c r="G83" s="8">
        <f t="shared" si="1"/>
        <v>3.861342694164107E-2</v>
      </c>
      <c r="H83" s="2">
        <v>19</v>
      </c>
      <c r="I83" s="2">
        <v>73</v>
      </c>
      <c r="J83" t="s">
        <v>28</v>
      </c>
    </row>
    <row r="84" spans="1:10" x14ac:dyDescent="0.3">
      <c r="A84" t="s">
        <v>112</v>
      </c>
      <c r="B84" s="2">
        <v>20</v>
      </c>
      <c r="C84" s="2">
        <v>6</v>
      </c>
      <c r="D84" s="2">
        <v>156</v>
      </c>
      <c r="E84" s="2">
        <v>122</v>
      </c>
      <c r="F84" s="2">
        <v>2807</v>
      </c>
      <c r="G84" s="8">
        <f t="shared" si="1"/>
        <v>4.3462771642322762E-2</v>
      </c>
      <c r="H84" s="8">
        <v>13.5</v>
      </c>
      <c r="I84" s="2">
        <v>73</v>
      </c>
      <c r="J84" t="s">
        <v>28</v>
      </c>
    </row>
    <row r="85" spans="1:10" x14ac:dyDescent="0.3">
      <c r="A85" t="s">
        <v>113</v>
      </c>
      <c r="B85" s="2">
        <v>24</v>
      </c>
      <c r="C85" s="2">
        <v>4</v>
      </c>
      <c r="D85" s="2">
        <v>120</v>
      </c>
      <c r="E85" s="2">
        <v>97</v>
      </c>
      <c r="F85" s="2">
        <v>2489</v>
      </c>
      <c r="G85" s="8">
        <f t="shared" si="1"/>
        <v>3.8971474487746086E-2</v>
      </c>
      <c r="H85" s="2">
        <v>15</v>
      </c>
      <c r="I85" s="2">
        <v>74</v>
      </c>
      <c r="J85" t="s">
        <v>28</v>
      </c>
    </row>
    <row r="86" spans="1:10" x14ac:dyDescent="0.3">
      <c r="A86" t="s">
        <v>114</v>
      </c>
      <c r="B86" s="2">
        <v>26</v>
      </c>
      <c r="C86" s="2">
        <v>4</v>
      </c>
      <c r="D86" s="2">
        <v>108</v>
      </c>
      <c r="E86" s="2">
        <v>93</v>
      </c>
      <c r="F86" s="2">
        <v>2391</v>
      </c>
      <c r="G86" s="8">
        <f t="shared" si="1"/>
        <v>3.889585947302384E-2</v>
      </c>
      <c r="H86" s="8">
        <v>15.5</v>
      </c>
      <c r="I86" s="2">
        <v>74</v>
      </c>
      <c r="J86" t="s">
        <v>28</v>
      </c>
    </row>
    <row r="87" spans="1:10" x14ac:dyDescent="0.3">
      <c r="A87" t="s">
        <v>103</v>
      </c>
      <c r="B87" s="2">
        <v>32</v>
      </c>
      <c r="C87" s="2">
        <v>4</v>
      </c>
      <c r="D87" s="2">
        <v>71</v>
      </c>
      <c r="E87" s="2">
        <v>65</v>
      </c>
      <c r="F87" s="2">
        <v>1836</v>
      </c>
      <c r="G87" s="8">
        <f t="shared" si="1"/>
        <v>3.5403050108932459E-2</v>
      </c>
      <c r="H87" s="2">
        <v>21</v>
      </c>
      <c r="I87" s="2">
        <v>74</v>
      </c>
      <c r="J87" t="s">
        <v>28</v>
      </c>
    </row>
    <row r="88" spans="1:10" x14ac:dyDescent="0.3">
      <c r="A88" t="s">
        <v>115</v>
      </c>
      <c r="B88" s="2">
        <v>31</v>
      </c>
      <c r="C88" s="2">
        <v>4</v>
      </c>
      <c r="D88" s="2">
        <v>79</v>
      </c>
      <c r="E88" s="2">
        <v>67</v>
      </c>
      <c r="F88" s="2">
        <v>1950</v>
      </c>
      <c r="G88" s="8">
        <f t="shared" si="1"/>
        <v>3.4358974358974358E-2</v>
      </c>
      <c r="H88" s="2">
        <v>19</v>
      </c>
      <c r="I88" s="2">
        <v>74</v>
      </c>
      <c r="J88" t="s">
        <v>28</v>
      </c>
    </row>
    <row r="89" spans="1:10" x14ac:dyDescent="0.3">
      <c r="A89" t="s">
        <v>102</v>
      </c>
      <c r="B89" s="2">
        <v>31</v>
      </c>
      <c r="C89" s="2">
        <v>4</v>
      </c>
      <c r="D89" s="2">
        <v>76</v>
      </c>
      <c r="E89" s="2">
        <v>52</v>
      </c>
      <c r="F89" s="2">
        <v>1649</v>
      </c>
      <c r="G89" s="8">
        <f t="shared" si="1"/>
        <v>3.1534263189812006E-2</v>
      </c>
      <c r="H89" s="8">
        <v>16.5</v>
      </c>
      <c r="I89" s="2">
        <v>74</v>
      </c>
      <c r="J89" t="s">
        <v>28</v>
      </c>
    </row>
    <row r="90" spans="1:10" x14ac:dyDescent="0.3">
      <c r="A90" t="s">
        <v>116</v>
      </c>
      <c r="B90" s="2">
        <v>32</v>
      </c>
      <c r="C90" s="2">
        <v>4</v>
      </c>
      <c r="D90" s="2">
        <v>83</v>
      </c>
      <c r="E90" s="2">
        <v>61</v>
      </c>
      <c r="F90" s="2">
        <v>2003</v>
      </c>
      <c r="G90" s="8">
        <f t="shared" si="1"/>
        <v>3.0454318522216674E-2</v>
      </c>
      <c r="H90" s="2">
        <v>19</v>
      </c>
      <c r="I90" s="2">
        <v>74</v>
      </c>
      <c r="J90" t="s">
        <v>28</v>
      </c>
    </row>
    <row r="91" spans="1:10" x14ac:dyDescent="0.3">
      <c r="A91" t="s">
        <v>116</v>
      </c>
      <c r="B91" s="2">
        <v>24</v>
      </c>
      <c r="C91" s="2">
        <v>4</v>
      </c>
      <c r="D91" s="2">
        <v>119</v>
      </c>
      <c r="E91" s="2">
        <v>97</v>
      </c>
      <c r="F91" s="2">
        <v>2545</v>
      </c>
      <c r="G91" s="8">
        <f t="shared" si="1"/>
        <v>3.81139489194499E-2</v>
      </c>
      <c r="H91" s="2">
        <v>17</v>
      </c>
      <c r="I91" s="2">
        <v>75</v>
      </c>
      <c r="J91" t="s">
        <v>28</v>
      </c>
    </row>
    <row r="92" spans="1:10" x14ac:dyDescent="0.3">
      <c r="A92" t="s">
        <v>102</v>
      </c>
      <c r="B92" s="2">
        <v>24</v>
      </c>
      <c r="C92" s="2">
        <v>4</v>
      </c>
      <c r="D92" s="2">
        <v>134</v>
      </c>
      <c r="E92" s="2">
        <v>96</v>
      </c>
      <c r="F92" s="2">
        <v>2702</v>
      </c>
      <c r="G92" s="8">
        <f t="shared" si="1"/>
        <v>3.552923760177646E-2</v>
      </c>
      <c r="H92" s="8">
        <v>13.5</v>
      </c>
      <c r="I92" s="2">
        <v>75</v>
      </c>
      <c r="J92" t="s">
        <v>28</v>
      </c>
    </row>
    <row r="93" spans="1:10" x14ac:dyDescent="0.3">
      <c r="A93" t="s">
        <v>117</v>
      </c>
      <c r="B93" s="2">
        <v>29</v>
      </c>
      <c r="C93" s="2">
        <v>4</v>
      </c>
      <c r="D93" s="2">
        <v>97</v>
      </c>
      <c r="E93" s="2">
        <v>75</v>
      </c>
      <c r="F93" s="2">
        <v>2171</v>
      </c>
      <c r="G93" s="8">
        <f t="shared" si="1"/>
        <v>3.4546292031321972E-2</v>
      </c>
      <c r="H93" s="2">
        <v>16</v>
      </c>
      <c r="I93" s="2">
        <v>75</v>
      </c>
      <c r="J93" t="s">
        <v>28</v>
      </c>
    </row>
    <row r="94" spans="1:10" x14ac:dyDescent="0.3">
      <c r="A94" t="s">
        <v>118</v>
      </c>
      <c r="B94" s="2">
        <v>33</v>
      </c>
      <c r="C94" s="2">
        <v>4</v>
      </c>
      <c r="D94" s="2">
        <v>91</v>
      </c>
      <c r="E94" s="2">
        <v>53</v>
      </c>
      <c r="F94" s="2">
        <v>1795</v>
      </c>
      <c r="G94" s="8">
        <f t="shared" si="1"/>
        <v>2.9526462395543174E-2</v>
      </c>
      <c r="H94" s="8">
        <v>17.5</v>
      </c>
      <c r="I94" s="2">
        <v>75</v>
      </c>
      <c r="J94" t="s">
        <v>28</v>
      </c>
    </row>
    <row r="95" spans="1:10" x14ac:dyDescent="0.3">
      <c r="A95" t="s">
        <v>119</v>
      </c>
      <c r="B95" s="2">
        <v>32</v>
      </c>
      <c r="C95" s="2">
        <v>4</v>
      </c>
      <c r="D95" s="2">
        <v>85</v>
      </c>
      <c r="E95" s="2">
        <v>70</v>
      </c>
      <c r="F95" s="2">
        <v>1990</v>
      </c>
      <c r="G95" s="8">
        <f t="shared" si="1"/>
        <v>3.5175879396984924E-2</v>
      </c>
      <c r="H95" s="2">
        <v>17</v>
      </c>
      <c r="I95" s="2">
        <v>76</v>
      </c>
      <c r="J95" t="s">
        <v>28</v>
      </c>
    </row>
    <row r="96" spans="1:10" x14ac:dyDescent="0.3">
      <c r="A96" t="s">
        <v>117</v>
      </c>
      <c r="B96" s="2">
        <v>28</v>
      </c>
      <c r="C96" s="2">
        <v>4</v>
      </c>
      <c r="D96" s="2">
        <v>97</v>
      </c>
      <c r="E96" s="2">
        <v>75</v>
      </c>
      <c r="F96" s="2">
        <v>2155</v>
      </c>
      <c r="G96" s="8">
        <f t="shared" si="1"/>
        <v>3.4802784222737818E-2</v>
      </c>
      <c r="H96" s="8">
        <v>16.399999999999999</v>
      </c>
      <c r="I96" s="2">
        <v>76</v>
      </c>
      <c r="J96" t="s">
        <v>28</v>
      </c>
    </row>
    <row r="97" spans="1:10" x14ac:dyDescent="0.3">
      <c r="A97" t="s">
        <v>113</v>
      </c>
      <c r="B97" s="2">
        <v>33</v>
      </c>
      <c r="C97" s="2">
        <v>4</v>
      </c>
      <c r="D97" s="2">
        <v>91</v>
      </c>
      <c r="E97" s="2">
        <v>53</v>
      </c>
      <c r="F97" s="2">
        <v>1795</v>
      </c>
      <c r="G97" s="8">
        <f t="shared" si="1"/>
        <v>2.9526462395543174E-2</v>
      </c>
      <c r="H97" s="8">
        <v>17.399999999999999</v>
      </c>
      <c r="I97" s="2">
        <v>76</v>
      </c>
      <c r="J97" t="s">
        <v>28</v>
      </c>
    </row>
    <row r="98" spans="1:10" x14ac:dyDescent="0.3">
      <c r="A98" t="s">
        <v>112</v>
      </c>
      <c r="B98" s="2">
        <v>19</v>
      </c>
      <c r="C98" s="2">
        <v>6</v>
      </c>
      <c r="D98" s="2">
        <v>156</v>
      </c>
      <c r="E98" s="2">
        <v>108</v>
      </c>
      <c r="F98" s="2">
        <v>2930</v>
      </c>
      <c r="G98" s="8">
        <f t="shared" si="1"/>
        <v>3.6860068259385668E-2</v>
      </c>
      <c r="H98" s="8">
        <v>15.5</v>
      </c>
      <c r="I98" s="2">
        <v>76</v>
      </c>
      <c r="J98" t="s">
        <v>28</v>
      </c>
    </row>
    <row r="99" spans="1:10" x14ac:dyDescent="0.3">
      <c r="A99" t="s">
        <v>120</v>
      </c>
      <c r="B99" s="8">
        <v>21.5</v>
      </c>
      <c r="C99" s="2">
        <v>3</v>
      </c>
      <c r="D99" s="2">
        <v>80</v>
      </c>
      <c r="E99" s="2">
        <v>110</v>
      </c>
      <c r="F99" s="2">
        <v>2720</v>
      </c>
      <c r="G99" s="8">
        <f t="shared" si="1"/>
        <v>4.0441176470588237E-2</v>
      </c>
      <c r="H99" s="8">
        <v>13.5</v>
      </c>
      <c r="I99" s="2">
        <v>77</v>
      </c>
      <c r="J99" t="s">
        <v>28</v>
      </c>
    </row>
    <row r="100" spans="1:10" x14ac:dyDescent="0.3">
      <c r="A100" t="s">
        <v>121</v>
      </c>
      <c r="B100" s="8">
        <v>33.5</v>
      </c>
      <c r="C100" s="2">
        <v>4</v>
      </c>
      <c r="D100" s="2">
        <v>85</v>
      </c>
      <c r="E100" s="2">
        <v>70</v>
      </c>
      <c r="F100" s="2">
        <v>1945</v>
      </c>
      <c r="G100" s="8">
        <f t="shared" si="1"/>
        <v>3.5989717223650387E-2</v>
      </c>
      <c r="H100" s="8">
        <v>16.8</v>
      </c>
      <c r="I100" s="2">
        <v>77</v>
      </c>
      <c r="J100" t="s">
        <v>28</v>
      </c>
    </row>
    <row r="101" spans="1:10" x14ac:dyDescent="0.3">
      <c r="A101" t="s">
        <v>122</v>
      </c>
      <c r="B101" s="2">
        <v>30</v>
      </c>
      <c r="C101" s="2">
        <v>4</v>
      </c>
      <c r="D101" s="2">
        <v>97</v>
      </c>
      <c r="E101" s="2">
        <v>67</v>
      </c>
      <c r="F101" s="2">
        <v>1985</v>
      </c>
      <c r="G101" s="8">
        <f t="shared" si="1"/>
        <v>3.3753148614609575E-2</v>
      </c>
      <c r="H101" s="8">
        <v>16.399999999999999</v>
      </c>
      <c r="I101" s="2">
        <v>77</v>
      </c>
      <c r="J101" t="s">
        <v>28</v>
      </c>
    </row>
    <row r="102" spans="1:10" x14ac:dyDescent="0.3">
      <c r="A102" t="s">
        <v>123</v>
      </c>
      <c r="B102" s="8">
        <v>31.5</v>
      </c>
      <c r="C102" s="2">
        <v>4</v>
      </c>
      <c r="D102" s="2">
        <v>98</v>
      </c>
      <c r="E102" s="2">
        <v>68</v>
      </c>
      <c r="F102" s="2">
        <v>2045</v>
      </c>
      <c r="G102" s="8">
        <f t="shared" si="1"/>
        <v>3.3251833740831294E-2</v>
      </c>
      <c r="H102" s="8">
        <v>18.5</v>
      </c>
      <c r="I102" s="2">
        <v>77</v>
      </c>
      <c r="J102" t="s">
        <v>28</v>
      </c>
    </row>
    <row r="103" spans="1:10" x14ac:dyDescent="0.3">
      <c r="A103" t="s">
        <v>124</v>
      </c>
      <c r="B103" s="2">
        <v>26</v>
      </c>
      <c r="C103" s="2">
        <v>4</v>
      </c>
      <c r="D103" s="2">
        <v>97</v>
      </c>
      <c r="E103" s="2">
        <v>75</v>
      </c>
      <c r="F103" s="2">
        <v>2265</v>
      </c>
      <c r="G103" s="8">
        <f t="shared" si="1"/>
        <v>3.3112582781456956E-2</v>
      </c>
      <c r="H103" s="8">
        <v>18.2</v>
      </c>
      <c r="I103" s="2">
        <v>77</v>
      </c>
      <c r="J103" t="s">
        <v>28</v>
      </c>
    </row>
    <row r="104" spans="1:10" x14ac:dyDescent="0.3">
      <c r="A104" t="s">
        <v>125</v>
      </c>
      <c r="B104" s="2">
        <v>22</v>
      </c>
      <c r="C104" s="2">
        <v>6</v>
      </c>
      <c r="D104" s="2">
        <v>146</v>
      </c>
      <c r="E104" s="2">
        <v>97</v>
      </c>
      <c r="F104" s="2">
        <v>2815</v>
      </c>
      <c r="G104" s="8">
        <f t="shared" si="1"/>
        <v>3.4458259325044406E-2</v>
      </c>
      <c r="H104" s="8">
        <v>14.5</v>
      </c>
      <c r="I104" s="2">
        <v>77</v>
      </c>
      <c r="J104" t="s">
        <v>28</v>
      </c>
    </row>
    <row r="105" spans="1:10" x14ac:dyDescent="0.3">
      <c r="A105" t="s">
        <v>126</v>
      </c>
      <c r="B105" s="8">
        <v>27.2</v>
      </c>
      <c r="C105" s="2">
        <v>4</v>
      </c>
      <c r="D105" s="2">
        <v>119</v>
      </c>
      <c r="E105" s="2">
        <v>97</v>
      </c>
      <c r="F105" s="2">
        <v>2300</v>
      </c>
      <c r="G105" s="8">
        <f t="shared" si="1"/>
        <v>4.2173913043478263E-2</v>
      </c>
      <c r="H105" s="8">
        <v>14.7</v>
      </c>
      <c r="I105" s="2">
        <v>78</v>
      </c>
      <c r="J105" t="s">
        <v>28</v>
      </c>
    </row>
    <row r="106" spans="1:10" x14ac:dyDescent="0.3">
      <c r="A106" t="s">
        <v>127</v>
      </c>
      <c r="B106" s="8">
        <v>23.9</v>
      </c>
      <c r="C106" s="2">
        <v>4</v>
      </c>
      <c r="D106" s="2">
        <v>119</v>
      </c>
      <c r="E106" s="2">
        <v>97</v>
      </c>
      <c r="F106" s="2">
        <v>2405</v>
      </c>
      <c r="G106" s="8">
        <f t="shared" si="1"/>
        <v>4.0332640332640335E-2</v>
      </c>
      <c r="H106" s="8">
        <v>14.9</v>
      </c>
      <c r="I106" s="2">
        <v>78</v>
      </c>
      <c r="J106" t="s">
        <v>28</v>
      </c>
    </row>
    <row r="107" spans="1:10" x14ac:dyDescent="0.3">
      <c r="A107" t="s">
        <v>128</v>
      </c>
      <c r="B107" s="8">
        <v>21.1</v>
      </c>
      <c r="C107" s="2">
        <v>4</v>
      </c>
      <c r="D107" s="2">
        <v>134</v>
      </c>
      <c r="E107" s="2">
        <v>95</v>
      </c>
      <c r="F107" s="2">
        <v>2515</v>
      </c>
      <c r="G107" s="8">
        <f t="shared" si="1"/>
        <v>3.7773359840954271E-2</v>
      </c>
      <c r="H107" s="8">
        <v>14.8</v>
      </c>
      <c r="I107" s="2">
        <v>78</v>
      </c>
      <c r="J107" t="s">
        <v>28</v>
      </c>
    </row>
    <row r="108" spans="1:10" x14ac:dyDescent="0.3">
      <c r="A108" t="s">
        <v>102</v>
      </c>
      <c r="B108" s="8">
        <v>27.5</v>
      </c>
      <c r="C108" s="2">
        <v>4</v>
      </c>
      <c r="D108" s="2">
        <v>134</v>
      </c>
      <c r="E108" s="2">
        <v>95</v>
      </c>
      <c r="F108" s="2">
        <v>2560</v>
      </c>
      <c r="G108" s="8">
        <f t="shared" si="1"/>
        <v>3.7109375E-2</v>
      </c>
      <c r="H108" s="8">
        <v>14.2</v>
      </c>
      <c r="I108" s="2">
        <v>78</v>
      </c>
      <c r="J108" t="s">
        <v>28</v>
      </c>
    </row>
    <row r="109" spans="1:10" x14ac:dyDescent="0.3">
      <c r="A109" t="s">
        <v>129</v>
      </c>
      <c r="B109" s="8">
        <v>39.4</v>
      </c>
      <c r="C109" s="2">
        <v>4</v>
      </c>
      <c r="D109" s="2">
        <v>85</v>
      </c>
      <c r="E109" s="2">
        <v>70</v>
      </c>
      <c r="F109" s="2">
        <v>2070</v>
      </c>
      <c r="G109" s="8">
        <f t="shared" si="1"/>
        <v>3.3816425120772944E-2</v>
      </c>
      <c r="H109" s="8">
        <v>18.600000000000001</v>
      </c>
      <c r="I109" s="2">
        <v>78</v>
      </c>
      <c r="J109" t="s">
        <v>28</v>
      </c>
    </row>
    <row r="110" spans="1:10" x14ac:dyDescent="0.3">
      <c r="A110" t="s">
        <v>118</v>
      </c>
      <c r="B110" s="8">
        <v>36.1</v>
      </c>
      <c r="C110" s="2">
        <v>4</v>
      </c>
      <c r="D110" s="2">
        <v>91</v>
      </c>
      <c r="E110" s="2">
        <v>60</v>
      </c>
      <c r="F110" s="2">
        <v>1800</v>
      </c>
      <c r="G110" s="8">
        <f t="shared" si="1"/>
        <v>3.3333333333333333E-2</v>
      </c>
      <c r="H110" s="8">
        <v>16.399999999999999</v>
      </c>
      <c r="I110" s="2">
        <v>78</v>
      </c>
      <c r="J110" t="s">
        <v>28</v>
      </c>
    </row>
    <row r="111" spans="1:10" x14ac:dyDescent="0.3">
      <c r="A111" t="s">
        <v>130</v>
      </c>
      <c r="B111" s="8">
        <v>29.5</v>
      </c>
      <c r="C111" s="2">
        <v>4</v>
      </c>
      <c r="D111" s="2">
        <v>98</v>
      </c>
      <c r="E111" s="2">
        <v>68</v>
      </c>
      <c r="F111" s="2">
        <v>2135</v>
      </c>
      <c r="G111" s="8">
        <f t="shared" si="1"/>
        <v>3.1850117096018739E-2</v>
      </c>
      <c r="H111" s="8">
        <v>16.600000000000001</v>
      </c>
      <c r="I111" s="2">
        <v>78</v>
      </c>
      <c r="J111" t="s">
        <v>28</v>
      </c>
    </row>
    <row r="112" spans="1:10" x14ac:dyDescent="0.3">
      <c r="A112" t="s">
        <v>131</v>
      </c>
      <c r="B112" s="8">
        <v>32.799999999999997</v>
      </c>
      <c r="C112" s="2">
        <v>4</v>
      </c>
      <c r="D112" s="2">
        <v>78</v>
      </c>
      <c r="E112" s="2">
        <v>52</v>
      </c>
      <c r="F112" s="2">
        <v>1985</v>
      </c>
      <c r="G112" s="8">
        <f t="shared" si="1"/>
        <v>2.6196473551637279E-2</v>
      </c>
      <c r="H112" s="8">
        <v>19.399999999999999</v>
      </c>
      <c r="I112" s="2">
        <v>78</v>
      </c>
      <c r="J112" t="s">
        <v>28</v>
      </c>
    </row>
    <row r="113" spans="1:10" x14ac:dyDescent="0.3">
      <c r="A113" t="s">
        <v>132</v>
      </c>
      <c r="B113" s="8">
        <v>34.1</v>
      </c>
      <c r="C113" s="2">
        <v>4</v>
      </c>
      <c r="D113" s="2">
        <v>86</v>
      </c>
      <c r="E113" s="2">
        <v>65</v>
      </c>
      <c r="F113" s="2">
        <v>1975</v>
      </c>
      <c r="G113" s="8">
        <f t="shared" si="1"/>
        <v>3.2911392405063293E-2</v>
      </c>
      <c r="H113" s="8">
        <v>15.2</v>
      </c>
      <c r="I113" s="2">
        <v>79</v>
      </c>
      <c r="J113" t="s">
        <v>28</v>
      </c>
    </row>
    <row r="114" spans="1:10" x14ac:dyDescent="0.3">
      <c r="A114" t="s">
        <v>133</v>
      </c>
      <c r="B114" s="8">
        <v>31.8</v>
      </c>
      <c r="C114" s="2">
        <v>4</v>
      </c>
      <c r="D114" s="2">
        <v>85</v>
      </c>
      <c r="E114" s="2">
        <v>65</v>
      </c>
      <c r="F114" s="2">
        <v>2020</v>
      </c>
      <c r="G114" s="8">
        <f t="shared" si="1"/>
        <v>3.2178217821782179E-2</v>
      </c>
      <c r="H114" s="8">
        <v>19.2</v>
      </c>
      <c r="I114" s="2">
        <v>79</v>
      </c>
      <c r="J114" t="s">
        <v>28</v>
      </c>
    </row>
    <row r="115" spans="1:10" x14ac:dyDescent="0.3">
      <c r="A115" t="s">
        <v>134</v>
      </c>
      <c r="B115" s="8">
        <v>23.7</v>
      </c>
      <c r="C115" s="2">
        <v>3</v>
      </c>
      <c r="D115" s="2">
        <v>70</v>
      </c>
      <c r="E115" s="2">
        <v>100</v>
      </c>
      <c r="F115" s="2">
        <v>2420</v>
      </c>
      <c r="G115" s="8">
        <f t="shared" si="1"/>
        <v>4.1322314049586778E-2</v>
      </c>
      <c r="H115" s="8">
        <v>12.5</v>
      </c>
      <c r="I115" s="2">
        <v>80</v>
      </c>
      <c r="J115" t="s">
        <v>28</v>
      </c>
    </row>
    <row r="116" spans="1:10" x14ac:dyDescent="0.3">
      <c r="A116" t="s">
        <v>135</v>
      </c>
      <c r="B116" s="2">
        <v>37</v>
      </c>
      <c r="C116" s="2">
        <v>4</v>
      </c>
      <c r="D116" s="2">
        <v>119</v>
      </c>
      <c r="E116" s="2">
        <v>92</v>
      </c>
      <c r="F116" s="2">
        <v>2434</v>
      </c>
      <c r="G116" s="8">
        <f t="shared" si="1"/>
        <v>3.7797863599013971E-2</v>
      </c>
      <c r="H116" s="2">
        <v>15</v>
      </c>
      <c r="I116" s="2">
        <v>80</v>
      </c>
      <c r="J116" t="s">
        <v>28</v>
      </c>
    </row>
    <row r="117" spans="1:10" x14ac:dyDescent="0.3">
      <c r="A117" t="s">
        <v>136</v>
      </c>
      <c r="B117" s="8">
        <v>44.6</v>
      </c>
      <c r="C117" s="2">
        <v>4</v>
      </c>
      <c r="D117" s="2">
        <v>91</v>
      </c>
      <c r="E117" s="2">
        <v>67</v>
      </c>
      <c r="F117" s="2">
        <v>1850</v>
      </c>
      <c r="G117" s="8">
        <f t="shared" si="1"/>
        <v>3.6216216216216214E-2</v>
      </c>
      <c r="H117" s="8">
        <v>13.8</v>
      </c>
      <c r="I117" s="2">
        <v>80</v>
      </c>
      <c r="J117" t="s">
        <v>28</v>
      </c>
    </row>
    <row r="118" spans="1:10" x14ac:dyDescent="0.3">
      <c r="A118" t="s">
        <v>137</v>
      </c>
      <c r="B118" s="8">
        <v>29.8</v>
      </c>
      <c r="C118" s="2">
        <v>4</v>
      </c>
      <c r="D118" s="2">
        <v>134</v>
      </c>
      <c r="E118" s="2">
        <v>90</v>
      </c>
      <c r="F118" s="2">
        <v>2711</v>
      </c>
      <c r="G118" s="8">
        <f t="shared" si="1"/>
        <v>3.3198081888601995E-2</v>
      </c>
      <c r="H118" s="8">
        <v>15.5</v>
      </c>
      <c r="I118" s="2">
        <v>80</v>
      </c>
      <c r="J118" t="s">
        <v>28</v>
      </c>
    </row>
    <row r="119" spans="1:10" x14ac:dyDescent="0.3">
      <c r="A119" t="s">
        <v>117</v>
      </c>
      <c r="B119" s="8">
        <v>32.200000000000003</v>
      </c>
      <c r="C119" s="2">
        <v>4</v>
      </c>
      <c r="D119" s="2">
        <v>108</v>
      </c>
      <c r="E119" s="2">
        <v>75</v>
      </c>
      <c r="F119" s="2">
        <v>2265</v>
      </c>
      <c r="G119" s="8">
        <f t="shared" si="1"/>
        <v>3.3112582781456956E-2</v>
      </c>
      <c r="H119" s="8">
        <v>15.2</v>
      </c>
      <c r="I119" s="2">
        <v>80</v>
      </c>
      <c r="J119" t="s">
        <v>28</v>
      </c>
    </row>
    <row r="120" spans="1:10" x14ac:dyDescent="0.3">
      <c r="A120" t="s">
        <v>138</v>
      </c>
      <c r="B120" s="8">
        <v>37.200000000000003</v>
      </c>
      <c r="C120" s="2">
        <v>4</v>
      </c>
      <c r="D120" s="2">
        <v>86</v>
      </c>
      <c r="E120" s="2">
        <v>65</v>
      </c>
      <c r="F120" s="2">
        <v>2019</v>
      </c>
      <c r="G120" s="8">
        <f t="shared" si="1"/>
        <v>3.2194155522535906E-2</v>
      </c>
      <c r="H120" s="8">
        <v>16.399999999999999</v>
      </c>
      <c r="I120" s="2">
        <v>80</v>
      </c>
      <c r="J120" t="s">
        <v>28</v>
      </c>
    </row>
    <row r="121" spans="1:10" x14ac:dyDescent="0.3">
      <c r="A121" t="s">
        <v>139</v>
      </c>
      <c r="B121" s="8">
        <v>32.4</v>
      </c>
      <c r="C121" s="2">
        <v>4</v>
      </c>
      <c r="D121" s="2">
        <v>107</v>
      </c>
      <c r="E121" s="2">
        <v>72</v>
      </c>
      <c r="F121" s="2">
        <v>2290</v>
      </c>
      <c r="G121" s="8">
        <f t="shared" si="1"/>
        <v>3.1441048034934499E-2</v>
      </c>
      <c r="H121" s="2">
        <v>17</v>
      </c>
      <c r="I121" s="2">
        <v>80</v>
      </c>
      <c r="J121" t="s">
        <v>28</v>
      </c>
    </row>
    <row r="122" spans="1:10" x14ac:dyDescent="0.3">
      <c r="A122" t="s">
        <v>122</v>
      </c>
      <c r="B122" s="8">
        <v>33.799999999999997</v>
      </c>
      <c r="C122" s="2">
        <v>4</v>
      </c>
      <c r="D122" s="2">
        <v>97</v>
      </c>
      <c r="E122" s="2">
        <v>67</v>
      </c>
      <c r="F122" s="2">
        <v>2145</v>
      </c>
      <c r="G122" s="8">
        <f t="shared" si="1"/>
        <v>3.1235431235431235E-2</v>
      </c>
      <c r="H122" s="2">
        <v>18</v>
      </c>
      <c r="I122" s="2">
        <v>80</v>
      </c>
      <c r="J122" t="s">
        <v>28</v>
      </c>
    </row>
    <row r="123" spans="1:10" x14ac:dyDescent="0.3">
      <c r="A123" t="s">
        <v>133</v>
      </c>
      <c r="B123" s="8">
        <v>40.799999999999997</v>
      </c>
      <c r="C123" s="2">
        <v>4</v>
      </c>
      <c r="D123" s="2">
        <v>85</v>
      </c>
      <c r="E123" s="2">
        <v>65</v>
      </c>
      <c r="F123" s="2">
        <v>2110</v>
      </c>
      <c r="G123" s="8">
        <f t="shared" si="1"/>
        <v>3.0805687203791468E-2</v>
      </c>
      <c r="H123" s="8">
        <v>19.2</v>
      </c>
      <c r="I123" s="2">
        <v>80</v>
      </c>
      <c r="J123" t="s">
        <v>28</v>
      </c>
    </row>
    <row r="124" spans="1:10" x14ac:dyDescent="0.3">
      <c r="A124" t="s">
        <v>140</v>
      </c>
      <c r="B124" s="8">
        <v>46.6</v>
      </c>
      <c r="C124" s="2">
        <v>4</v>
      </c>
      <c r="D124" s="2">
        <v>86</v>
      </c>
      <c r="E124" s="2">
        <v>65</v>
      </c>
      <c r="F124" s="2">
        <v>2110</v>
      </c>
      <c r="G124" s="8">
        <f t="shared" si="1"/>
        <v>3.0805687203791468E-2</v>
      </c>
      <c r="H124" s="8">
        <v>17.899999999999999</v>
      </c>
      <c r="I124" s="2">
        <v>80</v>
      </c>
      <c r="J124" t="s">
        <v>28</v>
      </c>
    </row>
    <row r="125" spans="1:10" x14ac:dyDescent="0.3">
      <c r="A125" t="s">
        <v>141</v>
      </c>
      <c r="B125" s="8">
        <v>38.1</v>
      </c>
      <c r="C125" s="2">
        <v>4</v>
      </c>
      <c r="D125" s="2">
        <v>89</v>
      </c>
      <c r="E125" s="2">
        <v>60</v>
      </c>
      <c r="F125" s="2">
        <v>1968</v>
      </c>
      <c r="G125" s="8">
        <f t="shared" si="1"/>
        <v>3.048780487804878E-2</v>
      </c>
      <c r="H125" s="8">
        <v>18.8</v>
      </c>
      <c r="I125" s="2">
        <v>80</v>
      </c>
      <c r="J125" t="s">
        <v>28</v>
      </c>
    </row>
    <row r="126" spans="1:10" x14ac:dyDescent="0.3">
      <c r="A126" t="s">
        <v>142</v>
      </c>
      <c r="B126" s="8">
        <v>31.3</v>
      </c>
      <c r="C126" s="2">
        <v>4</v>
      </c>
      <c r="D126" s="2">
        <v>120</v>
      </c>
      <c r="E126" s="2">
        <v>75</v>
      </c>
      <c r="F126" s="2">
        <v>2542</v>
      </c>
      <c r="G126" s="8">
        <f t="shared" si="1"/>
        <v>2.9504327301337528E-2</v>
      </c>
      <c r="H126" s="8">
        <v>17.5</v>
      </c>
      <c r="I126" s="2">
        <v>80</v>
      </c>
      <c r="J126" t="s">
        <v>28</v>
      </c>
    </row>
    <row r="127" spans="1:10" x14ac:dyDescent="0.3">
      <c r="A127" t="s">
        <v>143</v>
      </c>
      <c r="B127" s="8">
        <v>32.700000000000003</v>
      </c>
      <c r="C127" s="2">
        <v>6</v>
      </c>
      <c r="D127" s="2">
        <v>168</v>
      </c>
      <c r="E127" s="2">
        <v>132</v>
      </c>
      <c r="F127" s="2">
        <v>2910</v>
      </c>
      <c r="G127" s="8">
        <f t="shared" si="1"/>
        <v>4.536082474226804E-2</v>
      </c>
      <c r="H127" s="8">
        <v>11.4</v>
      </c>
      <c r="I127" s="2">
        <v>80</v>
      </c>
      <c r="J127" t="s">
        <v>28</v>
      </c>
    </row>
    <row r="128" spans="1:10" x14ac:dyDescent="0.3">
      <c r="A128" t="s">
        <v>144</v>
      </c>
      <c r="B128" s="8">
        <v>32.9</v>
      </c>
      <c r="C128" s="2">
        <v>4</v>
      </c>
      <c r="D128" s="2">
        <v>119</v>
      </c>
      <c r="E128" s="2">
        <v>100</v>
      </c>
      <c r="F128" s="2">
        <v>2615</v>
      </c>
      <c r="G128" s="8">
        <f t="shared" ref="G128:G190" si="2">IFERROR(E128/F128, "")</f>
        <v>3.8240917782026769E-2</v>
      </c>
      <c r="H128" s="8">
        <v>14.8</v>
      </c>
      <c r="I128" s="2">
        <v>81</v>
      </c>
      <c r="J128" t="s">
        <v>28</v>
      </c>
    </row>
    <row r="129" spans="1:10" x14ac:dyDescent="0.3">
      <c r="A129" t="s">
        <v>145</v>
      </c>
      <c r="B129" s="8">
        <v>34.1</v>
      </c>
      <c r="C129" s="2">
        <v>4</v>
      </c>
      <c r="D129" s="2">
        <v>91</v>
      </c>
      <c r="E129" s="2">
        <v>68</v>
      </c>
      <c r="F129" s="2">
        <v>1985</v>
      </c>
      <c r="G129" s="8">
        <f t="shared" si="2"/>
        <v>3.425692695214106E-2</v>
      </c>
      <c r="H129" s="2">
        <v>16</v>
      </c>
      <c r="I129" s="2">
        <v>81</v>
      </c>
      <c r="J129" t="s">
        <v>28</v>
      </c>
    </row>
    <row r="130" spans="1:10" x14ac:dyDescent="0.3">
      <c r="A130" t="s">
        <v>146</v>
      </c>
      <c r="B130" s="8">
        <v>35.1</v>
      </c>
      <c r="C130" s="2">
        <v>4</v>
      </c>
      <c r="D130" s="2">
        <v>81</v>
      </c>
      <c r="E130" s="2">
        <v>60</v>
      </c>
      <c r="F130" s="2">
        <v>1760</v>
      </c>
      <c r="G130" s="8">
        <f t="shared" si="2"/>
        <v>3.4090909090909088E-2</v>
      </c>
      <c r="H130" s="8">
        <v>16.100000000000001</v>
      </c>
      <c r="I130" s="2">
        <v>81</v>
      </c>
      <c r="J130" t="s">
        <v>28</v>
      </c>
    </row>
    <row r="131" spans="1:10" x14ac:dyDescent="0.3">
      <c r="A131" t="s">
        <v>147</v>
      </c>
      <c r="B131" s="8">
        <v>33.700000000000003</v>
      </c>
      <c r="C131" s="2">
        <v>4</v>
      </c>
      <c r="D131" s="2">
        <v>107</v>
      </c>
      <c r="E131" s="2">
        <v>75</v>
      </c>
      <c r="F131" s="2">
        <v>2210</v>
      </c>
      <c r="G131" s="8">
        <f t="shared" si="2"/>
        <v>3.3936651583710405E-2</v>
      </c>
      <c r="H131" s="8">
        <v>14.4</v>
      </c>
      <c r="I131" s="2">
        <v>81</v>
      </c>
      <c r="J131" t="s">
        <v>28</v>
      </c>
    </row>
    <row r="132" spans="1:10" x14ac:dyDescent="0.3">
      <c r="A132" t="s">
        <v>148</v>
      </c>
      <c r="B132" s="8">
        <v>39.1</v>
      </c>
      <c r="C132" s="2">
        <v>4</v>
      </c>
      <c r="D132" s="2">
        <v>79</v>
      </c>
      <c r="E132" s="2">
        <v>58</v>
      </c>
      <c r="F132" s="2">
        <v>1755</v>
      </c>
      <c r="G132" s="8">
        <f t="shared" si="2"/>
        <v>3.3048433048433051E-2</v>
      </c>
      <c r="H132" s="8">
        <v>16.899999999999999</v>
      </c>
      <c r="I132" s="2">
        <v>81</v>
      </c>
      <c r="J132" t="s">
        <v>28</v>
      </c>
    </row>
    <row r="133" spans="1:10" x14ac:dyDescent="0.3">
      <c r="A133" t="s">
        <v>149</v>
      </c>
      <c r="B133" s="2">
        <v>37</v>
      </c>
      <c r="C133" s="2">
        <v>4</v>
      </c>
      <c r="D133" s="2">
        <v>85</v>
      </c>
      <c r="E133" s="2">
        <v>65</v>
      </c>
      <c r="F133" s="2">
        <v>1975</v>
      </c>
      <c r="G133" s="8">
        <f t="shared" si="2"/>
        <v>3.2911392405063293E-2</v>
      </c>
      <c r="H133" s="8">
        <v>19.399999999999999</v>
      </c>
      <c r="I133" s="2">
        <v>81</v>
      </c>
      <c r="J133" t="s">
        <v>28</v>
      </c>
    </row>
    <row r="134" spans="1:10" x14ac:dyDescent="0.3">
      <c r="A134" t="s">
        <v>114</v>
      </c>
      <c r="B134" s="8">
        <v>32.299999999999997</v>
      </c>
      <c r="C134" s="2">
        <v>4</v>
      </c>
      <c r="D134" s="2">
        <v>97</v>
      </c>
      <c r="E134" s="2">
        <v>67</v>
      </c>
      <c r="F134" s="2">
        <v>2065</v>
      </c>
      <c r="G134" s="8">
        <f t="shared" si="2"/>
        <v>3.2445520581113801E-2</v>
      </c>
      <c r="H134" s="8">
        <v>17.8</v>
      </c>
      <c r="I134" s="2">
        <v>81</v>
      </c>
      <c r="J134" t="s">
        <v>28</v>
      </c>
    </row>
    <row r="135" spans="1:10" x14ac:dyDescent="0.3">
      <c r="A135" t="s">
        <v>117</v>
      </c>
      <c r="B135" s="8">
        <v>32.4</v>
      </c>
      <c r="C135" s="2">
        <v>4</v>
      </c>
      <c r="D135" s="2">
        <v>108</v>
      </c>
      <c r="E135" s="2">
        <v>75</v>
      </c>
      <c r="F135" s="2">
        <v>2350</v>
      </c>
      <c r="G135" s="8">
        <f t="shared" si="2"/>
        <v>3.1914893617021274E-2</v>
      </c>
      <c r="H135" s="8">
        <v>16.8</v>
      </c>
      <c r="I135" s="2">
        <v>81</v>
      </c>
      <c r="J135" t="s">
        <v>28</v>
      </c>
    </row>
    <row r="136" spans="1:10" x14ac:dyDescent="0.3">
      <c r="A136" t="s">
        <v>150</v>
      </c>
      <c r="B136" s="8">
        <v>37.700000000000003</v>
      </c>
      <c r="C136" s="2">
        <v>4</v>
      </c>
      <c r="D136" s="2">
        <v>89</v>
      </c>
      <c r="E136" s="2">
        <v>62</v>
      </c>
      <c r="F136" s="2">
        <v>2050</v>
      </c>
      <c r="G136" s="8">
        <f t="shared" si="2"/>
        <v>3.0243902439024389E-2</v>
      </c>
      <c r="H136" s="8">
        <v>17.3</v>
      </c>
      <c r="I136" s="2">
        <v>81</v>
      </c>
      <c r="J136" t="s">
        <v>28</v>
      </c>
    </row>
    <row r="137" spans="1:10" x14ac:dyDescent="0.3">
      <c r="A137" t="s">
        <v>142</v>
      </c>
      <c r="B137" s="8">
        <v>31.6</v>
      </c>
      <c r="C137" s="2">
        <v>4</v>
      </c>
      <c r="D137" s="2">
        <v>120</v>
      </c>
      <c r="E137" s="2">
        <v>74</v>
      </c>
      <c r="F137" s="2">
        <v>2635</v>
      </c>
      <c r="G137" s="8">
        <f t="shared" si="2"/>
        <v>2.808349146110057E-2</v>
      </c>
      <c r="H137" s="8">
        <v>18.3</v>
      </c>
      <c r="I137" s="2">
        <v>81</v>
      </c>
      <c r="J137" t="s">
        <v>28</v>
      </c>
    </row>
    <row r="138" spans="1:10" x14ac:dyDescent="0.3">
      <c r="A138" t="s">
        <v>151</v>
      </c>
      <c r="B138" s="8">
        <v>24.2</v>
      </c>
      <c r="C138" s="2">
        <v>6</v>
      </c>
      <c r="D138" s="2">
        <v>146</v>
      </c>
      <c r="E138" s="2">
        <v>120</v>
      </c>
      <c r="F138" s="2">
        <v>2930</v>
      </c>
      <c r="G138" s="8">
        <f t="shared" si="2"/>
        <v>4.0955631399317405E-2</v>
      </c>
      <c r="H138" s="8">
        <v>13.8</v>
      </c>
      <c r="I138" s="2">
        <v>81</v>
      </c>
      <c r="J138" t="s">
        <v>28</v>
      </c>
    </row>
    <row r="139" spans="1:10" x14ac:dyDescent="0.3">
      <c r="A139" t="s">
        <v>152</v>
      </c>
      <c r="B139" s="8">
        <v>25.4</v>
      </c>
      <c r="C139" s="2">
        <v>6</v>
      </c>
      <c r="D139" s="2">
        <v>168</v>
      </c>
      <c r="E139" s="2">
        <v>116</v>
      </c>
      <c r="F139" s="2">
        <v>2900</v>
      </c>
      <c r="G139" s="8">
        <f t="shared" si="2"/>
        <v>0.04</v>
      </c>
      <c r="H139" s="8">
        <v>12.6</v>
      </c>
      <c r="I139" s="2">
        <v>81</v>
      </c>
      <c r="J139" t="s">
        <v>28</v>
      </c>
    </row>
    <row r="140" spans="1:10" x14ac:dyDescent="0.3">
      <c r="A140" t="s">
        <v>153</v>
      </c>
      <c r="B140" s="2">
        <v>36</v>
      </c>
      <c r="C140" s="2">
        <v>4</v>
      </c>
      <c r="D140" s="2">
        <v>120</v>
      </c>
      <c r="E140" s="2">
        <v>88</v>
      </c>
      <c r="F140" s="2">
        <v>2160</v>
      </c>
      <c r="G140" s="8">
        <f t="shared" si="2"/>
        <v>4.0740740740740744E-2</v>
      </c>
      <c r="H140" s="8">
        <v>14.5</v>
      </c>
      <c r="I140" s="2">
        <v>82</v>
      </c>
      <c r="J140" t="s">
        <v>28</v>
      </c>
    </row>
    <row r="141" spans="1:10" x14ac:dyDescent="0.3">
      <c r="A141" t="s">
        <v>154</v>
      </c>
      <c r="B141" s="2">
        <v>32</v>
      </c>
      <c r="C141" s="2">
        <v>4</v>
      </c>
      <c r="D141" s="2">
        <v>144</v>
      </c>
      <c r="E141" s="2">
        <v>96</v>
      </c>
      <c r="F141" s="2">
        <v>2665</v>
      </c>
      <c r="G141" s="8">
        <f t="shared" si="2"/>
        <v>3.6022514071294559E-2</v>
      </c>
      <c r="H141" s="8">
        <v>13.9</v>
      </c>
      <c r="I141" s="2">
        <v>82</v>
      </c>
      <c r="J141" t="s">
        <v>28</v>
      </c>
    </row>
    <row r="142" spans="1:10" x14ac:dyDescent="0.3">
      <c r="A142" t="s">
        <v>155</v>
      </c>
      <c r="B142" s="2">
        <v>31</v>
      </c>
      <c r="C142" s="2">
        <v>4</v>
      </c>
      <c r="D142" s="2">
        <v>91</v>
      </c>
      <c r="E142" s="2">
        <v>68</v>
      </c>
      <c r="F142" s="2">
        <v>1970</v>
      </c>
      <c r="G142" s="8">
        <f t="shared" si="2"/>
        <v>3.4517766497461931E-2</v>
      </c>
      <c r="H142" s="8">
        <v>17.600000000000001</v>
      </c>
      <c r="I142" s="2">
        <v>82</v>
      </c>
      <c r="J142" t="s">
        <v>28</v>
      </c>
    </row>
    <row r="143" spans="1:10" x14ac:dyDescent="0.3">
      <c r="A143" t="s">
        <v>113</v>
      </c>
      <c r="B143" s="2">
        <v>38</v>
      </c>
      <c r="C143" s="2">
        <v>4</v>
      </c>
      <c r="D143" s="2">
        <v>91</v>
      </c>
      <c r="E143" s="2">
        <v>67</v>
      </c>
      <c r="F143" s="2">
        <v>1965</v>
      </c>
      <c r="G143" s="8">
        <f t="shared" si="2"/>
        <v>3.4096692111959287E-2</v>
      </c>
      <c r="H143" s="2">
        <v>15</v>
      </c>
      <c r="I143" s="2">
        <v>82</v>
      </c>
      <c r="J143" t="s">
        <v>28</v>
      </c>
    </row>
    <row r="144" spans="1:10" x14ac:dyDescent="0.3">
      <c r="A144" t="s">
        <v>156</v>
      </c>
      <c r="B144" s="2">
        <v>32</v>
      </c>
      <c r="C144" s="2">
        <v>4</v>
      </c>
      <c r="D144" s="2">
        <v>91</v>
      </c>
      <c r="E144" s="2">
        <v>67</v>
      </c>
      <c r="F144" s="2">
        <v>1965</v>
      </c>
      <c r="G144" s="8">
        <f t="shared" si="2"/>
        <v>3.4096692111959287E-2</v>
      </c>
      <c r="H144" s="8">
        <v>15.7</v>
      </c>
      <c r="I144" s="2">
        <v>82</v>
      </c>
      <c r="J144" t="s">
        <v>28</v>
      </c>
    </row>
    <row r="145" spans="1:10" x14ac:dyDescent="0.3">
      <c r="A145" t="s">
        <v>139</v>
      </c>
      <c r="B145" s="2">
        <v>36</v>
      </c>
      <c r="C145" s="2">
        <v>4</v>
      </c>
      <c r="D145" s="2">
        <v>107</v>
      </c>
      <c r="E145" s="2">
        <v>75</v>
      </c>
      <c r="F145" s="2">
        <v>2205</v>
      </c>
      <c r="G145" s="8">
        <f t="shared" si="2"/>
        <v>3.4013605442176874E-2</v>
      </c>
      <c r="H145" s="8">
        <v>14.5</v>
      </c>
      <c r="I145" s="2">
        <v>82</v>
      </c>
      <c r="J145" t="s">
        <v>28</v>
      </c>
    </row>
    <row r="146" spans="1:10" x14ac:dyDescent="0.3">
      <c r="A146" t="s">
        <v>157</v>
      </c>
      <c r="B146" s="2">
        <v>38</v>
      </c>
      <c r="C146" s="2">
        <v>4</v>
      </c>
      <c r="D146" s="2">
        <v>91</v>
      </c>
      <c r="E146" s="2">
        <v>67</v>
      </c>
      <c r="F146" s="2">
        <v>1995</v>
      </c>
      <c r="G146" s="8">
        <f t="shared" si="2"/>
        <v>3.3583959899749376E-2</v>
      </c>
      <c r="H146" s="8">
        <v>16.2</v>
      </c>
      <c r="I146" s="2">
        <v>82</v>
      </c>
      <c r="J146" t="s">
        <v>28</v>
      </c>
    </row>
    <row r="147" spans="1:10" x14ac:dyDescent="0.3">
      <c r="A147" t="s">
        <v>158</v>
      </c>
      <c r="B147" s="2">
        <v>37</v>
      </c>
      <c r="C147" s="2">
        <v>4</v>
      </c>
      <c r="D147" s="2">
        <v>91</v>
      </c>
      <c r="E147" s="2">
        <v>68</v>
      </c>
      <c r="F147" s="2">
        <v>2025</v>
      </c>
      <c r="G147" s="8">
        <f t="shared" si="2"/>
        <v>3.3580246913580247E-2</v>
      </c>
      <c r="H147" s="8">
        <v>18.2</v>
      </c>
      <c r="I147" s="2">
        <v>82</v>
      </c>
      <c r="J147" t="s">
        <v>28</v>
      </c>
    </row>
    <row r="148" spans="1:10" x14ac:dyDescent="0.3">
      <c r="A148" t="s">
        <v>117</v>
      </c>
      <c r="B148" s="2">
        <v>34</v>
      </c>
      <c r="C148" s="2">
        <v>4</v>
      </c>
      <c r="D148" s="2">
        <v>108</v>
      </c>
      <c r="E148" s="2">
        <v>70</v>
      </c>
      <c r="F148" s="2">
        <v>2245</v>
      </c>
      <c r="G148" s="8">
        <f t="shared" si="2"/>
        <v>3.1180400890868598E-2</v>
      </c>
      <c r="H148" s="8">
        <v>16.899999999999999</v>
      </c>
      <c r="I148" s="2">
        <v>82</v>
      </c>
      <c r="J148" t="s">
        <v>28</v>
      </c>
    </row>
    <row r="149" spans="1:10" x14ac:dyDescent="0.3">
      <c r="A149" t="s">
        <v>159</v>
      </c>
      <c r="B149" s="2">
        <v>18</v>
      </c>
      <c r="C149" s="2">
        <v>6</v>
      </c>
      <c r="D149" s="2">
        <v>199</v>
      </c>
      <c r="E149" s="2">
        <v>97</v>
      </c>
      <c r="F149" s="2">
        <v>2774</v>
      </c>
      <c r="G149" s="8">
        <f t="shared" si="2"/>
        <v>3.4967555875991346E-2</v>
      </c>
      <c r="H149" s="8">
        <v>15.5</v>
      </c>
      <c r="I149" s="2">
        <v>70</v>
      </c>
      <c r="J149" t="s">
        <v>29</v>
      </c>
    </row>
    <row r="150" spans="1:10" x14ac:dyDescent="0.3">
      <c r="A150" t="s">
        <v>160</v>
      </c>
      <c r="B150" s="2">
        <v>21</v>
      </c>
      <c r="C150" s="2">
        <v>6</v>
      </c>
      <c r="D150" s="2">
        <v>199</v>
      </c>
      <c r="E150" s="2">
        <v>90</v>
      </c>
      <c r="F150" s="2">
        <v>2648</v>
      </c>
      <c r="G150" s="8">
        <f t="shared" si="2"/>
        <v>3.3987915407854986E-2</v>
      </c>
      <c r="H150" s="2">
        <v>15</v>
      </c>
      <c r="I150" s="2">
        <v>70</v>
      </c>
      <c r="J150" t="s">
        <v>29</v>
      </c>
    </row>
    <row r="151" spans="1:10" x14ac:dyDescent="0.3">
      <c r="A151" t="s">
        <v>161</v>
      </c>
      <c r="B151" s="2">
        <v>22</v>
      </c>
      <c r="C151" s="2">
        <v>6</v>
      </c>
      <c r="D151" s="2">
        <v>198</v>
      </c>
      <c r="E151" s="2">
        <v>95</v>
      </c>
      <c r="F151" s="2">
        <v>2833</v>
      </c>
      <c r="G151" s="8">
        <f t="shared" si="2"/>
        <v>3.3533356865513592E-2</v>
      </c>
      <c r="H151" s="8">
        <v>15.5</v>
      </c>
      <c r="I151" s="2">
        <v>70</v>
      </c>
      <c r="J151" t="s">
        <v>29</v>
      </c>
    </row>
    <row r="152" spans="1:10" x14ac:dyDescent="0.3">
      <c r="A152" t="s">
        <v>162</v>
      </c>
      <c r="B152" s="2">
        <v>21</v>
      </c>
      <c r="C152" s="2">
        <v>6</v>
      </c>
      <c r="D152" s="2">
        <v>200</v>
      </c>
      <c r="E152" s="2">
        <v>85</v>
      </c>
      <c r="F152" s="2">
        <v>2587</v>
      </c>
      <c r="G152" s="8">
        <f t="shared" si="2"/>
        <v>3.2856590645535366E-2</v>
      </c>
      <c r="H152" s="2">
        <v>16</v>
      </c>
      <c r="I152" s="2">
        <v>70</v>
      </c>
      <c r="J152" t="s">
        <v>29</v>
      </c>
    </row>
    <row r="153" spans="1:10" x14ac:dyDescent="0.3">
      <c r="A153" t="s">
        <v>163</v>
      </c>
      <c r="B153" s="2">
        <v>14</v>
      </c>
      <c r="C153" s="2">
        <v>8</v>
      </c>
      <c r="D153" s="2">
        <v>455</v>
      </c>
      <c r="E153" s="2">
        <v>225</v>
      </c>
      <c r="F153" s="2">
        <v>3086</v>
      </c>
      <c r="G153" s="8">
        <f t="shared" si="2"/>
        <v>7.2909915748541804E-2</v>
      </c>
      <c r="H153" s="2">
        <v>10</v>
      </c>
      <c r="I153" s="2">
        <v>70</v>
      </c>
      <c r="J153" t="s">
        <v>29</v>
      </c>
    </row>
    <row r="154" spans="1:10" x14ac:dyDescent="0.3">
      <c r="A154" t="s">
        <v>164</v>
      </c>
      <c r="B154" s="2">
        <v>14</v>
      </c>
      <c r="C154" s="2">
        <v>8</v>
      </c>
      <c r="D154" s="2">
        <v>455</v>
      </c>
      <c r="E154" s="2">
        <v>225</v>
      </c>
      <c r="F154" s="2">
        <v>4425</v>
      </c>
      <c r="G154" s="8">
        <f t="shared" si="2"/>
        <v>5.0847457627118647E-2</v>
      </c>
      <c r="H154" s="2">
        <v>10</v>
      </c>
      <c r="I154" s="2">
        <v>70</v>
      </c>
      <c r="J154" t="s">
        <v>29</v>
      </c>
    </row>
    <row r="155" spans="1:10" x14ac:dyDescent="0.3">
      <c r="A155" t="s">
        <v>165</v>
      </c>
      <c r="B155" s="2">
        <v>14</v>
      </c>
      <c r="C155" s="2">
        <v>8</v>
      </c>
      <c r="D155" s="2">
        <v>454</v>
      </c>
      <c r="E155" s="2">
        <v>220</v>
      </c>
      <c r="F155" s="2">
        <v>4354</v>
      </c>
      <c r="G155" s="8">
        <f t="shared" si="2"/>
        <v>5.0528249885163065E-2</v>
      </c>
      <c r="H155" s="2">
        <v>9</v>
      </c>
      <c r="I155" s="2">
        <v>70</v>
      </c>
      <c r="J155" t="s">
        <v>29</v>
      </c>
    </row>
    <row r="156" spans="1:10" x14ac:dyDescent="0.3">
      <c r="A156" t="s">
        <v>166</v>
      </c>
      <c r="B156" s="2">
        <v>14</v>
      </c>
      <c r="C156" s="2">
        <v>8</v>
      </c>
      <c r="D156" s="2">
        <v>440</v>
      </c>
      <c r="E156" s="2">
        <v>215</v>
      </c>
      <c r="F156" s="2">
        <v>4312</v>
      </c>
      <c r="G156" s="8">
        <f t="shared" si="2"/>
        <v>4.9860853432282005E-2</v>
      </c>
      <c r="H156" s="8">
        <v>8.5</v>
      </c>
      <c r="I156" s="2">
        <v>70</v>
      </c>
      <c r="J156" t="s">
        <v>29</v>
      </c>
    </row>
    <row r="157" spans="1:10" x14ac:dyDescent="0.3">
      <c r="A157" t="s">
        <v>167</v>
      </c>
      <c r="B157" s="2">
        <v>15</v>
      </c>
      <c r="C157" s="2">
        <v>8</v>
      </c>
      <c r="D157" s="2">
        <v>390</v>
      </c>
      <c r="E157" s="2">
        <v>190</v>
      </c>
      <c r="F157" s="2">
        <v>3850</v>
      </c>
      <c r="G157" s="8">
        <f t="shared" si="2"/>
        <v>4.9350649350649353E-2</v>
      </c>
      <c r="H157" s="8">
        <v>8.5</v>
      </c>
      <c r="I157" s="2">
        <v>70</v>
      </c>
      <c r="J157" t="s">
        <v>29</v>
      </c>
    </row>
    <row r="158" spans="1:10" x14ac:dyDescent="0.3">
      <c r="A158" t="s">
        <v>168</v>
      </c>
      <c r="B158" s="2">
        <v>11</v>
      </c>
      <c r="C158" s="2">
        <v>8</v>
      </c>
      <c r="D158" s="2">
        <v>318</v>
      </c>
      <c r="E158" s="2">
        <v>210</v>
      </c>
      <c r="F158" s="2">
        <v>4382</v>
      </c>
      <c r="G158" s="8">
        <f t="shared" si="2"/>
        <v>4.7923322683706068E-2</v>
      </c>
      <c r="H158" s="8">
        <v>13.5</v>
      </c>
      <c r="I158" s="2">
        <v>70</v>
      </c>
      <c r="J158" t="s">
        <v>29</v>
      </c>
    </row>
    <row r="159" spans="1:10" x14ac:dyDescent="0.3">
      <c r="A159" t="s">
        <v>169</v>
      </c>
      <c r="B159" s="2">
        <v>15</v>
      </c>
      <c r="C159" s="2">
        <v>8</v>
      </c>
      <c r="D159" s="2">
        <v>383</v>
      </c>
      <c r="E159" s="2">
        <v>170</v>
      </c>
      <c r="F159" s="2">
        <v>3563</v>
      </c>
      <c r="G159" s="8">
        <f t="shared" si="2"/>
        <v>4.771260174010665E-2</v>
      </c>
      <c r="H159" s="2">
        <v>10</v>
      </c>
      <c r="I159" s="2">
        <v>70</v>
      </c>
      <c r="J159" t="s">
        <v>29</v>
      </c>
    </row>
    <row r="160" spans="1:10" x14ac:dyDescent="0.3">
      <c r="A160" t="s">
        <v>170</v>
      </c>
      <c r="B160" s="2">
        <v>10</v>
      </c>
      <c r="C160" s="2">
        <v>8</v>
      </c>
      <c r="D160" s="2">
        <v>360</v>
      </c>
      <c r="E160" s="2">
        <v>215</v>
      </c>
      <c r="F160" s="2">
        <v>4615</v>
      </c>
      <c r="G160" s="8">
        <f t="shared" si="2"/>
        <v>4.6587215601300108E-2</v>
      </c>
      <c r="H160" s="2">
        <v>14</v>
      </c>
      <c r="I160" s="2">
        <v>70</v>
      </c>
      <c r="J160" t="s">
        <v>29</v>
      </c>
    </row>
    <row r="161" spans="1:10" x14ac:dyDescent="0.3">
      <c r="A161" t="s">
        <v>171</v>
      </c>
      <c r="B161" s="2">
        <v>10</v>
      </c>
      <c r="C161" s="2">
        <v>8</v>
      </c>
      <c r="D161" s="2">
        <v>307</v>
      </c>
      <c r="E161" s="2">
        <v>200</v>
      </c>
      <c r="F161" s="2">
        <v>4376</v>
      </c>
      <c r="G161" s="8">
        <f t="shared" si="2"/>
        <v>4.5703839122486288E-2</v>
      </c>
      <c r="H161" s="2">
        <v>15</v>
      </c>
      <c r="I161" s="2">
        <v>70</v>
      </c>
      <c r="J161" t="s">
        <v>29</v>
      </c>
    </row>
    <row r="162" spans="1:10" x14ac:dyDescent="0.3">
      <c r="A162" t="s">
        <v>172</v>
      </c>
      <c r="B162" s="2">
        <v>15</v>
      </c>
      <c r="C162" s="2">
        <v>8</v>
      </c>
      <c r="D162" s="2">
        <v>429</v>
      </c>
      <c r="E162" s="2">
        <v>198</v>
      </c>
      <c r="F162" s="2">
        <v>4341</v>
      </c>
      <c r="G162" s="8">
        <f t="shared" si="2"/>
        <v>4.5611610228058048E-2</v>
      </c>
      <c r="H162" s="2">
        <v>10</v>
      </c>
      <c r="I162" s="2">
        <v>70</v>
      </c>
      <c r="J162" t="s">
        <v>29</v>
      </c>
    </row>
    <row r="163" spans="1:10" x14ac:dyDescent="0.3">
      <c r="A163" t="s">
        <v>173</v>
      </c>
      <c r="B163" s="2">
        <v>15</v>
      </c>
      <c r="C163" s="2">
        <v>8</v>
      </c>
      <c r="D163" s="2">
        <v>350</v>
      </c>
      <c r="E163" s="2">
        <v>165</v>
      </c>
      <c r="F163" s="2">
        <v>3693</v>
      </c>
      <c r="G163" s="8">
        <f t="shared" si="2"/>
        <v>4.4679122664500408E-2</v>
      </c>
      <c r="H163" s="8">
        <v>11.5</v>
      </c>
      <c r="I163" s="2">
        <v>70</v>
      </c>
      <c r="J163" t="s">
        <v>29</v>
      </c>
    </row>
    <row r="164" spans="1:10" x14ac:dyDescent="0.3">
      <c r="A164" t="s">
        <v>174</v>
      </c>
      <c r="B164" s="2">
        <v>14</v>
      </c>
      <c r="C164" s="2">
        <v>8</v>
      </c>
      <c r="D164" s="2">
        <v>340</v>
      </c>
      <c r="E164" s="2">
        <v>160</v>
      </c>
      <c r="F164" s="2">
        <v>3609</v>
      </c>
      <c r="G164" s="8">
        <f t="shared" si="2"/>
        <v>4.433361041839845E-2</v>
      </c>
      <c r="H164" s="2">
        <v>8</v>
      </c>
      <c r="I164" s="2">
        <v>70</v>
      </c>
      <c r="J164" t="s">
        <v>29</v>
      </c>
    </row>
    <row r="165" spans="1:10" x14ac:dyDescent="0.3">
      <c r="A165" t="s">
        <v>175</v>
      </c>
      <c r="B165" s="2">
        <v>16</v>
      </c>
      <c r="C165" s="2">
        <v>8</v>
      </c>
      <c r="D165" s="2">
        <v>304</v>
      </c>
      <c r="E165" s="2">
        <v>150</v>
      </c>
      <c r="F165" s="2">
        <v>3433</v>
      </c>
      <c r="G165" s="8">
        <f t="shared" si="2"/>
        <v>4.3693562481794346E-2</v>
      </c>
      <c r="H165" s="2">
        <v>12</v>
      </c>
      <c r="I165" s="2">
        <v>70</v>
      </c>
      <c r="J165" t="s">
        <v>29</v>
      </c>
    </row>
    <row r="166" spans="1:10" x14ac:dyDescent="0.3">
      <c r="A166" t="s">
        <v>176</v>
      </c>
      <c r="B166" s="2">
        <v>18</v>
      </c>
      <c r="C166" s="2">
        <v>8</v>
      </c>
      <c r="D166" s="2">
        <v>318</v>
      </c>
      <c r="E166" s="2">
        <v>150</v>
      </c>
      <c r="F166" s="2">
        <v>3436</v>
      </c>
      <c r="G166" s="8">
        <f t="shared" si="2"/>
        <v>4.3655413271245634E-2</v>
      </c>
      <c r="H166" s="2">
        <v>11</v>
      </c>
      <c r="I166" s="2">
        <v>70</v>
      </c>
      <c r="J166" t="s">
        <v>29</v>
      </c>
    </row>
    <row r="167" spans="1:10" x14ac:dyDescent="0.3">
      <c r="A167" t="s">
        <v>177</v>
      </c>
      <c r="B167" s="2">
        <v>9</v>
      </c>
      <c r="C167" s="2">
        <v>8</v>
      </c>
      <c r="D167" s="2">
        <v>304</v>
      </c>
      <c r="E167" s="2">
        <v>193</v>
      </c>
      <c r="F167" s="2">
        <v>4732</v>
      </c>
      <c r="G167" s="8">
        <f t="shared" si="2"/>
        <v>4.0786136939983092E-2</v>
      </c>
      <c r="H167" s="8">
        <v>18.5</v>
      </c>
      <c r="I167" s="2">
        <v>70</v>
      </c>
      <c r="J167" t="s">
        <v>29</v>
      </c>
    </row>
    <row r="168" spans="1:10" x14ac:dyDescent="0.3">
      <c r="A168" t="s">
        <v>178</v>
      </c>
      <c r="B168" s="2">
        <v>17</v>
      </c>
      <c r="C168" s="2">
        <v>8</v>
      </c>
      <c r="D168" s="2">
        <v>302</v>
      </c>
      <c r="E168" s="2">
        <v>140</v>
      </c>
      <c r="F168" s="2">
        <v>3449</v>
      </c>
      <c r="G168" s="8">
        <f t="shared" si="2"/>
        <v>4.0591475790084083E-2</v>
      </c>
      <c r="H168" s="8">
        <v>10.5</v>
      </c>
      <c r="I168" s="2">
        <v>70</v>
      </c>
      <c r="J168" t="s">
        <v>29</v>
      </c>
    </row>
    <row r="169" spans="1:10" x14ac:dyDescent="0.3">
      <c r="A169" t="s">
        <v>179</v>
      </c>
      <c r="B169" s="2">
        <v>15</v>
      </c>
      <c r="C169" s="2">
        <v>8</v>
      </c>
      <c r="D169" s="2">
        <v>400</v>
      </c>
      <c r="E169" s="2">
        <v>150</v>
      </c>
      <c r="F169" s="2">
        <v>3761</v>
      </c>
      <c r="G169" s="8">
        <f t="shared" si="2"/>
        <v>3.988300983780909E-2</v>
      </c>
      <c r="H169" s="8">
        <v>9.5</v>
      </c>
      <c r="I169" s="2">
        <v>70</v>
      </c>
      <c r="J169" t="s">
        <v>29</v>
      </c>
    </row>
    <row r="170" spans="1:10" x14ac:dyDescent="0.3">
      <c r="A170" t="s">
        <v>180</v>
      </c>
      <c r="B170" s="2">
        <v>18</v>
      </c>
      <c r="C170" s="2">
        <v>8</v>
      </c>
      <c r="D170" s="2">
        <v>307</v>
      </c>
      <c r="E170" s="2">
        <v>130</v>
      </c>
      <c r="F170" s="2">
        <v>3504</v>
      </c>
      <c r="G170" s="8">
        <f t="shared" si="2"/>
        <v>3.7100456621004564E-2</v>
      </c>
      <c r="H170" s="2">
        <v>12</v>
      </c>
      <c r="I170" s="2">
        <v>70</v>
      </c>
      <c r="J170" t="s">
        <v>29</v>
      </c>
    </row>
    <row r="171" spans="1:10" x14ac:dyDescent="0.3">
      <c r="A171" t="s">
        <v>181</v>
      </c>
      <c r="B171" s="2">
        <v>28</v>
      </c>
      <c r="C171" s="2">
        <v>4</v>
      </c>
      <c r="D171" s="2">
        <v>140</v>
      </c>
      <c r="E171" s="2">
        <v>90</v>
      </c>
      <c r="F171" s="2">
        <v>2264</v>
      </c>
      <c r="G171" s="8">
        <f t="shared" si="2"/>
        <v>3.9752650176678443E-2</v>
      </c>
      <c r="H171" s="8">
        <v>15.5</v>
      </c>
      <c r="I171" s="2">
        <v>71</v>
      </c>
      <c r="J171" t="s">
        <v>29</v>
      </c>
    </row>
    <row r="172" spans="1:10" x14ac:dyDescent="0.3">
      <c r="A172" t="s">
        <v>182</v>
      </c>
      <c r="B172" s="2">
        <v>23</v>
      </c>
      <c r="C172" s="2">
        <v>4</v>
      </c>
      <c r="D172" s="2">
        <v>122</v>
      </c>
      <c r="E172" s="2">
        <v>86</v>
      </c>
      <c r="F172" s="2">
        <v>2220</v>
      </c>
      <c r="G172" s="8">
        <f t="shared" si="2"/>
        <v>3.8738738738738739E-2</v>
      </c>
      <c r="H172" s="2">
        <v>14</v>
      </c>
      <c r="I172" s="2">
        <v>71</v>
      </c>
      <c r="J172" t="s">
        <v>29</v>
      </c>
    </row>
    <row r="173" spans="1:10" x14ac:dyDescent="0.3">
      <c r="A173" t="s">
        <v>183</v>
      </c>
      <c r="B173" s="2">
        <v>26</v>
      </c>
      <c r="C173" s="2">
        <v>4</v>
      </c>
      <c r="D173" s="2">
        <v>91</v>
      </c>
      <c r="E173" s="2">
        <v>70</v>
      </c>
      <c r="F173" s="2">
        <v>1955</v>
      </c>
      <c r="G173" s="8">
        <f t="shared" si="2"/>
        <v>3.5805626598465472E-2</v>
      </c>
      <c r="H173" s="8">
        <v>20.5</v>
      </c>
      <c r="I173" s="2">
        <v>71</v>
      </c>
      <c r="J173" t="s">
        <v>29</v>
      </c>
    </row>
    <row r="174" spans="1:10" x14ac:dyDescent="0.3">
      <c r="A174" t="s">
        <v>184</v>
      </c>
      <c r="B174" s="2">
        <v>22</v>
      </c>
      <c r="C174" s="2">
        <v>4</v>
      </c>
      <c r="D174" s="2">
        <v>140</v>
      </c>
      <c r="E174" s="2">
        <v>72</v>
      </c>
      <c r="F174" s="2">
        <v>2408</v>
      </c>
      <c r="G174" s="8">
        <f t="shared" si="2"/>
        <v>2.9900332225913623E-2</v>
      </c>
      <c r="H174" s="2">
        <v>19</v>
      </c>
      <c r="I174" s="2">
        <v>71</v>
      </c>
      <c r="J174" t="s">
        <v>29</v>
      </c>
    </row>
    <row r="175" spans="1:10" x14ac:dyDescent="0.3">
      <c r="A175" t="s">
        <v>160</v>
      </c>
      <c r="B175" s="2">
        <v>19</v>
      </c>
      <c r="C175" s="2">
        <v>6</v>
      </c>
      <c r="D175" s="2">
        <v>232</v>
      </c>
      <c r="E175" s="2">
        <v>100</v>
      </c>
      <c r="F175" s="2">
        <v>2634</v>
      </c>
      <c r="G175" s="8">
        <f t="shared" si="2"/>
        <v>3.7965072133637055E-2</v>
      </c>
      <c r="H175" s="2">
        <v>13</v>
      </c>
      <c r="I175" s="2">
        <v>71</v>
      </c>
      <c r="J175" t="s">
        <v>29</v>
      </c>
    </row>
    <row r="176" spans="1:10" x14ac:dyDescent="0.3">
      <c r="A176" t="s">
        <v>186</v>
      </c>
      <c r="B176" s="2">
        <v>18</v>
      </c>
      <c r="C176" s="2">
        <v>6</v>
      </c>
      <c r="D176" s="2">
        <v>258</v>
      </c>
      <c r="E176" s="2">
        <v>110</v>
      </c>
      <c r="F176" s="2">
        <v>2962</v>
      </c>
      <c r="G176" s="8">
        <f t="shared" si="2"/>
        <v>3.7137069547602972E-2</v>
      </c>
      <c r="H176" s="8">
        <v>13.5</v>
      </c>
      <c r="I176" s="2">
        <v>71</v>
      </c>
      <c r="J176" t="s">
        <v>29</v>
      </c>
    </row>
    <row r="177" spans="1:10" x14ac:dyDescent="0.3">
      <c r="A177" t="s">
        <v>187</v>
      </c>
      <c r="B177" s="2">
        <v>16</v>
      </c>
      <c r="C177" s="2">
        <v>6</v>
      </c>
      <c r="D177" s="2">
        <v>225</v>
      </c>
      <c r="E177" s="2">
        <v>105</v>
      </c>
      <c r="F177" s="2">
        <v>3439</v>
      </c>
      <c r="G177" s="8">
        <f t="shared" si="2"/>
        <v>3.0532131433556268E-2</v>
      </c>
      <c r="H177" s="8">
        <v>15.5</v>
      </c>
      <c r="I177" s="2">
        <v>71</v>
      </c>
      <c r="J177" t="s">
        <v>29</v>
      </c>
    </row>
    <row r="178" spans="1:10" x14ac:dyDescent="0.3">
      <c r="A178" t="s">
        <v>188</v>
      </c>
      <c r="B178" s="2">
        <v>19</v>
      </c>
      <c r="C178" s="2">
        <v>6</v>
      </c>
      <c r="D178" s="2">
        <v>250</v>
      </c>
      <c r="E178" s="2">
        <v>100</v>
      </c>
      <c r="F178" s="2">
        <v>3282</v>
      </c>
      <c r="G178" s="8">
        <f t="shared" si="2"/>
        <v>3.0469226081657527E-2</v>
      </c>
      <c r="H178" s="2">
        <v>15</v>
      </c>
      <c r="I178" s="2">
        <v>71</v>
      </c>
      <c r="J178" t="s">
        <v>29</v>
      </c>
    </row>
    <row r="179" spans="1:10" x14ac:dyDescent="0.3">
      <c r="A179" t="s">
        <v>189</v>
      </c>
      <c r="B179" s="2">
        <v>18</v>
      </c>
      <c r="C179" s="2">
        <v>6</v>
      </c>
      <c r="D179" s="2">
        <v>232</v>
      </c>
      <c r="E179" s="2">
        <v>100</v>
      </c>
      <c r="F179" s="2">
        <v>3288</v>
      </c>
      <c r="G179" s="8">
        <f t="shared" si="2"/>
        <v>3.0413625304136254E-2</v>
      </c>
      <c r="H179" s="8">
        <v>15.5</v>
      </c>
      <c r="I179" s="2">
        <v>71</v>
      </c>
      <c r="J179" t="s">
        <v>29</v>
      </c>
    </row>
    <row r="180" spans="1:10" x14ac:dyDescent="0.3">
      <c r="A180" t="s">
        <v>180</v>
      </c>
      <c r="B180" s="2">
        <v>17</v>
      </c>
      <c r="C180" s="2">
        <v>6</v>
      </c>
      <c r="D180" s="2">
        <v>250</v>
      </c>
      <c r="E180" s="2">
        <v>100</v>
      </c>
      <c r="F180" s="2">
        <v>3329</v>
      </c>
      <c r="G180" s="8">
        <f t="shared" si="2"/>
        <v>3.0039050765995796E-2</v>
      </c>
      <c r="H180" s="8">
        <v>15.5</v>
      </c>
      <c r="I180" s="2">
        <v>71</v>
      </c>
      <c r="J180" t="s">
        <v>29</v>
      </c>
    </row>
    <row r="181" spans="1:10" x14ac:dyDescent="0.3">
      <c r="A181" t="s">
        <v>190</v>
      </c>
      <c r="B181" s="2">
        <v>18</v>
      </c>
      <c r="C181" s="2">
        <v>6</v>
      </c>
      <c r="D181" s="2">
        <v>250</v>
      </c>
      <c r="E181" s="2">
        <v>88</v>
      </c>
      <c r="F181" s="2">
        <v>3139</v>
      </c>
      <c r="G181" s="8">
        <f t="shared" si="2"/>
        <v>2.8034405861739407E-2</v>
      </c>
      <c r="H181" s="8">
        <v>14.5</v>
      </c>
      <c r="I181" s="2">
        <v>71</v>
      </c>
      <c r="J181" t="s">
        <v>29</v>
      </c>
    </row>
    <row r="182" spans="1:10" x14ac:dyDescent="0.3">
      <c r="A182" t="s">
        <v>191</v>
      </c>
      <c r="B182" s="2">
        <v>19</v>
      </c>
      <c r="C182" s="2">
        <v>6</v>
      </c>
      <c r="D182" s="2">
        <v>250</v>
      </c>
      <c r="E182" s="2">
        <v>88</v>
      </c>
      <c r="F182" s="2">
        <v>3302</v>
      </c>
      <c r="G182" s="8">
        <f t="shared" si="2"/>
        <v>2.6650514839491216E-2</v>
      </c>
      <c r="H182" s="8">
        <v>15.5</v>
      </c>
      <c r="I182" s="2">
        <v>71</v>
      </c>
      <c r="J182" t="s">
        <v>29</v>
      </c>
    </row>
    <row r="183" spans="1:10" x14ac:dyDescent="0.3">
      <c r="A183" t="s">
        <v>165</v>
      </c>
      <c r="B183" s="2">
        <v>14</v>
      </c>
      <c r="C183" s="2">
        <v>8</v>
      </c>
      <c r="D183" s="2">
        <v>350</v>
      </c>
      <c r="E183" s="2">
        <v>165</v>
      </c>
      <c r="F183" s="2">
        <v>4209</v>
      </c>
      <c r="G183" s="8">
        <f t="shared" si="2"/>
        <v>3.9201710620099785E-2</v>
      </c>
      <c r="H183" s="2">
        <v>12</v>
      </c>
      <c r="I183" s="2">
        <v>71</v>
      </c>
      <c r="J183" t="s">
        <v>29</v>
      </c>
    </row>
    <row r="184" spans="1:10" x14ac:dyDescent="0.3">
      <c r="A184" t="s">
        <v>192</v>
      </c>
      <c r="B184" s="2">
        <v>14</v>
      </c>
      <c r="C184" s="2">
        <v>8</v>
      </c>
      <c r="D184" s="2">
        <v>400</v>
      </c>
      <c r="E184" s="2">
        <v>175</v>
      </c>
      <c r="F184" s="2">
        <v>4464</v>
      </c>
      <c r="G184" s="8">
        <f t="shared" si="2"/>
        <v>3.9202508960573479E-2</v>
      </c>
      <c r="H184" s="8">
        <v>11.5</v>
      </c>
      <c r="I184" s="2">
        <v>71</v>
      </c>
      <c r="J184" t="s">
        <v>29</v>
      </c>
    </row>
    <row r="185" spans="1:10" x14ac:dyDescent="0.3">
      <c r="A185" t="s">
        <v>172</v>
      </c>
      <c r="B185" s="2">
        <v>14</v>
      </c>
      <c r="C185" s="2">
        <v>8</v>
      </c>
      <c r="D185" s="2">
        <v>351</v>
      </c>
      <c r="E185" s="2">
        <v>153</v>
      </c>
      <c r="F185" s="2">
        <v>4154</v>
      </c>
      <c r="G185" s="8">
        <f t="shared" si="2"/>
        <v>3.6831969186326433E-2</v>
      </c>
      <c r="H185" s="8">
        <v>13.5</v>
      </c>
      <c r="I185" s="2">
        <v>71</v>
      </c>
      <c r="J185" t="s">
        <v>29</v>
      </c>
    </row>
    <row r="186" spans="1:10" x14ac:dyDescent="0.3">
      <c r="A186" t="s">
        <v>166</v>
      </c>
      <c r="B186" s="2">
        <v>14</v>
      </c>
      <c r="C186" s="2">
        <v>8</v>
      </c>
      <c r="D186" s="2">
        <v>318</v>
      </c>
      <c r="E186" s="2">
        <v>150</v>
      </c>
      <c r="F186" s="2">
        <v>4096</v>
      </c>
      <c r="G186" s="8">
        <f t="shared" si="2"/>
        <v>3.662109375E-2</v>
      </c>
      <c r="H186" s="2">
        <v>13</v>
      </c>
      <c r="I186" s="2">
        <v>71</v>
      </c>
      <c r="J186" t="s">
        <v>29</v>
      </c>
    </row>
    <row r="187" spans="1:10" x14ac:dyDescent="0.3">
      <c r="A187" t="s">
        <v>193</v>
      </c>
      <c r="B187" s="2">
        <v>12</v>
      </c>
      <c r="C187" s="2">
        <v>8</v>
      </c>
      <c r="D187" s="2">
        <v>383</v>
      </c>
      <c r="E187" s="2">
        <v>180</v>
      </c>
      <c r="F187" s="2">
        <v>4955</v>
      </c>
      <c r="G187" s="8">
        <f t="shared" si="2"/>
        <v>3.6326942482341071E-2</v>
      </c>
      <c r="H187" s="8">
        <v>11.5</v>
      </c>
      <c r="I187" s="2">
        <v>71</v>
      </c>
      <c r="J187" t="s">
        <v>29</v>
      </c>
    </row>
    <row r="188" spans="1:10" x14ac:dyDescent="0.3">
      <c r="A188" t="s">
        <v>194</v>
      </c>
      <c r="B188" s="2">
        <v>13</v>
      </c>
      <c r="C188" s="2">
        <v>8</v>
      </c>
      <c r="D188" s="2">
        <v>400</v>
      </c>
      <c r="E188" s="2">
        <v>170</v>
      </c>
      <c r="F188" s="2">
        <v>4746</v>
      </c>
      <c r="G188" s="8">
        <f t="shared" si="2"/>
        <v>3.5819637589549091E-2</v>
      </c>
      <c r="H188" s="2">
        <v>12</v>
      </c>
      <c r="I188" s="2">
        <v>71</v>
      </c>
      <c r="J188" t="s">
        <v>29</v>
      </c>
    </row>
    <row r="189" spans="1:10" x14ac:dyDescent="0.3">
      <c r="A189" t="s">
        <v>195</v>
      </c>
      <c r="B189" s="2">
        <v>13</v>
      </c>
      <c r="C189" s="2">
        <v>8</v>
      </c>
      <c r="D189" s="2">
        <v>400</v>
      </c>
      <c r="E189" s="2">
        <v>175</v>
      </c>
      <c r="F189" s="2">
        <v>5140</v>
      </c>
      <c r="G189" s="8">
        <f t="shared" si="2"/>
        <v>3.4046692607003888E-2</v>
      </c>
      <c r="H189" s="2">
        <v>12</v>
      </c>
      <c r="I189" s="2">
        <v>71</v>
      </c>
      <c r="J189" t="s">
        <v>29</v>
      </c>
    </row>
    <row r="190" spans="1:10" x14ac:dyDescent="0.3">
      <c r="A190" t="s">
        <v>196</v>
      </c>
      <c r="B190" s="2">
        <v>21</v>
      </c>
      <c r="C190" s="2">
        <v>4</v>
      </c>
      <c r="D190" s="2">
        <v>122</v>
      </c>
      <c r="E190" s="2">
        <v>86</v>
      </c>
      <c r="F190" s="2">
        <v>2226</v>
      </c>
      <c r="G190" s="8">
        <f t="shared" si="2"/>
        <v>3.8634321653189578E-2</v>
      </c>
      <c r="H190" s="8">
        <v>16.5</v>
      </c>
      <c r="I190" s="2">
        <v>72</v>
      </c>
      <c r="J190" t="s">
        <v>29</v>
      </c>
    </row>
    <row r="191" spans="1:10" x14ac:dyDescent="0.3">
      <c r="A191" t="s">
        <v>197</v>
      </c>
      <c r="B191" s="2">
        <v>25</v>
      </c>
      <c r="C191" s="2">
        <v>4</v>
      </c>
      <c r="D191" s="8">
        <v>97.5</v>
      </c>
      <c r="E191" s="2">
        <v>80</v>
      </c>
      <c r="F191" s="2">
        <v>2126</v>
      </c>
      <c r="G191" s="8">
        <f t="shared" ref="G191:G253" si="3">IFERROR(E191/F191, "")</f>
        <v>3.7629350893697081E-2</v>
      </c>
      <c r="H191" s="2">
        <v>17</v>
      </c>
      <c r="I191" s="2">
        <v>72</v>
      </c>
      <c r="J191" t="s">
        <v>29</v>
      </c>
    </row>
    <row r="192" spans="1:10" x14ac:dyDescent="0.3">
      <c r="A192" t="s">
        <v>198</v>
      </c>
      <c r="B192" s="2">
        <v>20</v>
      </c>
      <c r="C192" s="2">
        <v>4</v>
      </c>
      <c r="D192" s="2">
        <v>140</v>
      </c>
      <c r="E192" s="2">
        <v>90</v>
      </c>
      <c r="F192" s="2">
        <v>2408</v>
      </c>
      <c r="G192" s="8">
        <f t="shared" si="3"/>
        <v>3.7375415282392029E-2</v>
      </c>
      <c r="H192" s="8">
        <v>19.5</v>
      </c>
      <c r="I192" s="2">
        <v>72</v>
      </c>
      <c r="J192" t="s">
        <v>29</v>
      </c>
    </row>
    <row r="193" spans="1:10" x14ac:dyDescent="0.3">
      <c r="A193" t="s">
        <v>199</v>
      </c>
      <c r="B193" s="2">
        <v>28</v>
      </c>
      <c r="C193" s="2">
        <v>4</v>
      </c>
      <c r="D193" s="2">
        <v>98</v>
      </c>
      <c r="E193" s="2">
        <v>80</v>
      </c>
      <c r="F193" s="2">
        <v>2164</v>
      </c>
      <c r="G193" s="8">
        <f t="shared" si="3"/>
        <v>3.6968576709796676E-2</v>
      </c>
      <c r="H193" s="2">
        <v>15</v>
      </c>
      <c r="I193" s="2">
        <v>72</v>
      </c>
      <c r="J193" t="s">
        <v>29</v>
      </c>
    </row>
    <row r="194" spans="1:10" x14ac:dyDescent="0.3">
      <c r="A194" t="s">
        <v>200</v>
      </c>
      <c r="B194" s="2">
        <v>22</v>
      </c>
      <c r="C194" s="2">
        <v>4</v>
      </c>
      <c r="D194" s="2">
        <v>122</v>
      </c>
      <c r="E194" s="2">
        <v>86</v>
      </c>
      <c r="F194" s="2">
        <v>2395</v>
      </c>
      <c r="G194" s="8">
        <f t="shared" si="3"/>
        <v>3.5908141962421709E-2</v>
      </c>
      <c r="H194" s="2">
        <v>16</v>
      </c>
      <c r="I194" s="2">
        <v>72</v>
      </c>
      <c r="J194" t="s">
        <v>29</v>
      </c>
    </row>
    <row r="195" spans="1:10" x14ac:dyDescent="0.3">
      <c r="A195" t="s">
        <v>201</v>
      </c>
      <c r="B195" s="2">
        <v>11</v>
      </c>
      <c r="C195" s="2">
        <v>8</v>
      </c>
      <c r="D195" s="2">
        <v>429</v>
      </c>
      <c r="E195" s="2">
        <v>208</v>
      </c>
      <c r="F195" s="2">
        <v>4633</v>
      </c>
      <c r="G195" s="8">
        <f t="shared" si="3"/>
        <v>4.4895316209799266E-2</v>
      </c>
      <c r="H195" s="2">
        <v>11</v>
      </c>
      <c r="I195" s="2">
        <v>72</v>
      </c>
      <c r="J195" t="s">
        <v>29</v>
      </c>
    </row>
    <row r="196" spans="1:10" x14ac:dyDescent="0.3">
      <c r="A196" t="s">
        <v>202</v>
      </c>
      <c r="B196" s="2">
        <v>13</v>
      </c>
      <c r="C196" s="2">
        <v>8</v>
      </c>
      <c r="D196" s="2">
        <v>400</v>
      </c>
      <c r="E196" s="2">
        <v>190</v>
      </c>
      <c r="F196" s="2">
        <v>4422</v>
      </c>
      <c r="G196" s="8">
        <f t="shared" si="3"/>
        <v>4.2966983265490727E-2</v>
      </c>
      <c r="H196" s="8">
        <v>12.5</v>
      </c>
      <c r="I196" s="2">
        <v>72</v>
      </c>
      <c r="J196" t="s">
        <v>29</v>
      </c>
    </row>
    <row r="197" spans="1:10" x14ac:dyDescent="0.3">
      <c r="A197" t="s">
        <v>203</v>
      </c>
      <c r="B197" s="2">
        <v>17</v>
      </c>
      <c r="C197" s="2">
        <v>8</v>
      </c>
      <c r="D197" s="2">
        <v>304</v>
      </c>
      <c r="E197" s="2">
        <v>150</v>
      </c>
      <c r="F197" s="2">
        <v>3672</v>
      </c>
      <c r="G197" s="8">
        <f t="shared" si="3"/>
        <v>4.084967320261438E-2</v>
      </c>
      <c r="H197" s="8">
        <v>11.5</v>
      </c>
      <c r="I197" s="2">
        <v>72</v>
      </c>
      <c r="J197" t="s">
        <v>29</v>
      </c>
    </row>
    <row r="198" spans="1:10" x14ac:dyDescent="0.3">
      <c r="A198" t="s">
        <v>164</v>
      </c>
      <c r="B198" s="2">
        <v>14</v>
      </c>
      <c r="C198" s="2">
        <v>8</v>
      </c>
      <c r="D198" s="2">
        <v>400</v>
      </c>
      <c r="E198" s="2">
        <v>175</v>
      </c>
      <c r="F198" s="2">
        <v>4385</v>
      </c>
      <c r="G198" s="8">
        <f t="shared" si="3"/>
        <v>3.9908779931584946E-2</v>
      </c>
      <c r="H198" s="2">
        <v>12</v>
      </c>
      <c r="I198" s="2">
        <v>72</v>
      </c>
      <c r="J198" t="s">
        <v>29</v>
      </c>
    </row>
    <row r="199" spans="1:10" x14ac:dyDescent="0.3">
      <c r="A199" t="s">
        <v>165</v>
      </c>
      <c r="B199" s="2">
        <v>13</v>
      </c>
      <c r="C199" s="2">
        <v>8</v>
      </c>
      <c r="D199" s="2">
        <v>350</v>
      </c>
      <c r="E199" s="2">
        <v>165</v>
      </c>
      <c r="F199" s="2">
        <v>4274</v>
      </c>
      <c r="G199" s="8">
        <f t="shared" si="3"/>
        <v>3.8605521759475903E-2</v>
      </c>
      <c r="H199" s="2">
        <v>12</v>
      </c>
      <c r="I199" s="2">
        <v>72</v>
      </c>
      <c r="J199" t="s">
        <v>29</v>
      </c>
    </row>
    <row r="200" spans="1:10" x14ac:dyDescent="0.3">
      <c r="A200" t="s">
        <v>204</v>
      </c>
      <c r="B200" s="2">
        <v>15</v>
      </c>
      <c r="C200" s="2">
        <v>8</v>
      </c>
      <c r="D200" s="2">
        <v>304</v>
      </c>
      <c r="E200" s="2">
        <v>150</v>
      </c>
      <c r="F200" s="2">
        <v>3892</v>
      </c>
      <c r="G200" s="8">
        <f t="shared" si="3"/>
        <v>3.8540596094552931E-2</v>
      </c>
      <c r="H200" s="8">
        <v>12.5</v>
      </c>
      <c r="I200" s="2">
        <v>72</v>
      </c>
      <c r="J200" t="s">
        <v>29</v>
      </c>
    </row>
    <row r="201" spans="1:10" x14ac:dyDescent="0.3">
      <c r="A201" t="s">
        <v>172</v>
      </c>
      <c r="B201" s="2">
        <v>14</v>
      </c>
      <c r="C201" s="2">
        <v>8</v>
      </c>
      <c r="D201" s="2">
        <v>351</v>
      </c>
      <c r="E201" s="2">
        <v>153</v>
      </c>
      <c r="F201" s="2">
        <v>4129</v>
      </c>
      <c r="G201" s="8">
        <f t="shared" si="3"/>
        <v>3.705497699200775E-2</v>
      </c>
      <c r="H201" s="2">
        <v>13</v>
      </c>
      <c r="I201" s="2">
        <v>72</v>
      </c>
      <c r="J201" t="s">
        <v>29</v>
      </c>
    </row>
    <row r="202" spans="1:10" x14ac:dyDescent="0.3">
      <c r="A202" t="s">
        <v>205</v>
      </c>
      <c r="B202" s="2">
        <v>14</v>
      </c>
      <c r="C202" s="2">
        <v>8</v>
      </c>
      <c r="D202" s="2">
        <v>318</v>
      </c>
      <c r="E202" s="2">
        <v>150</v>
      </c>
      <c r="F202" s="2">
        <v>4077</v>
      </c>
      <c r="G202" s="8">
        <f t="shared" si="3"/>
        <v>3.679175864606328E-2</v>
      </c>
      <c r="H202" s="2">
        <v>14</v>
      </c>
      <c r="I202" s="2">
        <v>72</v>
      </c>
      <c r="J202" t="s">
        <v>29</v>
      </c>
    </row>
    <row r="203" spans="1:10" x14ac:dyDescent="0.3">
      <c r="A203" t="s">
        <v>166</v>
      </c>
      <c r="B203" s="2">
        <v>15</v>
      </c>
      <c r="C203" s="2">
        <v>8</v>
      </c>
      <c r="D203" s="2">
        <v>318</v>
      </c>
      <c r="E203" s="2">
        <v>150</v>
      </c>
      <c r="F203" s="2">
        <v>4135</v>
      </c>
      <c r="G203" s="8">
        <f t="shared" si="3"/>
        <v>3.6275695284159616E-2</v>
      </c>
      <c r="H203" s="8">
        <v>13.5</v>
      </c>
      <c r="I203" s="2">
        <v>72</v>
      </c>
      <c r="J203" t="s">
        <v>29</v>
      </c>
    </row>
    <row r="204" spans="1:10" x14ac:dyDescent="0.3">
      <c r="A204" t="s">
        <v>206</v>
      </c>
      <c r="B204" s="2">
        <v>12</v>
      </c>
      <c r="C204" s="2">
        <v>8</v>
      </c>
      <c r="D204" s="2">
        <v>350</v>
      </c>
      <c r="E204" s="2">
        <v>160</v>
      </c>
      <c r="F204" s="2">
        <v>4456</v>
      </c>
      <c r="G204" s="8">
        <f t="shared" si="3"/>
        <v>3.5906642728904849E-2</v>
      </c>
      <c r="H204" s="8">
        <v>13.5</v>
      </c>
      <c r="I204" s="2">
        <v>72</v>
      </c>
      <c r="J204" t="s">
        <v>29</v>
      </c>
    </row>
    <row r="205" spans="1:10" x14ac:dyDescent="0.3">
      <c r="A205" t="s">
        <v>207</v>
      </c>
      <c r="B205" s="2">
        <v>13</v>
      </c>
      <c r="C205" s="2">
        <v>8</v>
      </c>
      <c r="D205" s="2">
        <v>350</v>
      </c>
      <c r="E205" s="2">
        <v>155</v>
      </c>
      <c r="F205" s="2">
        <v>4502</v>
      </c>
      <c r="G205" s="8">
        <f t="shared" si="3"/>
        <v>3.442914260328743E-2</v>
      </c>
      <c r="H205" s="8">
        <v>13.5</v>
      </c>
      <c r="I205" s="2">
        <v>72</v>
      </c>
      <c r="J205" t="s">
        <v>29</v>
      </c>
    </row>
    <row r="206" spans="1:10" x14ac:dyDescent="0.3">
      <c r="A206" t="s">
        <v>208</v>
      </c>
      <c r="B206" s="2">
        <v>13</v>
      </c>
      <c r="C206" s="2">
        <v>8</v>
      </c>
      <c r="D206" s="2">
        <v>302</v>
      </c>
      <c r="E206" s="2">
        <v>140</v>
      </c>
      <c r="F206" s="2">
        <v>4294</v>
      </c>
      <c r="G206" s="8">
        <f t="shared" si="3"/>
        <v>3.2603632976245925E-2</v>
      </c>
      <c r="H206" s="2">
        <v>16</v>
      </c>
      <c r="I206" s="2">
        <v>72</v>
      </c>
      <c r="J206" t="s">
        <v>29</v>
      </c>
    </row>
    <row r="207" spans="1:10" x14ac:dyDescent="0.3">
      <c r="A207" t="s">
        <v>209</v>
      </c>
      <c r="B207" s="2">
        <v>13</v>
      </c>
      <c r="C207" s="2">
        <v>8</v>
      </c>
      <c r="D207" s="2">
        <v>307</v>
      </c>
      <c r="E207" s="2">
        <v>130</v>
      </c>
      <c r="F207" s="2">
        <v>4098</v>
      </c>
      <c r="G207" s="8">
        <f t="shared" si="3"/>
        <v>3.1722791605661299E-2</v>
      </c>
      <c r="H207" s="2">
        <v>14</v>
      </c>
      <c r="I207" s="2">
        <v>72</v>
      </c>
      <c r="J207" t="s">
        <v>29</v>
      </c>
    </row>
    <row r="208" spans="1:10" x14ac:dyDescent="0.3">
      <c r="A208" t="s">
        <v>185</v>
      </c>
      <c r="B208" s="2">
        <v>19</v>
      </c>
      <c r="C208" s="2">
        <v>4</v>
      </c>
      <c r="D208" s="2">
        <v>122</v>
      </c>
      <c r="E208" s="2">
        <v>85</v>
      </c>
      <c r="F208" s="2">
        <v>2310</v>
      </c>
      <c r="G208" s="8">
        <f t="shared" si="3"/>
        <v>3.67965367965368E-2</v>
      </c>
      <c r="H208" s="8">
        <v>18.5</v>
      </c>
      <c r="I208" s="2">
        <v>73</v>
      </c>
      <c r="J208" t="s">
        <v>29</v>
      </c>
    </row>
    <row r="209" spans="1:10" x14ac:dyDescent="0.3">
      <c r="A209" t="s">
        <v>198</v>
      </c>
      <c r="B209" s="2">
        <v>21</v>
      </c>
      <c r="C209" s="2">
        <v>4</v>
      </c>
      <c r="D209" s="2">
        <v>140</v>
      </c>
      <c r="E209" s="2">
        <v>72</v>
      </c>
      <c r="F209" s="2">
        <v>2401</v>
      </c>
      <c r="G209" s="8">
        <f t="shared" si="3"/>
        <v>2.9987505206164097E-2</v>
      </c>
      <c r="H209" s="8">
        <v>19.5</v>
      </c>
      <c r="I209" s="2">
        <v>73</v>
      </c>
      <c r="J209" t="s">
        <v>29</v>
      </c>
    </row>
    <row r="210" spans="1:10" x14ac:dyDescent="0.3">
      <c r="A210" t="s">
        <v>210</v>
      </c>
      <c r="B210" s="2">
        <v>21</v>
      </c>
      <c r="C210" s="2">
        <v>6</v>
      </c>
      <c r="D210" s="2">
        <v>155</v>
      </c>
      <c r="E210" s="2">
        <v>107</v>
      </c>
      <c r="F210" s="2">
        <v>2472</v>
      </c>
      <c r="G210" s="8">
        <f t="shared" si="3"/>
        <v>4.3284789644012944E-2</v>
      </c>
      <c r="H210" s="2">
        <v>14</v>
      </c>
      <c r="I210" s="2">
        <v>73</v>
      </c>
      <c r="J210" t="s">
        <v>29</v>
      </c>
    </row>
    <row r="211" spans="1:10" x14ac:dyDescent="0.3">
      <c r="A211" t="s">
        <v>160</v>
      </c>
      <c r="B211" s="2">
        <v>18</v>
      </c>
      <c r="C211" s="2">
        <v>6</v>
      </c>
      <c r="D211" s="2">
        <v>232</v>
      </c>
      <c r="E211" s="2">
        <v>100</v>
      </c>
      <c r="F211" s="2">
        <v>2789</v>
      </c>
      <c r="G211" s="8">
        <f t="shared" si="3"/>
        <v>3.5855145213338116E-2</v>
      </c>
      <c r="H211" s="2">
        <v>15</v>
      </c>
      <c r="I211" s="2">
        <v>73</v>
      </c>
      <c r="J211" t="s">
        <v>29</v>
      </c>
    </row>
    <row r="212" spans="1:10" x14ac:dyDescent="0.3">
      <c r="A212" t="s">
        <v>159</v>
      </c>
      <c r="B212" s="2">
        <v>18</v>
      </c>
      <c r="C212" s="2">
        <v>6</v>
      </c>
      <c r="D212" s="2">
        <v>232</v>
      </c>
      <c r="E212" s="2">
        <v>100</v>
      </c>
      <c r="F212" s="2">
        <v>2945</v>
      </c>
      <c r="G212" s="8">
        <f t="shared" si="3"/>
        <v>3.3955857385398983E-2</v>
      </c>
      <c r="H212" s="2">
        <v>16</v>
      </c>
      <c r="I212" s="2">
        <v>73</v>
      </c>
      <c r="J212" t="s">
        <v>29</v>
      </c>
    </row>
    <row r="213" spans="1:10" x14ac:dyDescent="0.3">
      <c r="A213" t="s">
        <v>211</v>
      </c>
      <c r="B213" s="2">
        <v>18</v>
      </c>
      <c r="C213" s="2">
        <v>6</v>
      </c>
      <c r="D213" s="2">
        <v>225</v>
      </c>
      <c r="E213" s="2">
        <v>105</v>
      </c>
      <c r="F213" s="2">
        <v>3121</v>
      </c>
      <c r="G213" s="8">
        <f t="shared" si="3"/>
        <v>3.3643063120794618E-2</v>
      </c>
      <c r="H213" s="8">
        <v>16.5</v>
      </c>
      <c r="I213" s="2">
        <v>73</v>
      </c>
      <c r="J213" t="s">
        <v>29</v>
      </c>
    </row>
    <row r="214" spans="1:10" x14ac:dyDescent="0.3">
      <c r="A214" t="s">
        <v>161</v>
      </c>
      <c r="B214" s="2">
        <v>23</v>
      </c>
      <c r="C214" s="2">
        <v>6</v>
      </c>
      <c r="D214" s="2">
        <v>198</v>
      </c>
      <c r="E214" s="2">
        <v>95</v>
      </c>
      <c r="F214" s="2">
        <v>2904</v>
      </c>
      <c r="G214" s="8">
        <f t="shared" si="3"/>
        <v>3.2713498622589529E-2</v>
      </c>
      <c r="H214" s="2">
        <v>16</v>
      </c>
      <c r="I214" s="2">
        <v>73</v>
      </c>
      <c r="J214" t="s">
        <v>29</v>
      </c>
    </row>
    <row r="215" spans="1:10" x14ac:dyDescent="0.3">
      <c r="A215" t="s">
        <v>212</v>
      </c>
      <c r="B215" s="2">
        <v>16</v>
      </c>
      <c r="C215" s="2">
        <v>6</v>
      </c>
      <c r="D215" s="2">
        <v>250</v>
      </c>
      <c r="E215" s="2">
        <v>100</v>
      </c>
      <c r="F215" s="2">
        <v>3278</v>
      </c>
      <c r="G215" s="8">
        <f t="shared" si="3"/>
        <v>3.0506406345332519E-2</v>
      </c>
      <c r="H215" s="2">
        <v>18</v>
      </c>
      <c r="I215" s="2">
        <v>73</v>
      </c>
      <c r="J215" t="s">
        <v>29</v>
      </c>
    </row>
    <row r="216" spans="1:10" x14ac:dyDescent="0.3">
      <c r="A216" t="s">
        <v>162</v>
      </c>
      <c r="B216" s="2">
        <v>18</v>
      </c>
      <c r="C216" s="2">
        <v>6</v>
      </c>
      <c r="D216" s="2">
        <v>250</v>
      </c>
      <c r="E216" s="2">
        <v>88</v>
      </c>
      <c r="F216" s="2">
        <v>3021</v>
      </c>
      <c r="G216" s="8">
        <f t="shared" si="3"/>
        <v>2.9129427341939754E-2</v>
      </c>
      <c r="H216" s="8">
        <v>16.5</v>
      </c>
      <c r="I216" s="2">
        <v>73</v>
      </c>
      <c r="J216" t="s">
        <v>29</v>
      </c>
    </row>
    <row r="217" spans="1:10" x14ac:dyDescent="0.3">
      <c r="A217" t="s">
        <v>213</v>
      </c>
      <c r="B217" s="2">
        <v>16</v>
      </c>
      <c r="C217" s="2">
        <v>8</v>
      </c>
      <c r="D217" s="2">
        <v>400</v>
      </c>
      <c r="E217" s="2">
        <v>230</v>
      </c>
      <c r="F217" s="2">
        <v>4278</v>
      </c>
      <c r="G217" s="8">
        <f t="shared" si="3"/>
        <v>5.3763440860215055E-2</v>
      </c>
      <c r="H217" s="8">
        <v>9.5</v>
      </c>
      <c r="I217" s="2">
        <v>73</v>
      </c>
      <c r="J217" t="s">
        <v>29</v>
      </c>
    </row>
    <row r="218" spans="1:10" x14ac:dyDescent="0.3">
      <c r="A218" t="s">
        <v>214</v>
      </c>
      <c r="B218" s="2">
        <v>11</v>
      </c>
      <c r="C218" s="2">
        <v>8</v>
      </c>
      <c r="D218" s="2">
        <v>350</v>
      </c>
      <c r="E218" s="2">
        <v>180</v>
      </c>
      <c r="F218" s="2">
        <v>3664</v>
      </c>
      <c r="G218" s="8">
        <f t="shared" si="3"/>
        <v>4.9126637554585149E-2</v>
      </c>
      <c r="H218" s="2">
        <v>11</v>
      </c>
      <c r="I218" s="2">
        <v>73</v>
      </c>
      <c r="J218" t="s">
        <v>29</v>
      </c>
    </row>
    <row r="219" spans="1:10" x14ac:dyDescent="0.3">
      <c r="A219" t="s">
        <v>215</v>
      </c>
      <c r="B219" s="2">
        <v>13</v>
      </c>
      <c r="C219" s="2">
        <v>8</v>
      </c>
      <c r="D219" s="2">
        <v>360</v>
      </c>
      <c r="E219" s="2">
        <v>175</v>
      </c>
      <c r="F219" s="2">
        <v>3821</v>
      </c>
      <c r="G219" s="8">
        <f t="shared" si="3"/>
        <v>4.5799528919131118E-2</v>
      </c>
      <c r="H219" s="2">
        <v>11</v>
      </c>
      <c r="I219" s="2">
        <v>73</v>
      </c>
      <c r="J219" t="s">
        <v>29</v>
      </c>
    </row>
    <row r="220" spans="1:10" x14ac:dyDescent="0.3">
      <c r="A220" t="s">
        <v>216</v>
      </c>
      <c r="B220" s="2">
        <v>12</v>
      </c>
      <c r="C220" s="2">
        <v>8</v>
      </c>
      <c r="D220" s="2">
        <v>455</v>
      </c>
      <c r="E220" s="2">
        <v>225</v>
      </c>
      <c r="F220" s="2">
        <v>4951</v>
      </c>
      <c r="G220" s="8">
        <f t="shared" si="3"/>
        <v>4.5445364572813576E-2</v>
      </c>
      <c r="H220" s="2">
        <v>11</v>
      </c>
      <c r="I220" s="2">
        <v>73</v>
      </c>
      <c r="J220" t="s">
        <v>29</v>
      </c>
    </row>
    <row r="221" spans="1:10" x14ac:dyDescent="0.3">
      <c r="A221" t="s">
        <v>217</v>
      </c>
      <c r="B221" s="2">
        <v>13</v>
      </c>
      <c r="C221" s="2">
        <v>8</v>
      </c>
      <c r="D221" s="2">
        <v>440</v>
      </c>
      <c r="E221" s="2">
        <v>215</v>
      </c>
      <c r="F221" s="2">
        <v>4735</v>
      </c>
      <c r="G221" s="8">
        <f t="shared" si="3"/>
        <v>4.5406546990496302E-2</v>
      </c>
      <c r="H221" s="2">
        <v>11</v>
      </c>
      <c r="I221" s="2">
        <v>73</v>
      </c>
      <c r="J221" t="s">
        <v>29</v>
      </c>
    </row>
    <row r="222" spans="1:10" x14ac:dyDescent="0.3">
      <c r="A222" t="s">
        <v>218</v>
      </c>
      <c r="B222" s="2">
        <v>15</v>
      </c>
      <c r="C222" s="2">
        <v>8</v>
      </c>
      <c r="D222" s="2">
        <v>318</v>
      </c>
      <c r="E222" s="2">
        <v>150</v>
      </c>
      <c r="F222" s="2">
        <v>3399</v>
      </c>
      <c r="G222" s="8">
        <f t="shared" si="3"/>
        <v>4.4130626654898503E-2</v>
      </c>
      <c r="H222" s="2">
        <v>11</v>
      </c>
      <c r="I222" s="2">
        <v>73</v>
      </c>
      <c r="J222" t="s">
        <v>29</v>
      </c>
    </row>
    <row r="223" spans="1:10" x14ac:dyDescent="0.3">
      <c r="A223" t="s">
        <v>219</v>
      </c>
      <c r="B223" s="2">
        <v>13</v>
      </c>
      <c r="C223" s="2">
        <v>8</v>
      </c>
      <c r="D223" s="2">
        <v>350</v>
      </c>
      <c r="E223" s="2">
        <v>175</v>
      </c>
      <c r="F223" s="2">
        <v>4100</v>
      </c>
      <c r="G223" s="8">
        <f t="shared" si="3"/>
        <v>4.2682926829268296E-2</v>
      </c>
      <c r="H223" s="2">
        <v>13</v>
      </c>
      <c r="I223" s="2">
        <v>73</v>
      </c>
      <c r="J223" t="s">
        <v>29</v>
      </c>
    </row>
    <row r="224" spans="1:10" x14ac:dyDescent="0.3">
      <c r="A224" t="s">
        <v>189</v>
      </c>
      <c r="B224" s="2">
        <v>14</v>
      </c>
      <c r="C224" s="2">
        <v>8</v>
      </c>
      <c r="D224" s="2">
        <v>304</v>
      </c>
      <c r="E224" s="2">
        <v>150</v>
      </c>
      <c r="F224" s="2">
        <v>3672</v>
      </c>
      <c r="G224" s="8">
        <f t="shared" si="3"/>
        <v>4.084967320261438E-2</v>
      </c>
      <c r="H224" s="8">
        <v>11.5</v>
      </c>
      <c r="I224" s="2">
        <v>73</v>
      </c>
      <c r="J224" t="s">
        <v>29</v>
      </c>
    </row>
    <row r="225" spans="1:10" x14ac:dyDescent="0.3">
      <c r="A225" t="s">
        <v>220</v>
      </c>
      <c r="B225" s="2">
        <v>12</v>
      </c>
      <c r="C225" s="2">
        <v>8</v>
      </c>
      <c r="D225" s="2">
        <v>429</v>
      </c>
      <c r="E225" s="2">
        <v>198</v>
      </c>
      <c r="F225" s="2">
        <v>4952</v>
      </c>
      <c r="G225" s="8">
        <f t="shared" si="3"/>
        <v>3.998384491114701E-2</v>
      </c>
      <c r="H225" s="8">
        <v>11.5</v>
      </c>
      <c r="I225" s="2">
        <v>73</v>
      </c>
      <c r="J225" t="s">
        <v>29</v>
      </c>
    </row>
    <row r="226" spans="1:10" x14ac:dyDescent="0.3">
      <c r="A226" t="s">
        <v>221</v>
      </c>
      <c r="B226" s="2">
        <v>12</v>
      </c>
      <c r="C226" s="2">
        <v>8</v>
      </c>
      <c r="D226" s="2">
        <v>350</v>
      </c>
      <c r="E226" s="2">
        <v>180</v>
      </c>
      <c r="F226" s="2">
        <v>4499</v>
      </c>
      <c r="G226" s="8">
        <f t="shared" si="3"/>
        <v>4.0008890864636583E-2</v>
      </c>
      <c r="H226" s="8">
        <v>12.5</v>
      </c>
      <c r="I226" s="2">
        <v>73</v>
      </c>
      <c r="J226" t="s">
        <v>29</v>
      </c>
    </row>
    <row r="227" spans="1:10" x14ac:dyDescent="0.3">
      <c r="A227" t="s">
        <v>222</v>
      </c>
      <c r="B227" s="2">
        <v>15</v>
      </c>
      <c r="C227" s="2">
        <v>8</v>
      </c>
      <c r="D227" s="2">
        <v>318</v>
      </c>
      <c r="E227" s="2">
        <v>150</v>
      </c>
      <c r="F227" s="2">
        <v>3777</v>
      </c>
      <c r="G227" s="8">
        <f t="shared" si="3"/>
        <v>3.971405877680699E-2</v>
      </c>
      <c r="H227" s="8">
        <v>12.5</v>
      </c>
      <c r="I227" s="2">
        <v>73</v>
      </c>
      <c r="J227" t="s">
        <v>29</v>
      </c>
    </row>
    <row r="228" spans="1:10" x14ac:dyDescent="0.3">
      <c r="A228" t="s">
        <v>223</v>
      </c>
      <c r="B228" s="2">
        <v>13</v>
      </c>
      <c r="C228" s="2">
        <v>8</v>
      </c>
      <c r="D228" s="2">
        <v>360</v>
      </c>
      <c r="E228" s="2">
        <v>170</v>
      </c>
      <c r="F228" s="2">
        <v>4654</v>
      </c>
      <c r="G228" s="8">
        <f t="shared" si="3"/>
        <v>3.6527718091963902E-2</v>
      </c>
      <c r="H228" s="2">
        <v>13</v>
      </c>
      <c r="I228" s="2">
        <v>73</v>
      </c>
      <c r="J228" t="s">
        <v>29</v>
      </c>
    </row>
    <row r="229" spans="1:10" x14ac:dyDescent="0.3">
      <c r="A229" t="s">
        <v>224</v>
      </c>
      <c r="B229" s="2">
        <v>13</v>
      </c>
      <c r="C229" s="2">
        <v>8</v>
      </c>
      <c r="D229" s="2">
        <v>350</v>
      </c>
      <c r="E229" s="2">
        <v>145</v>
      </c>
      <c r="F229" s="2">
        <v>3988</v>
      </c>
      <c r="G229" s="8">
        <f t="shared" si="3"/>
        <v>3.6359077231695083E-2</v>
      </c>
      <c r="H229" s="2">
        <v>13</v>
      </c>
      <c r="I229" s="2">
        <v>73</v>
      </c>
      <c r="J229" t="s">
        <v>29</v>
      </c>
    </row>
    <row r="230" spans="1:10" x14ac:dyDescent="0.3">
      <c r="A230" t="s">
        <v>225</v>
      </c>
      <c r="B230" s="2">
        <v>13</v>
      </c>
      <c r="C230" s="2">
        <v>8</v>
      </c>
      <c r="D230" s="2">
        <v>351</v>
      </c>
      <c r="E230" s="2">
        <v>158</v>
      </c>
      <c r="F230" s="2">
        <v>4363</v>
      </c>
      <c r="G230" s="8">
        <f t="shared" si="3"/>
        <v>3.6213614485445793E-2</v>
      </c>
      <c r="H230" s="2">
        <v>13</v>
      </c>
      <c r="I230" s="2">
        <v>73</v>
      </c>
      <c r="J230" t="s">
        <v>29</v>
      </c>
    </row>
    <row r="231" spans="1:10" x14ac:dyDescent="0.3">
      <c r="A231" t="s">
        <v>226</v>
      </c>
      <c r="B231" s="2">
        <v>15</v>
      </c>
      <c r="C231" s="2">
        <v>8</v>
      </c>
      <c r="D231" s="2">
        <v>350</v>
      </c>
      <c r="E231" s="2">
        <v>145</v>
      </c>
      <c r="F231" s="2">
        <v>4082</v>
      </c>
      <c r="G231" s="8">
        <f t="shared" si="3"/>
        <v>3.5521803037726604E-2</v>
      </c>
      <c r="H231" s="2">
        <v>13</v>
      </c>
      <c r="I231" s="2">
        <v>73</v>
      </c>
      <c r="J231" t="s">
        <v>29</v>
      </c>
    </row>
    <row r="232" spans="1:10" x14ac:dyDescent="0.3">
      <c r="A232" t="s">
        <v>227</v>
      </c>
      <c r="B232" s="2">
        <v>14</v>
      </c>
      <c r="C232" s="2">
        <v>8</v>
      </c>
      <c r="D232" s="2">
        <v>318</v>
      </c>
      <c r="E232" s="2">
        <v>150</v>
      </c>
      <c r="F232" s="2">
        <v>4237</v>
      </c>
      <c r="G232" s="8">
        <f t="shared" si="3"/>
        <v>3.5402407363700733E-2</v>
      </c>
      <c r="H232" s="8">
        <v>14.5</v>
      </c>
      <c r="I232" s="2">
        <v>73</v>
      </c>
      <c r="J232" t="s">
        <v>29</v>
      </c>
    </row>
    <row r="233" spans="1:10" x14ac:dyDescent="0.3">
      <c r="A233" t="s">
        <v>228</v>
      </c>
      <c r="B233" s="2">
        <v>12</v>
      </c>
      <c r="C233" s="2">
        <v>8</v>
      </c>
      <c r="D233" s="2">
        <v>400</v>
      </c>
      <c r="E233" s="2">
        <v>167</v>
      </c>
      <c r="F233" s="2">
        <v>4906</v>
      </c>
      <c r="G233" s="8">
        <f t="shared" si="3"/>
        <v>3.4039951080309827E-2</v>
      </c>
      <c r="H233" s="8">
        <v>12.5</v>
      </c>
      <c r="I233" s="2">
        <v>73</v>
      </c>
      <c r="J233" t="s">
        <v>29</v>
      </c>
    </row>
    <row r="234" spans="1:10" x14ac:dyDescent="0.3">
      <c r="A234" t="s">
        <v>229</v>
      </c>
      <c r="B234" s="2">
        <v>14</v>
      </c>
      <c r="C234" s="2">
        <v>8</v>
      </c>
      <c r="D234" s="2">
        <v>302</v>
      </c>
      <c r="E234" s="2">
        <v>137</v>
      </c>
      <c r="F234" s="2">
        <v>4042</v>
      </c>
      <c r="G234" s="8">
        <f t="shared" si="3"/>
        <v>3.3894111825828799E-2</v>
      </c>
      <c r="H234" s="8">
        <v>14.5</v>
      </c>
      <c r="I234" s="2">
        <v>73</v>
      </c>
      <c r="J234" t="s">
        <v>29</v>
      </c>
    </row>
    <row r="235" spans="1:10" x14ac:dyDescent="0.3">
      <c r="A235" t="s">
        <v>230</v>
      </c>
      <c r="B235" s="2">
        <v>13</v>
      </c>
      <c r="C235" s="2">
        <v>8</v>
      </c>
      <c r="D235" s="2">
        <v>400</v>
      </c>
      <c r="E235" s="2">
        <v>150</v>
      </c>
      <c r="F235" s="2">
        <v>4464</v>
      </c>
      <c r="G235" s="8">
        <f t="shared" si="3"/>
        <v>3.3602150537634407E-2</v>
      </c>
      <c r="H235" s="2">
        <v>12</v>
      </c>
      <c r="I235" s="2">
        <v>73</v>
      </c>
      <c r="J235" t="s">
        <v>29</v>
      </c>
    </row>
    <row r="236" spans="1:10" x14ac:dyDescent="0.3">
      <c r="A236" t="s">
        <v>165</v>
      </c>
      <c r="B236" s="2">
        <v>11</v>
      </c>
      <c r="C236" s="2">
        <v>8</v>
      </c>
      <c r="D236" s="2">
        <v>400</v>
      </c>
      <c r="E236" s="2">
        <v>150</v>
      </c>
      <c r="F236" s="2">
        <v>4997</v>
      </c>
      <c r="G236" s="8">
        <f t="shared" si="3"/>
        <v>3.0018010806483891E-2</v>
      </c>
      <c r="H236" s="2">
        <v>14</v>
      </c>
      <c r="I236" s="2">
        <v>73</v>
      </c>
      <c r="J236" t="s">
        <v>29</v>
      </c>
    </row>
    <row r="237" spans="1:10" x14ac:dyDescent="0.3">
      <c r="A237" t="s">
        <v>231</v>
      </c>
      <c r="B237" s="2">
        <v>28</v>
      </c>
      <c r="C237" s="2">
        <v>4</v>
      </c>
      <c r="D237" s="2">
        <v>90</v>
      </c>
      <c r="E237" s="2">
        <v>75</v>
      </c>
      <c r="F237" s="2">
        <v>2125</v>
      </c>
      <c r="G237" s="8">
        <f t="shared" si="3"/>
        <v>3.5294117647058823E-2</v>
      </c>
      <c r="H237" s="8">
        <v>14.5</v>
      </c>
      <c r="I237" s="2">
        <v>74</v>
      </c>
      <c r="J237" t="s">
        <v>29</v>
      </c>
    </row>
    <row r="238" spans="1:10" x14ac:dyDescent="0.3">
      <c r="A238" t="s">
        <v>185</v>
      </c>
      <c r="B238" s="2">
        <v>26</v>
      </c>
      <c r="C238" s="2">
        <v>4</v>
      </c>
      <c r="D238" s="2">
        <v>122</v>
      </c>
      <c r="E238" s="2">
        <v>80</v>
      </c>
      <c r="F238" s="2">
        <v>2451</v>
      </c>
      <c r="G238" s="8">
        <f t="shared" si="3"/>
        <v>3.2639738882088945E-2</v>
      </c>
      <c r="H238" s="8">
        <v>16.5</v>
      </c>
      <c r="I238" s="2">
        <v>74</v>
      </c>
      <c r="J238" t="s">
        <v>29</v>
      </c>
    </row>
    <row r="239" spans="1:10" x14ac:dyDescent="0.3">
      <c r="A239" t="s">
        <v>198</v>
      </c>
      <c r="B239" s="2">
        <v>25</v>
      </c>
      <c r="C239" s="2">
        <v>4</v>
      </c>
      <c r="D239" s="2">
        <v>140</v>
      </c>
      <c r="E239" s="2">
        <v>75</v>
      </c>
      <c r="F239" s="2">
        <v>2542</v>
      </c>
      <c r="G239" s="8">
        <f t="shared" si="3"/>
        <v>2.9504327301337528E-2</v>
      </c>
      <c r="H239" s="2">
        <v>17</v>
      </c>
      <c r="I239" s="2">
        <v>74</v>
      </c>
      <c r="J239" t="s">
        <v>29</v>
      </c>
    </row>
    <row r="240" spans="1:10" x14ac:dyDescent="0.3">
      <c r="A240" t="s">
        <v>159</v>
      </c>
      <c r="B240" s="2">
        <v>19</v>
      </c>
      <c r="C240" s="2">
        <v>6</v>
      </c>
      <c r="D240" s="2">
        <v>232</v>
      </c>
      <c r="E240" s="2">
        <v>100</v>
      </c>
      <c r="F240" s="2">
        <v>2901</v>
      </c>
      <c r="G240" s="8">
        <f t="shared" si="3"/>
        <v>3.447087211306446E-2</v>
      </c>
      <c r="H240" s="2">
        <v>16</v>
      </c>
      <c r="I240" s="2">
        <v>74</v>
      </c>
      <c r="J240" t="s">
        <v>29</v>
      </c>
    </row>
    <row r="241" spans="1:10" x14ac:dyDescent="0.3">
      <c r="A241" t="s">
        <v>161</v>
      </c>
      <c r="B241" s="2">
        <v>20</v>
      </c>
      <c r="C241" s="2">
        <v>6</v>
      </c>
      <c r="D241" s="2">
        <v>198</v>
      </c>
      <c r="E241" s="2">
        <v>95</v>
      </c>
      <c r="F241" s="2">
        <v>3102</v>
      </c>
      <c r="G241" s="8">
        <f t="shared" si="3"/>
        <v>3.0625402965828497E-2</v>
      </c>
      <c r="H241" s="8">
        <v>16.5</v>
      </c>
      <c r="I241" s="2">
        <v>74</v>
      </c>
      <c r="J241" t="s">
        <v>29</v>
      </c>
    </row>
    <row r="242" spans="1:10" x14ac:dyDescent="0.3">
      <c r="A242" t="s">
        <v>189</v>
      </c>
      <c r="B242" s="2">
        <v>16</v>
      </c>
      <c r="C242" s="2">
        <v>6</v>
      </c>
      <c r="D242" s="2">
        <v>258</v>
      </c>
      <c r="E242" s="2">
        <v>110</v>
      </c>
      <c r="F242" s="2">
        <v>3632</v>
      </c>
      <c r="G242" s="8">
        <f t="shared" si="3"/>
        <v>3.0286343612334801E-2</v>
      </c>
      <c r="H242" s="2">
        <v>18</v>
      </c>
      <c r="I242" s="2">
        <v>74</v>
      </c>
      <c r="J242" t="s">
        <v>29</v>
      </c>
    </row>
    <row r="243" spans="1:10" x14ac:dyDescent="0.3">
      <c r="A243" t="s">
        <v>232</v>
      </c>
      <c r="B243" s="2">
        <v>15</v>
      </c>
      <c r="C243" s="2">
        <v>6</v>
      </c>
      <c r="D243" s="2">
        <v>250</v>
      </c>
      <c r="E243" s="2">
        <v>100</v>
      </c>
      <c r="F243" s="2">
        <v>3336</v>
      </c>
      <c r="G243" s="8">
        <f t="shared" si="3"/>
        <v>2.9976019184652279E-2</v>
      </c>
      <c r="H243" s="2">
        <v>17</v>
      </c>
      <c r="I243" s="2">
        <v>74</v>
      </c>
      <c r="J243" t="s">
        <v>29</v>
      </c>
    </row>
    <row r="244" spans="1:10" x14ac:dyDescent="0.3">
      <c r="A244" t="s">
        <v>233</v>
      </c>
      <c r="B244" s="2">
        <v>18</v>
      </c>
      <c r="C244" s="2">
        <v>6</v>
      </c>
      <c r="D244" s="2">
        <v>225</v>
      </c>
      <c r="E244" s="2">
        <v>105</v>
      </c>
      <c r="F244" s="2">
        <v>3613</v>
      </c>
      <c r="G244" s="8">
        <f t="shared" si="3"/>
        <v>2.9061721561029614E-2</v>
      </c>
      <c r="H244" s="8">
        <v>16.5</v>
      </c>
      <c r="I244" s="2">
        <v>74</v>
      </c>
      <c r="J244" t="s">
        <v>29</v>
      </c>
    </row>
    <row r="245" spans="1:10" x14ac:dyDescent="0.3">
      <c r="A245" t="s">
        <v>234</v>
      </c>
      <c r="B245" s="2">
        <v>16</v>
      </c>
      <c r="C245" s="2">
        <v>6</v>
      </c>
      <c r="D245" s="2">
        <v>250</v>
      </c>
      <c r="E245" s="2">
        <v>100</v>
      </c>
      <c r="F245" s="2">
        <v>3781</v>
      </c>
      <c r="G245" s="8">
        <f t="shared" si="3"/>
        <v>2.6448029621793177E-2</v>
      </c>
      <c r="H245" s="2">
        <v>17</v>
      </c>
      <c r="I245" s="2">
        <v>74</v>
      </c>
      <c r="J245" t="s">
        <v>29</v>
      </c>
    </row>
    <row r="246" spans="1:10" x14ac:dyDescent="0.3">
      <c r="A246" t="s">
        <v>204</v>
      </c>
      <c r="B246" s="2">
        <v>14</v>
      </c>
      <c r="C246" s="2">
        <v>8</v>
      </c>
      <c r="D246" s="2">
        <v>304</v>
      </c>
      <c r="E246" s="2">
        <v>150</v>
      </c>
      <c r="F246" s="2">
        <v>4257</v>
      </c>
      <c r="G246" s="8">
        <f t="shared" si="3"/>
        <v>3.5236081747709654E-2</v>
      </c>
      <c r="H246" s="8">
        <v>15.5</v>
      </c>
      <c r="I246" s="2">
        <v>74</v>
      </c>
      <c r="J246" t="s">
        <v>29</v>
      </c>
    </row>
    <row r="247" spans="1:10" x14ac:dyDescent="0.3">
      <c r="A247" t="s">
        <v>229</v>
      </c>
      <c r="B247" s="2">
        <v>16</v>
      </c>
      <c r="C247" s="2">
        <v>8</v>
      </c>
      <c r="D247" s="2">
        <v>302</v>
      </c>
      <c r="E247" s="2">
        <v>140</v>
      </c>
      <c r="F247" s="2">
        <v>4141</v>
      </c>
      <c r="G247" s="8">
        <f t="shared" si="3"/>
        <v>3.3808258874667957E-2</v>
      </c>
      <c r="H247" s="2">
        <v>14</v>
      </c>
      <c r="I247" s="2">
        <v>74</v>
      </c>
      <c r="J247" t="s">
        <v>29</v>
      </c>
    </row>
    <row r="248" spans="1:10" x14ac:dyDescent="0.3">
      <c r="A248" t="s">
        <v>235</v>
      </c>
      <c r="B248" s="2">
        <v>14</v>
      </c>
      <c r="C248" s="2">
        <v>8</v>
      </c>
      <c r="D248" s="2">
        <v>318</v>
      </c>
      <c r="E248" s="2">
        <v>150</v>
      </c>
      <c r="F248" s="2">
        <v>4457</v>
      </c>
      <c r="G248" s="8">
        <f t="shared" si="3"/>
        <v>3.3654924837334531E-2</v>
      </c>
      <c r="H248" s="8">
        <v>13.5</v>
      </c>
      <c r="I248" s="2">
        <v>74</v>
      </c>
      <c r="J248" t="s">
        <v>29</v>
      </c>
    </row>
    <row r="249" spans="1:10" x14ac:dyDescent="0.3">
      <c r="A249" t="s">
        <v>236</v>
      </c>
      <c r="B249" s="2">
        <v>13</v>
      </c>
      <c r="C249" s="2">
        <v>8</v>
      </c>
      <c r="D249" s="2">
        <v>350</v>
      </c>
      <c r="E249" s="2">
        <v>150</v>
      </c>
      <c r="F249" s="2">
        <v>4699</v>
      </c>
      <c r="G249" s="8">
        <f t="shared" si="3"/>
        <v>3.192168546499255E-2</v>
      </c>
      <c r="H249" s="8">
        <v>14.5</v>
      </c>
      <c r="I249" s="2">
        <v>74</v>
      </c>
      <c r="J249" t="s">
        <v>29</v>
      </c>
    </row>
    <row r="250" spans="1:10" x14ac:dyDescent="0.3">
      <c r="A250" t="s">
        <v>208</v>
      </c>
      <c r="B250" s="2">
        <v>14</v>
      </c>
      <c r="C250" s="2">
        <v>8</v>
      </c>
      <c r="D250" s="2">
        <v>302</v>
      </c>
      <c r="E250" s="2">
        <v>140</v>
      </c>
      <c r="F250" s="2">
        <v>4638</v>
      </c>
      <c r="G250" s="8">
        <f t="shared" si="3"/>
        <v>3.0185424752048298E-2</v>
      </c>
      <c r="H250" s="2">
        <v>16</v>
      </c>
      <c r="I250" s="2">
        <v>74</v>
      </c>
      <c r="J250" t="s">
        <v>29</v>
      </c>
    </row>
    <row r="251" spans="1:10" x14ac:dyDescent="0.3">
      <c r="A251" t="s">
        <v>185</v>
      </c>
      <c r="B251" s="2">
        <v>23</v>
      </c>
      <c r="C251" s="2">
        <v>4</v>
      </c>
      <c r="D251" s="2">
        <v>140</v>
      </c>
      <c r="E251" s="2">
        <v>83</v>
      </c>
      <c r="F251" s="2">
        <v>2639</v>
      </c>
      <c r="G251" s="8">
        <f t="shared" si="3"/>
        <v>3.1451307313376281E-2</v>
      </c>
      <c r="H251" s="2">
        <v>17</v>
      </c>
      <c r="I251" s="2">
        <v>75</v>
      </c>
      <c r="J251" t="s">
        <v>29</v>
      </c>
    </row>
    <row r="252" spans="1:10" x14ac:dyDescent="0.3">
      <c r="A252" t="s">
        <v>237</v>
      </c>
      <c r="B252" s="2">
        <v>23</v>
      </c>
      <c r="C252" s="2">
        <v>4</v>
      </c>
      <c r="D252" s="2">
        <v>140</v>
      </c>
      <c r="E252" s="2">
        <v>78</v>
      </c>
      <c r="F252" s="2">
        <v>2592</v>
      </c>
      <c r="G252" s="8">
        <f t="shared" si="3"/>
        <v>3.0092592592592591E-2</v>
      </c>
      <c r="H252" s="8">
        <v>18.5</v>
      </c>
      <c r="I252" s="2">
        <v>75</v>
      </c>
      <c r="J252" t="s">
        <v>29</v>
      </c>
    </row>
    <row r="253" spans="1:10" x14ac:dyDescent="0.3">
      <c r="A253" t="s">
        <v>238</v>
      </c>
      <c r="B253" s="2">
        <v>21</v>
      </c>
      <c r="C253" s="2">
        <v>6</v>
      </c>
      <c r="D253" s="2">
        <v>231</v>
      </c>
      <c r="E253" s="2">
        <v>110</v>
      </c>
      <c r="F253" s="2">
        <v>3039</v>
      </c>
      <c r="G253" s="8">
        <f t="shared" si="3"/>
        <v>3.61961171437973E-2</v>
      </c>
      <c r="H253" s="2">
        <v>15</v>
      </c>
      <c r="I253" s="2">
        <v>75</v>
      </c>
      <c r="J253" t="s">
        <v>29</v>
      </c>
    </row>
    <row r="254" spans="1:10" x14ac:dyDescent="0.3">
      <c r="A254" t="s">
        <v>160</v>
      </c>
      <c r="B254" s="2">
        <v>20</v>
      </c>
      <c r="C254" s="2">
        <v>6</v>
      </c>
      <c r="D254" s="2">
        <v>232</v>
      </c>
      <c r="E254" s="2">
        <v>100</v>
      </c>
      <c r="F254" s="2">
        <v>2914</v>
      </c>
      <c r="G254" s="8">
        <f t="shared" ref="G254:G317" si="4">IFERROR(E254/F254, "")</f>
        <v>3.4317089910775568E-2</v>
      </c>
      <c r="H254" s="2">
        <v>16</v>
      </c>
      <c r="I254" s="2">
        <v>75</v>
      </c>
      <c r="J254" t="s">
        <v>29</v>
      </c>
    </row>
    <row r="255" spans="1:10" x14ac:dyDescent="0.3">
      <c r="A255" t="s">
        <v>185</v>
      </c>
      <c r="B255" s="2">
        <v>18</v>
      </c>
      <c r="C255" s="2">
        <v>6</v>
      </c>
      <c r="D255" s="2">
        <v>171</v>
      </c>
      <c r="E255" s="2">
        <v>97</v>
      </c>
      <c r="F255" s="2">
        <v>2984</v>
      </c>
      <c r="G255" s="8">
        <f t="shared" si="4"/>
        <v>3.2506702412868634E-2</v>
      </c>
      <c r="H255" s="8">
        <v>14.5</v>
      </c>
      <c r="I255" s="2">
        <v>75</v>
      </c>
      <c r="J255" t="s">
        <v>29</v>
      </c>
    </row>
    <row r="256" spans="1:10" x14ac:dyDescent="0.3">
      <c r="A256" t="s">
        <v>232</v>
      </c>
      <c r="B256" s="2">
        <v>18</v>
      </c>
      <c r="C256" s="2">
        <v>6</v>
      </c>
      <c r="D256" s="2">
        <v>250</v>
      </c>
      <c r="E256" s="2">
        <v>105</v>
      </c>
      <c r="F256" s="2">
        <v>3459</v>
      </c>
      <c r="G256" s="8">
        <f t="shared" si="4"/>
        <v>3.0355594102341718E-2</v>
      </c>
      <c r="H256" s="2">
        <v>16</v>
      </c>
      <c r="I256" s="2">
        <v>75</v>
      </c>
      <c r="J256" t="s">
        <v>29</v>
      </c>
    </row>
    <row r="257" spans="1:10" x14ac:dyDescent="0.3">
      <c r="A257" t="s">
        <v>189</v>
      </c>
      <c r="B257" s="2">
        <v>15</v>
      </c>
      <c r="C257" s="2">
        <v>6</v>
      </c>
      <c r="D257" s="2">
        <v>258</v>
      </c>
      <c r="E257" s="2">
        <v>110</v>
      </c>
      <c r="F257" s="2">
        <v>3730</v>
      </c>
      <c r="G257" s="8">
        <f t="shared" si="4"/>
        <v>2.9490616621983913E-2</v>
      </c>
      <c r="H257" s="2">
        <v>19</v>
      </c>
      <c r="I257" s="2">
        <v>75</v>
      </c>
      <c r="J257" t="s">
        <v>29</v>
      </c>
    </row>
    <row r="258" spans="1:10" x14ac:dyDescent="0.3">
      <c r="A258" t="s">
        <v>239</v>
      </c>
      <c r="B258" s="2">
        <v>19</v>
      </c>
      <c r="C258" s="2">
        <v>6</v>
      </c>
      <c r="D258" s="2">
        <v>225</v>
      </c>
      <c r="E258" s="2">
        <v>95</v>
      </c>
      <c r="F258" s="2">
        <v>3264</v>
      </c>
      <c r="G258" s="8">
        <f t="shared" si="4"/>
        <v>2.9105392156862746E-2</v>
      </c>
      <c r="H258" s="2">
        <v>16</v>
      </c>
      <c r="I258" s="2">
        <v>75</v>
      </c>
      <c r="J258" t="s">
        <v>29</v>
      </c>
    </row>
    <row r="259" spans="1:10" x14ac:dyDescent="0.3">
      <c r="A259" t="s">
        <v>240</v>
      </c>
      <c r="B259" s="2">
        <v>17</v>
      </c>
      <c r="C259" s="2">
        <v>6</v>
      </c>
      <c r="D259" s="2">
        <v>231</v>
      </c>
      <c r="E259" s="2">
        <v>110</v>
      </c>
      <c r="F259" s="2">
        <v>3907</v>
      </c>
      <c r="G259" s="8">
        <f t="shared" si="4"/>
        <v>2.8154594317890965E-2</v>
      </c>
      <c r="H259" s="2">
        <v>21</v>
      </c>
      <c r="I259" s="2">
        <v>75</v>
      </c>
      <c r="J259" t="s">
        <v>29</v>
      </c>
    </row>
    <row r="260" spans="1:10" x14ac:dyDescent="0.3">
      <c r="A260" t="s">
        <v>241</v>
      </c>
      <c r="B260" s="2">
        <v>19</v>
      </c>
      <c r="C260" s="2">
        <v>6</v>
      </c>
      <c r="D260" s="2">
        <v>232</v>
      </c>
      <c r="E260" s="2">
        <v>90</v>
      </c>
      <c r="F260" s="2">
        <v>3211</v>
      </c>
      <c r="G260" s="8">
        <f t="shared" si="4"/>
        <v>2.8028651510432889E-2</v>
      </c>
      <c r="H260" s="2">
        <v>17</v>
      </c>
      <c r="I260" s="2">
        <v>75</v>
      </c>
      <c r="J260" t="s">
        <v>29</v>
      </c>
    </row>
    <row r="261" spans="1:10" x14ac:dyDescent="0.3">
      <c r="A261" t="s">
        <v>242</v>
      </c>
      <c r="B261" s="2">
        <v>16</v>
      </c>
      <c r="C261" s="2">
        <v>6</v>
      </c>
      <c r="D261" s="2">
        <v>250</v>
      </c>
      <c r="E261" s="2">
        <v>105</v>
      </c>
      <c r="F261" s="2">
        <v>3897</v>
      </c>
      <c r="G261" s="8">
        <f t="shared" si="4"/>
        <v>2.6943802925327175E-2</v>
      </c>
      <c r="H261" s="8">
        <v>18.5</v>
      </c>
      <c r="I261" s="2">
        <v>75</v>
      </c>
      <c r="J261" t="s">
        <v>29</v>
      </c>
    </row>
    <row r="262" spans="1:10" x14ac:dyDescent="0.3">
      <c r="A262" t="s">
        <v>243</v>
      </c>
      <c r="B262" s="2">
        <v>18</v>
      </c>
      <c r="C262" s="2">
        <v>6</v>
      </c>
      <c r="D262" s="2">
        <v>225</v>
      </c>
      <c r="E262" s="2">
        <v>95</v>
      </c>
      <c r="F262" s="2">
        <v>3785</v>
      </c>
      <c r="G262" s="8">
        <f t="shared" si="4"/>
        <v>2.5099075297225892E-2</v>
      </c>
      <c r="H262" s="2">
        <v>19</v>
      </c>
      <c r="I262" s="2">
        <v>75</v>
      </c>
      <c r="J262" t="s">
        <v>29</v>
      </c>
    </row>
    <row r="263" spans="1:10" x14ac:dyDescent="0.3">
      <c r="A263" t="s">
        <v>162</v>
      </c>
      <c r="B263" s="2">
        <v>15</v>
      </c>
      <c r="C263" s="2">
        <v>6</v>
      </c>
      <c r="D263" s="2">
        <v>250</v>
      </c>
      <c r="E263" s="2">
        <v>72</v>
      </c>
      <c r="F263" s="2">
        <v>3158</v>
      </c>
      <c r="G263" s="8">
        <f t="shared" si="4"/>
        <v>2.2799240025332488E-2</v>
      </c>
      <c r="H263" s="8">
        <v>19.5</v>
      </c>
      <c r="I263" s="2">
        <v>75</v>
      </c>
      <c r="J263" t="s">
        <v>29</v>
      </c>
    </row>
    <row r="264" spans="1:10" x14ac:dyDescent="0.3">
      <c r="A264" t="s">
        <v>244</v>
      </c>
      <c r="B264" s="2">
        <v>15</v>
      </c>
      <c r="C264" s="2">
        <v>6</v>
      </c>
      <c r="D264" s="2">
        <v>250</v>
      </c>
      <c r="E264" s="2">
        <v>72</v>
      </c>
      <c r="F264" s="2">
        <v>3432</v>
      </c>
      <c r="G264" s="8">
        <f t="shared" si="4"/>
        <v>2.097902097902098E-2</v>
      </c>
      <c r="H264" s="2">
        <v>21</v>
      </c>
      <c r="I264" s="2">
        <v>75</v>
      </c>
      <c r="J264" t="s">
        <v>29</v>
      </c>
    </row>
    <row r="265" spans="1:10" x14ac:dyDescent="0.3">
      <c r="A265" t="s">
        <v>245</v>
      </c>
      <c r="B265" s="2">
        <v>13</v>
      </c>
      <c r="C265" s="2">
        <v>8</v>
      </c>
      <c r="D265" s="2">
        <v>302</v>
      </c>
      <c r="E265" s="2">
        <v>129</v>
      </c>
      <c r="F265" s="2">
        <v>3169</v>
      </c>
      <c r="G265" s="8">
        <f t="shared" si="4"/>
        <v>4.0706847585989268E-2</v>
      </c>
      <c r="H265" s="2">
        <v>12</v>
      </c>
      <c r="I265" s="2">
        <v>75</v>
      </c>
      <c r="J265" t="s">
        <v>29</v>
      </c>
    </row>
    <row r="266" spans="1:10" x14ac:dyDescent="0.3">
      <c r="A266" t="s">
        <v>164</v>
      </c>
      <c r="B266" s="2">
        <v>16</v>
      </c>
      <c r="C266" s="2">
        <v>8</v>
      </c>
      <c r="D266" s="2">
        <v>400</v>
      </c>
      <c r="E266" s="2">
        <v>170</v>
      </c>
      <c r="F266" s="2">
        <v>4668</v>
      </c>
      <c r="G266" s="8">
        <f t="shared" si="4"/>
        <v>3.6418166238217649E-2</v>
      </c>
      <c r="H266" s="8">
        <v>11.5</v>
      </c>
      <c r="I266" s="2">
        <v>75</v>
      </c>
      <c r="J266" t="s">
        <v>29</v>
      </c>
    </row>
    <row r="267" spans="1:10" x14ac:dyDescent="0.3">
      <c r="A267" t="s">
        <v>246</v>
      </c>
      <c r="B267" s="2">
        <v>20</v>
      </c>
      <c r="C267" s="2">
        <v>8</v>
      </c>
      <c r="D267" s="2">
        <v>262</v>
      </c>
      <c r="E267" s="2">
        <v>110</v>
      </c>
      <c r="F267" s="2">
        <v>3221</v>
      </c>
      <c r="G267" s="8">
        <f t="shared" si="4"/>
        <v>3.4150884818379384E-2</v>
      </c>
      <c r="H267" s="8">
        <v>13.5</v>
      </c>
      <c r="I267" s="2">
        <v>75</v>
      </c>
      <c r="J267" t="s">
        <v>29</v>
      </c>
    </row>
    <row r="268" spans="1:10" x14ac:dyDescent="0.3">
      <c r="A268" t="s">
        <v>247</v>
      </c>
      <c r="B268" s="2">
        <v>16</v>
      </c>
      <c r="C268" s="2">
        <v>8</v>
      </c>
      <c r="D268" s="2">
        <v>318</v>
      </c>
      <c r="E268" s="2">
        <v>150</v>
      </c>
      <c r="F268" s="2">
        <v>4498</v>
      </c>
      <c r="G268" s="8">
        <f t="shared" si="4"/>
        <v>3.3348154735437972E-2</v>
      </c>
      <c r="H268" s="8">
        <v>14.5</v>
      </c>
      <c r="I268" s="2">
        <v>75</v>
      </c>
      <c r="J268" t="s">
        <v>29</v>
      </c>
    </row>
    <row r="269" spans="1:10" x14ac:dyDescent="0.3">
      <c r="A269" t="s">
        <v>248</v>
      </c>
      <c r="B269" s="2">
        <v>15</v>
      </c>
      <c r="C269" s="2">
        <v>8</v>
      </c>
      <c r="D269" s="2">
        <v>350</v>
      </c>
      <c r="E269" s="2">
        <v>145</v>
      </c>
      <c r="F269" s="2">
        <v>4440</v>
      </c>
      <c r="G269" s="8">
        <f t="shared" si="4"/>
        <v>3.2657657657657657E-2</v>
      </c>
      <c r="H269" s="2">
        <v>14</v>
      </c>
      <c r="I269" s="2">
        <v>75</v>
      </c>
      <c r="J269" t="s">
        <v>29</v>
      </c>
    </row>
    <row r="270" spans="1:10" x14ac:dyDescent="0.3">
      <c r="A270" t="s">
        <v>225</v>
      </c>
      <c r="B270" s="2">
        <v>14</v>
      </c>
      <c r="C270" s="2">
        <v>8</v>
      </c>
      <c r="D270" s="2">
        <v>351</v>
      </c>
      <c r="E270" s="2">
        <v>148</v>
      </c>
      <c r="F270" s="2">
        <v>4657</v>
      </c>
      <c r="G270" s="8">
        <f t="shared" si="4"/>
        <v>3.1780115954477134E-2</v>
      </c>
      <c r="H270" s="8">
        <v>13.5</v>
      </c>
      <c r="I270" s="2">
        <v>75</v>
      </c>
      <c r="J270" t="s">
        <v>29</v>
      </c>
    </row>
    <row r="271" spans="1:10" x14ac:dyDescent="0.3">
      <c r="A271" t="s">
        <v>249</v>
      </c>
      <c r="B271" s="2">
        <v>25</v>
      </c>
      <c r="C271" s="2">
        <v>4</v>
      </c>
      <c r="D271" s="2">
        <v>140</v>
      </c>
      <c r="E271" s="2">
        <v>92</v>
      </c>
      <c r="F271" s="2">
        <v>2572</v>
      </c>
      <c r="G271" s="8">
        <f t="shared" si="4"/>
        <v>3.5769828926905133E-2</v>
      </c>
      <c r="H271" s="8">
        <v>14.9</v>
      </c>
      <c r="I271" s="2">
        <v>76</v>
      </c>
      <c r="J271" t="s">
        <v>29</v>
      </c>
    </row>
    <row r="272" spans="1:10" x14ac:dyDescent="0.3">
      <c r="A272" t="s">
        <v>231</v>
      </c>
      <c r="B272" s="2">
        <v>26</v>
      </c>
      <c r="C272" s="2">
        <v>4</v>
      </c>
      <c r="D272" s="2">
        <v>98</v>
      </c>
      <c r="E272" s="2">
        <v>79</v>
      </c>
      <c r="F272" s="2">
        <v>2255</v>
      </c>
      <c r="G272" s="8">
        <f t="shared" si="4"/>
        <v>3.5033259423503327E-2</v>
      </c>
      <c r="H272" s="8">
        <v>17.7</v>
      </c>
      <c r="I272" s="2">
        <v>76</v>
      </c>
      <c r="J272" t="s">
        <v>29</v>
      </c>
    </row>
    <row r="273" spans="1:10" x14ac:dyDescent="0.3">
      <c r="A273" t="s">
        <v>185</v>
      </c>
      <c r="B273" s="8">
        <v>26.5</v>
      </c>
      <c r="C273" s="2">
        <v>4</v>
      </c>
      <c r="D273" s="2">
        <v>140</v>
      </c>
      <c r="E273" s="2">
        <v>72</v>
      </c>
      <c r="F273" s="2">
        <v>2565</v>
      </c>
      <c r="G273" s="8">
        <f t="shared" si="4"/>
        <v>2.8070175438596492E-2</v>
      </c>
      <c r="H273" s="8">
        <v>13.6</v>
      </c>
      <c r="I273" s="2">
        <v>76</v>
      </c>
      <c r="J273" t="s">
        <v>29</v>
      </c>
    </row>
    <row r="274" spans="1:10" x14ac:dyDescent="0.3">
      <c r="A274" t="s">
        <v>250</v>
      </c>
      <c r="B274" s="8">
        <v>24.5</v>
      </c>
      <c r="C274" s="2">
        <v>4</v>
      </c>
      <c r="D274" s="2">
        <v>98</v>
      </c>
      <c r="E274" s="2">
        <v>60</v>
      </c>
      <c r="F274" s="2">
        <v>2164</v>
      </c>
      <c r="G274" s="8">
        <f t="shared" si="4"/>
        <v>2.7726432532347505E-2</v>
      </c>
      <c r="H274" s="8">
        <v>22.1</v>
      </c>
      <c r="I274" s="2">
        <v>76</v>
      </c>
      <c r="J274" t="s">
        <v>29</v>
      </c>
    </row>
    <row r="275" spans="1:10" x14ac:dyDescent="0.3">
      <c r="A275" t="s">
        <v>251</v>
      </c>
      <c r="B275" s="2">
        <v>29</v>
      </c>
      <c r="C275" s="2">
        <v>4</v>
      </c>
      <c r="D275" s="2">
        <v>85</v>
      </c>
      <c r="E275" s="2">
        <v>52</v>
      </c>
      <c r="F275" s="2">
        <v>2035</v>
      </c>
      <c r="G275" s="8">
        <f t="shared" si="4"/>
        <v>2.5552825552825554E-2</v>
      </c>
      <c r="H275" s="8">
        <v>22.2</v>
      </c>
      <c r="I275" s="2">
        <v>76</v>
      </c>
      <c r="J275" t="s">
        <v>29</v>
      </c>
    </row>
    <row r="276" spans="1:10" x14ac:dyDescent="0.3">
      <c r="A276" t="s">
        <v>232</v>
      </c>
      <c r="B276" s="2">
        <v>22</v>
      </c>
      <c r="C276" s="2">
        <v>6</v>
      </c>
      <c r="D276" s="2">
        <v>250</v>
      </c>
      <c r="E276" s="2">
        <v>105</v>
      </c>
      <c r="F276" s="2">
        <v>3353</v>
      </c>
      <c r="G276" s="8">
        <f t="shared" si="4"/>
        <v>3.1315240083507306E-2</v>
      </c>
      <c r="H276" s="8">
        <v>14.5</v>
      </c>
      <c r="I276" s="2">
        <v>76</v>
      </c>
      <c r="J276" t="s">
        <v>29</v>
      </c>
    </row>
    <row r="277" spans="1:10" x14ac:dyDescent="0.3">
      <c r="A277" t="s">
        <v>211</v>
      </c>
      <c r="B277" s="2">
        <v>22</v>
      </c>
      <c r="C277" s="2">
        <v>6</v>
      </c>
      <c r="D277" s="2">
        <v>225</v>
      </c>
      <c r="E277" s="2">
        <v>100</v>
      </c>
      <c r="F277" s="2">
        <v>3233</v>
      </c>
      <c r="G277" s="8">
        <f t="shared" si="4"/>
        <v>3.093102381688834E-2</v>
      </c>
      <c r="H277" s="8">
        <v>15.4</v>
      </c>
      <c r="I277" s="2">
        <v>76</v>
      </c>
      <c r="J277" t="s">
        <v>29</v>
      </c>
    </row>
    <row r="278" spans="1:10" x14ac:dyDescent="0.3">
      <c r="A278" t="s">
        <v>252</v>
      </c>
      <c r="B278" s="8">
        <v>18.5</v>
      </c>
      <c r="C278" s="2">
        <v>6</v>
      </c>
      <c r="D278" s="2">
        <v>250</v>
      </c>
      <c r="E278" s="2">
        <v>110</v>
      </c>
      <c r="F278" s="2">
        <v>3645</v>
      </c>
      <c r="G278" s="8">
        <f t="shared" si="4"/>
        <v>3.017832647462277E-2</v>
      </c>
      <c r="H278" s="8">
        <v>16.2</v>
      </c>
      <c r="I278" s="2">
        <v>76</v>
      </c>
      <c r="J278" t="s">
        <v>29</v>
      </c>
    </row>
    <row r="279" spans="1:10" x14ac:dyDescent="0.3">
      <c r="A279" t="s">
        <v>253</v>
      </c>
      <c r="B279" s="8">
        <v>17.5</v>
      </c>
      <c r="C279" s="2">
        <v>6</v>
      </c>
      <c r="D279" s="2">
        <v>258</v>
      </c>
      <c r="E279" s="2">
        <v>95</v>
      </c>
      <c r="F279" s="2">
        <v>3193</v>
      </c>
      <c r="G279" s="8">
        <f t="shared" si="4"/>
        <v>2.9752583777012214E-2</v>
      </c>
      <c r="H279" s="8">
        <v>17.8</v>
      </c>
      <c r="I279" s="2">
        <v>76</v>
      </c>
      <c r="J279" t="s">
        <v>29</v>
      </c>
    </row>
    <row r="280" spans="1:10" x14ac:dyDescent="0.3">
      <c r="A280" t="s">
        <v>159</v>
      </c>
      <c r="B280" s="8">
        <v>22.5</v>
      </c>
      <c r="C280" s="2">
        <v>6</v>
      </c>
      <c r="D280" s="2">
        <v>232</v>
      </c>
      <c r="E280" s="2">
        <v>90</v>
      </c>
      <c r="F280" s="2">
        <v>3085</v>
      </c>
      <c r="G280" s="8">
        <f t="shared" si="4"/>
        <v>2.9173419773095625E-2</v>
      </c>
      <c r="H280" s="8">
        <v>17.600000000000001</v>
      </c>
      <c r="I280" s="2">
        <v>76</v>
      </c>
      <c r="J280" t="s">
        <v>29</v>
      </c>
    </row>
    <row r="281" spans="1:10" x14ac:dyDescent="0.3">
      <c r="A281" t="s">
        <v>254</v>
      </c>
      <c r="B281" s="2">
        <v>20</v>
      </c>
      <c r="C281" s="2">
        <v>6</v>
      </c>
      <c r="D281" s="2">
        <v>225</v>
      </c>
      <c r="E281" s="2">
        <v>100</v>
      </c>
      <c r="F281" s="2">
        <v>3651</v>
      </c>
      <c r="G281" s="8">
        <f t="shared" si="4"/>
        <v>2.7389756231169543E-2</v>
      </c>
      <c r="H281" s="8">
        <v>17.7</v>
      </c>
      <c r="I281" s="2">
        <v>76</v>
      </c>
      <c r="J281" t="s">
        <v>29</v>
      </c>
    </row>
    <row r="282" spans="1:10" x14ac:dyDescent="0.3">
      <c r="A282" t="s">
        <v>162</v>
      </c>
      <c r="B282" s="2">
        <v>24</v>
      </c>
      <c r="C282" s="2">
        <v>6</v>
      </c>
      <c r="D282" s="2">
        <v>200</v>
      </c>
      <c r="E282" s="2">
        <v>81</v>
      </c>
      <c r="F282" s="2">
        <v>3012</v>
      </c>
      <c r="G282" s="8">
        <f t="shared" si="4"/>
        <v>2.6892430278884463E-2</v>
      </c>
      <c r="H282" s="8">
        <v>17.600000000000001</v>
      </c>
      <c r="I282" s="2">
        <v>76</v>
      </c>
      <c r="J282" t="s">
        <v>29</v>
      </c>
    </row>
    <row r="283" spans="1:10" x14ac:dyDescent="0.3">
      <c r="A283" t="s">
        <v>255</v>
      </c>
      <c r="B283" s="2">
        <v>18</v>
      </c>
      <c r="C283" s="2">
        <v>6</v>
      </c>
      <c r="D283" s="2">
        <v>250</v>
      </c>
      <c r="E283" s="2">
        <v>78</v>
      </c>
      <c r="F283" s="2">
        <v>3574</v>
      </c>
      <c r="G283" s="8">
        <f t="shared" si="4"/>
        <v>2.1824286513710128E-2</v>
      </c>
      <c r="H283" s="2">
        <v>21</v>
      </c>
      <c r="I283" s="2">
        <v>76</v>
      </c>
      <c r="J283" t="s">
        <v>29</v>
      </c>
    </row>
    <row r="284" spans="1:10" x14ac:dyDescent="0.3">
      <c r="A284" t="s">
        <v>256</v>
      </c>
      <c r="B284" s="8">
        <v>16.5</v>
      </c>
      <c r="C284" s="2">
        <v>8</v>
      </c>
      <c r="D284" s="2">
        <v>350</v>
      </c>
      <c r="E284" s="2">
        <v>180</v>
      </c>
      <c r="F284" s="2">
        <v>4380</v>
      </c>
      <c r="G284" s="8">
        <f t="shared" si="4"/>
        <v>4.1095890410958902E-2</v>
      </c>
      <c r="H284" s="8">
        <v>12.1</v>
      </c>
      <c r="I284" s="2">
        <v>76</v>
      </c>
      <c r="J284" t="s">
        <v>29</v>
      </c>
    </row>
    <row r="285" spans="1:10" x14ac:dyDescent="0.3">
      <c r="A285" t="s">
        <v>257</v>
      </c>
      <c r="B285" s="2">
        <v>13</v>
      </c>
      <c r="C285" s="2">
        <v>8</v>
      </c>
      <c r="D285" s="2">
        <v>318</v>
      </c>
      <c r="E285" s="2">
        <v>150</v>
      </c>
      <c r="F285" s="2">
        <v>3755</v>
      </c>
      <c r="G285" s="8">
        <f t="shared" si="4"/>
        <v>3.9946737683089213E-2</v>
      </c>
      <c r="H285" s="2">
        <v>14</v>
      </c>
      <c r="I285" s="2">
        <v>76</v>
      </c>
      <c r="J285" t="s">
        <v>29</v>
      </c>
    </row>
    <row r="286" spans="1:10" x14ac:dyDescent="0.3">
      <c r="A286" t="s">
        <v>258</v>
      </c>
      <c r="B286" s="2">
        <v>13</v>
      </c>
      <c r="C286" s="2">
        <v>8</v>
      </c>
      <c r="D286" s="2">
        <v>318</v>
      </c>
      <c r="E286" s="2">
        <v>150</v>
      </c>
      <c r="F286" s="2">
        <v>3940</v>
      </c>
      <c r="G286" s="8">
        <f t="shared" si="4"/>
        <v>3.8071065989847719E-2</v>
      </c>
      <c r="H286" s="8">
        <v>13.2</v>
      </c>
      <c r="I286" s="2">
        <v>76</v>
      </c>
      <c r="J286" t="s">
        <v>29</v>
      </c>
    </row>
    <row r="287" spans="1:10" x14ac:dyDescent="0.3">
      <c r="A287" t="s">
        <v>229</v>
      </c>
      <c r="B287" s="8">
        <v>14.5</v>
      </c>
      <c r="C287" s="2">
        <v>8</v>
      </c>
      <c r="D287" s="2">
        <v>351</v>
      </c>
      <c r="E287" s="2">
        <v>152</v>
      </c>
      <c r="F287" s="2">
        <v>4215</v>
      </c>
      <c r="G287" s="8">
        <f t="shared" si="4"/>
        <v>3.6061684460260972E-2</v>
      </c>
      <c r="H287" s="8">
        <v>12.8</v>
      </c>
      <c r="I287" s="2">
        <v>76</v>
      </c>
      <c r="J287" t="s">
        <v>29</v>
      </c>
    </row>
    <row r="288" spans="1:10" x14ac:dyDescent="0.3">
      <c r="A288" t="s">
        <v>259</v>
      </c>
      <c r="B288" s="2">
        <v>13</v>
      </c>
      <c r="C288" s="2">
        <v>8</v>
      </c>
      <c r="D288" s="2">
        <v>350</v>
      </c>
      <c r="E288" s="2">
        <v>145</v>
      </c>
      <c r="F288" s="2">
        <v>4055</v>
      </c>
      <c r="G288" s="8">
        <f t="shared" si="4"/>
        <v>3.5758323057953144E-2</v>
      </c>
      <c r="H288" s="2">
        <v>12</v>
      </c>
      <c r="I288" s="2">
        <v>76</v>
      </c>
      <c r="J288" t="s">
        <v>29</v>
      </c>
    </row>
    <row r="289" spans="1:10" x14ac:dyDescent="0.3">
      <c r="A289" t="s">
        <v>260</v>
      </c>
      <c r="B289" s="2">
        <v>16</v>
      </c>
      <c r="C289" s="2">
        <v>8</v>
      </c>
      <c r="D289" s="2">
        <v>318</v>
      </c>
      <c r="E289" s="2">
        <v>150</v>
      </c>
      <c r="F289" s="2">
        <v>4190</v>
      </c>
      <c r="G289" s="8">
        <f t="shared" si="4"/>
        <v>3.5799522673031027E-2</v>
      </c>
      <c r="H289" s="2">
        <v>13</v>
      </c>
      <c r="I289" s="2">
        <v>76</v>
      </c>
      <c r="J289" t="s">
        <v>29</v>
      </c>
    </row>
    <row r="290" spans="1:10" x14ac:dyDescent="0.3">
      <c r="A290" t="s">
        <v>261</v>
      </c>
      <c r="B290" s="2">
        <v>13</v>
      </c>
      <c r="C290" s="2">
        <v>8</v>
      </c>
      <c r="D290" s="2">
        <v>302</v>
      </c>
      <c r="E290" s="2">
        <v>130</v>
      </c>
      <c r="F290" s="2">
        <v>3870</v>
      </c>
      <c r="G290" s="8">
        <f t="shared" si="4"/>
        <v>3.3591731266149873E-2</v>
      </c>
      <c r="H290" s="2">
        <v>15</v>
      </c>
      <c r="I290" s="2">
        <v>76</v>
      </c>
      <c r="J290" t="s">
        <v>29</v>
      </c>
    </row>
    <row r="291" spans="1:10" x14ac:dyDescent="0.3">
      <c r="A291" t="s">
        <v>234</v>
      </c>
      <c r="B291" s="8">
        <v>17.5</v>
      </c>
      <c r="C291" s="2">
        <v>8</v>
      </c>
      <c r="D291" s="2">
        <v>305</v>
      </c>
      <c r="E291" s="2">
        <v>140</v>
      </c>
      <c r="F291" s="2">
        <v>4215</v>
      </c>
      <c r="G291" s="8">
        <f t="shared" si="4"/>
        <v>3.3214709371292998E-2</v>
      </c>
      <c r="H291" s="2">
        <v>13</v>
      </c>
      <c r="I291" s="2">
        <v>76</v>
      </c>
      <c r="J291" t="s">
        <v>29</v>
      </c>
    </row>
    <row r="292" spans="1:10" x14ac:dyDescent="0.3">
      <c r="A292" t="s">
        <v>189</v>
      </c>
      <c r="B292" s="8">
        <v>15.5</v>
      </c>
      <c r="C292" s="2">
        <v>8</v>
      </c>
      <c r="D292" s="2">
        <v>304</v>
      </c>
      <c r="E292" s="2">
        <v>120</v>
      </c>
      <c r="F292" s="2">
        <v>3962</v>
      </c>
      <c r="G292" s="8">
        <f t="shared" si="4"/>
        <v>3.0287733467945482E-2</v>
      </c>
      <c r="H292" s="8">
        <v>13.9</v>
      </c>
      <c r="I292" s="2">
        <v>76</v>
      </c>
      <c r="J292" t="s">
        <v>29</v>
      </c>
    </row>
    <row r="293" spans="1:10" x14ac:dyDescent="0.3">
      <c r="A293" t="s">
        <v>262</v>
      </c>
      <c r="B293" s="8">
        <v>25.5</v>
      </c>
      <c r="C293" s="2">
        <v>4</v>
      </c>
      <c r="D293" s="2">
        <v>122</v>
      </c>
      <c r="E293" s="2">
        <v>96</v>
      </c>
      <c r="F293" s="2">
        <v>2300</v>
      </c>
      <c r="G293" s="8">
        <f t="shared" si="4"/>
        <v>4.1739130434782612E-2</v>
      </c>
      <c r="H293" s="8">
        <v>15.5</v>
      </c>
      <c r="I293" s="2">
        <v>77</v>
      </c>
      <c r="J293" t="s">
        <v>29</v>
      </c>
    </row>
    <row r="294" spans="1:10" x14ac:dyDescent="0.3">
      <c r="A294" t="s">
        <v>263</v>
      </c>
      <c r="B294" s="8">
        <v>33.5</v>
      </c>
      <c r="C294" s="2">
        <v>4</v>
      </c>
      <c r="D294" s="2">
        <v>98</v>
      </c>
      <c r="E294" s="2">
        <v>83</v>
      </c>
      <c r="F294" s="2">
        <v>2075</v>
      </c>
      <c r="G294" s="8">
        <f t="shared" si="4"/>
        <v>0.04</v>
      </c>
      <c r="H294" s="8">
        <v>15.9</v>
      </c>
      <c r="I294" s="2">
        <v>77</v>
      </c>
      <c r="J294" t="s">
        <v>29</v>
      </c>
    </row>
    <row r="295" spans="1:10" x14ac:dyDescent="0.3">
      <c r="A295" t="s">
        <v>264</v>
      </c>
      <c r="B295" s="2">
        <v>30</v>
      </c>
      <c r="C295" s="2">
        <v>4</v>
      </c>
      <c r="D295" s="2">
        <v>111</v>
      </c>
      <c r="E295" s="2">
        <v>80</v>
      </c>
      <c r="F295" s="2">
        <v>2155</v>
      </c>
      <c r="G295" s="8">
        <f t="shared" si="4"/>
        <v>3.7122969837587005E-2</v>
      </c>
      <c r="H295" s="8">
        <v>14.8</v>
      </c>
      <c r="I295" s="2">
        <v>77</v>
      </c>
      <c r="J295" t="s">
        <v>29</v>
      </c>
    </row>
    <row r="296" spans="1:10" x14ac:dyDescent="0.3">
      <c r="A296" t="s">
        <v>265</v>
      </c>
      <c r="B296" s="8">
        <v>25.5</v>
      </c>
      <c r="C296" s="2">
        <v>4</v>
      </c>
      <c r="D296" s="2">
        <v>140</v>
      </c>
      <c r="E296" s="2">
        <v>89</v>
      </c>
      <c r="F296" s="2">
        <v>2755</v>
      </c>
      <c r="G296" s="8">
        <f t="shared" si="4"/>
        <v>3.2304900181488204E-2</v>
      </c>
      <c r="H296" s="8">
        <v>15.8</v>
      </c>
      <c r="I296" s="2">
        <v>77</v>
      </c>
      <c r="J296" t="s">
        <v>29</v>
      </c>
    </row>
    <row r="297" spans="1:10" x14ac:dyDescent="0.3">
      <c r="A297" t="s">
        <v>266</v>
      </c>
      <c r="B297" s="8">
        <v>24.5</v>
      </c>
      <c r="C297" s="2">
        <v>4</v>
      </c>
      <c r="D297" s="2">
        <v>151</v>
      </c>
      <c r="E297" s="2">
        <v>88</v>
      </c>
      <c r="F297" s="2">
        <v>2740</v>
      </c>
      <c r="G297" s="8">
        <f t="shared" si="4"/>
        <v>3.2116788321167884E-2</v>
      </c>
      <c r="H297" s="2">
        <v>16</v>
      </c>
      <c r="I297" s="2">
        <v>77</v>
      </c>
      <c r="J297" t="s">
        <v>29</v>
      </c>
    </row>
    <row r="298" spans="1:10" x14ac:dyDescent="0.3">
      <c r="A298" t="s">
        <v>251</v>
      </c>
      <c r="B298" s="8">
        <v>30.5</v>
      </c>
      <c r="C298" s="2">
        <v>4</v>
      </c>
      <c r="D298" s="2">
        <v>98</v>
      </c>
      <c r="E298" s="2">
        <v>63</v>
      </c>
      <c r="F298" s="2">
        <v>2051</v>
      </c>
      <c r="G298" s="8">
        <f t="shared" si="4"/>
        <v>3.0716723549488054E-2</v>
      </c>
      <c r="H298" s="2">
        <v>17</v>
      </c>
      <c r="I298" s="2">
        <v>77</v>
      </c>
      <c r="J298" t="s">
        <v>29</v>
      </c>
    </row>
    <row r="299" spans="1:10" x14ac:dyDescent="0.3">
      <c r="A299" t="s">
        <v>267</v>
      </c>
      <c r="B299" s="8">
        <v>17.5</v>
      </c>
      <c r="C299" s="2">
        <v>6</v>
      </c>
      <c r="D299" s="2">
        <v>250</v>
      </c>
      <c r="E299" s="2">
        <v>110</v>
      </c>
      <c r="F299" s="2">
        <v>3520</v>
      </c>
      <c r="G299" s="8">
        <f t="shared" si="4"/>
        <v>3.125E-2</v>
      </c>
      <c r="H299" s="8">
        <v>16.399999999999999</v>
      </c>
      <c r="I299" s="2">
        <v>77</v>
      </c>
      <c r="J299" t="s">
        <v>29</v>
      </c>
    </row>
    <row r="300" spans="1:10" x14ac:dyDescent="0.3">
      <c r="A300" t="s">
        <v>268</v>
      </c>
      <c r="B300" s="8">
        <v>20.5</v>
      </c>
      <c r="C300" s="2">
        <v>6</v>
      </c>
      <c r="D300" s="2">
        <v>231</v>
      </c>
      <c r="E300" s="2">
        <v>105</v>
      </c>
      <c r="F300" s="2">
        <v>3425</v>
      </c>
      <c r="G300" s="8">
        <f t="shared" si="4"/>
        <v>3.0656934306569343E-2</v>
      </c>
      <c r="H300" s="8">
        <v>16.899999999999999</v>
      </c>
      <c r="I300" s="2">
        <v>77</v>
      </c>
      <c r="J300" t="s">
        <v>29</v>
      </c>
    </row>
    <row r="301" spans="1:10" x14ac:dyDescent="0.3">
      <c r="A301" t="s">
        <v>269</v>
      </c>
      <c r="B301" s="8">
        <v>18.5</v>
      </c>
      <c r="C301" s="2">
        <v>6</v>
      </c>
      <c r="D301" s="2">
        <v>250</v>
      </c>
      <c r="E301" s="2">
        <v>98</v>
      </c>
      <c r="F301" s="2">
        <v>3525</v>
      </c>
      <c r="G301" s="8">
        <f t="shared" si="4"/>
        <v>2.7801418439716313E-2</v>
      </c>
      <c r="H301" s="2">
        <v>19</v>
      </c>
      <c r="I301" s="2">
        <v>77</v>
      </c>
      <c r="J301" t="s">
        <v>29</v>
      </c>
    </row>
    <row r="302" spans="1:10" x14ac:dyDescent="0.3">
      <c r="A302" t="s">
        <v>270</v>
      </c>
      <c r="B302" s="2">
        <v>19</v>
      </c>
      <c r="C302" s="2">
        <v>6</v>
      </c>
      <c r="D302" s="2">
        <v>225</v>
      </c>
      <c r="E302" s="2">
        <v>100</v>
      </c>
      <c r="F302" s="2">
        <v>3630</v>
      </c>
      <c r="G302" s="8">
        <f t="shared" si="4"/>
        <v>2.7548209366391185E-2</v>
      </c>
      <c r="H302" s="8">
        <v>17.7</v>
      </c>
      <c r="I302" s="2">
        <v>77</v>
      </c>
      <c r="J302" t="s">
        <v>29</v>
      </c>
    </row>
    <row r="303" spans="1:10" x14ac:dyDescent="0.3">
      <c r="A303" t="s">
        <v>271</v>
      </c>
      <c r="B303" s="8">
        <v>15.5</v>
      </c>
      <c r="C303" s="2">
        <v>8</v>
      </c>
      <c r="D303" s="2">
        <v>400</v>
      </c>
      <c r="E303" s="2">
        <v>190</v>
      </c>
      <c r="F303" s="2">
        <v>4325</v>
      </c>
      <c r="G303" s="8">
        <f t="shared" si="4"/>
        <v>4.3930635838150288E-2</v>
      </c>
      <c r="H303" s="8">
        <v>12.2</v>
      </c>
      <c r="I303" s="2">
        <v>77</v>
      </c>
      <c r="J303" t="s">
        <v>29</v>
      </c>
    </row>
    <row r="304" spans="1:10" x14ac:dyDescent="0.3">
      <c r="A304" t="s">
        <v>272</v>
      </c>
      <c r="B304" s="2">
        <v>16</v>
      </c>
      <c r="C304" s="2">
        <v>8</v>
      </c>
      <c r="D304" s="2">
        <v>400</v>
      </c>
      <c r="E304" s="2">
        <v>180</v>
      </c>
      <c r="F304" s="2">
        <v>4220</v>
      </c>
      <c r="G304" s="8">
        <f t="shared" si="4"/>
        <v>4.2654028436018961E-2</v>
      </c>
      <c r="H304" s="8">
        <v>11.1</v>
      </c>
      <c r="I304" s="2">
        <v>77</v>
      </c>
      <c r="J304" t="s">
        <v>29</v>
      </c>
    </row>
    <row r="305" spans="1:10" x14ac:dyDescent="0.3">
      <c r="A305" t="s">
        <v>273</v>
      </c>
      <c r="B305" s="8">
        <v>15.5</v>
      </c>
      <c r="C305" s="2">
        <v>8</v>
      </c>
      <c r="D305" s="2">
        <v>350</v>
      </c>
      <c r="E305" s="2">
        <v>170</v>
      </c>
      <c r="F305" s="2">
        <v>4165</v>
      </c>
      <c r="G305" s="8">
        <f t="shared" si="4"/>
        <v>4.0816326530612242E-2</v>
      </c>
      <c r="H305" s="8">
        <v>11.4</v>
      </c>
      <c r="I305" s="2">
        <v>77</v>
      </c>
      <c r="J305" t="s">
        <v>29</v>
      </c>
    </row>
    <row r="306" spans="1:10" x14ac:dyDescent="0.3">
      <c r="A306" t="s">
        <v>230</v>
      </c>
      <c r="B306" s="8">
        <v>17.5</v>
      </c>
      <c r="C306" s="2">
        <v>8</v>
      </c>
      <c r="D306" s="2">
        <v>305</v>
      </c>
      <c r="E306" s="2">
        <v>145</v>
      </c>
      <c r="F306" s="2">
        <v>3880</v>
      </c>
      <c r="G306" s="8">
        <f t="shared" si="4"/>
        <v>3.7371134020618556E-2</v>
      </c>
      <c r="H306" s="8">
        <v>12.5</v>
      </c>
      <c r="I306" s="2">
        <v>77</v>
      </c>
      <c r="J306" t="s">
        <v>29</v>
      </c>
    </row>
    <row r="307" spans="1:10" x14ac:dyDescent="0.3">
      <c r="A307" t="s">
        <v>274</v>
      </c>
      <c r="B307" s="8">
        <v>15.5</v>
      </c>
      <c r="C307" s="2">
        <v>8</v>
      </c>
      <c r="D307" s="2">
        <v>318</v>
      </c>
      <c r="E307" s="2">
        <v>145</v>
      </c>
      <c r="F307" s="2">
        <v>4140</v>
      </c>
      <c r="G307" s="8">
        <f t="shared" si="4"/>
        <v>3.5024154589371984E-2</v>
      </c>
      <c r="H307" s="8">
        <v>13.7</v>
      </c>
      <c r="I307" s="2">
        <v>77</v>
      </c>
      <c r="J307" t="s">
        <v>29</v>
      </c>
    </row>
    <row r="308" spans="1:10" x14ac:dyDescent="0.3">
      <c r="A308" t="s">
        <v>275</v>
      </c>
      <c r="B308" s="2">
        <v>16</v>
      </c>
      <c r="C308" s="2">
        <v>8</v>
      </c>
      <c r="D308" s="2">
        <v>351</v>
      </c>
      <c r="E308" s="2">
        <v>149</v>
      </c>
      <c r="F308" s="2">
        <v>4335</v>
      </c>
      <c r="G308" s="8">
        <f t="shared" si="4"/>
        <v>3.4371395617070359E-2</v>
      </c>
      <c r="H308" s="8">
        <v>14.5</v>
      </c>
      <c r="I308" s="2">
        <v>77</v>
      </c>
      <c r="J308" t="s">
        <v>29</v>
      </c>
    </row>
    <row r="309" spans="1:10" x14ac:dyDescent="0.3">
      <c r="A309" t="s">
        <v>276</v>
      </c>
      <c r="B309" s="2">
        <v>15</v>
      </c>
      <c r="C309" s="2">
        <v>8</v>
      </c>
      <c r="D309" s="2">
        <v>302</v>
      </c>
      <c r="E309" s="2">
        <v>130</v>
      </c>
      <c r="F309" s="2">
        <v>4295</v>
      </c>
      <c r="G309" s="8">
        <f t="shared" si="4"/>
        <v>3.0267753201396973E-2</v>
      </c>
      <c r="H309" s="8">
        <v>14.9</v>
      </c>
      <c r="I309" s="2">
        <v>77</v>
      </c>
      <c r="J309" t="s">
        <v>29</v>
      </c>
    </row>
    <row r="310" spans="1:10" x14ac:dyDescent="0.3">
      <c r="A310" t="s">
        <v>277</v>
      </c>
      <c r="B310" s="2">
        <v>17</v>
      </c>
      <c r="C310" s="2">
        <v>8</v>
      </c>
      <c r="D310" s="2">
        <v>260</v>
      </c>
      <c r="E310" s="2">
        <v>110</v>
      </c>
      <c r="F310" s="2">
        <v>4060</v>
      </c>
      <c r="G310" s="8">
        <f t="shared" si="4"/>
        <v>2.7093596059113302E-2</v>
      </c>
      <c r="H310" s="2">
        <v>19</v>
      </c>
      <c r="I310" s="2">
        <v>77</v>
      </c>
      <c r="J310" t="s">
        <v>29</v>
      </c>
    </row>
    <row r="311" spans="1:10" x14ac:dyDescent="0.3">
      <c r="A311" t="s">
        <v>278</v>
      </c>
      <c r="B311" s="8">
        <v>23.2</v>
      </c>
      <c r="C311" s="2">
        <v>4</v>
      </c>
      <c r="D311" s="2">
        <v>156</v>
      </c>
      <c r="E311" s="2">
        <v>105</v>
      </c>
      <c r="F311" s="2">
        <v>2745</v>
      </c>
      <c r="G311" s="8">
        <f t="shared" si="4"/>
        <v>3.825136612021858E-2</v>
      </c>
      <c r="H311" s="8">
        <v>16.7</v>
      </c>
      <c r="I311" s="2">
        <v>78</v>
      </c>
      <c r="J311" t="s">
        <v>29</v>
      </c>
    </row>
    <row r="312" spans="1:10" x14ac:dyDescent="0.3">
      <c r="A312" t="s">
        <v>279</v>
      </c>
      <c r="B312" s="8">
        <v>36.1</v>
      </c>
      <c r="C312" s="2">
        <v>4</v>
      </c>
      <c r="D312" s="2">
        <v>98</v>
      </c>
      <c r="E312" s="2">
        <v>66</v>
      </c>
      <c r="F312" s="2">
        <v>1800</v>
      </c>
      <c r="G312" s="8">
        <f t="shared" si="4"/>
        <v>3.6666666666666667E-2</v>
      </c>
      <c r="H312" s="8">
        <v>14.4</v>
      </c>
      <c r="I312" s="2">
        <v>78</v>
      </c>
      <c r="J312" t="s">
        <v>29</v>
      </c>
    </row>
    <row r="313" spans="1:10" x14ac:dyDescent="0.3">
      <c r="A313" t="s">
        <v>280</v>
      </c>
      <c r="B313" s="8">
        <v>30.9</v>
      </c>
      <c r="C313" s="2">
        <v>4</v>
      </c>
      <c r="D313" s="2">
        <v>105</v>
      </c>
      <c r="E313" s="2">
        <v>75</v>
      </c>
      <c r="F313" s="2">
        <v>2230</v>
      </c>
      <c r="G313" s="8">
        <f t="shared" si="4"/>
        <v>3.3632286995515695E-2</v>
      </c>
      <c r="H313" s="8">
        <v>14.5</v>
      </c>
      <c r="I313" s="2">
        <v>78</v>
      </c>
      <c r="J313" t="s">
        <v>29</v>
      </c>
    </row>
    <row r="314" spans="1:10" x14ac:dyDescent="0.3">
      <c r="A314" t="s">
        <v>281</v>
      </c>
      <c r="B314" s="8">
        <v>25.1</v>
      </c>
      <c r="C314" s="2">
        <v>4</v>
      </c>
      <c r="D314" s="2">
        <v>140</v>
      </c>
      <c r="E314" s="2">
        <v>88</v>
      </c>
      <c r="F314" s="2">
        <v>2720</v>
      </c>
      <c r="G314" s="8">
        <f t="shared" si="4"/>
        <v>3.2352941176470591E-2</v>
      </c>
      <c r="H314" s="8">
        <v>15.4</v>
      </c>
      <c r="I314" s="2">
        <v>78</v>
      </c>
      <c r="J314" t="s">
        <v>29</v>
      </c>
    </row>
    <row r="315" spans="1:10" x14ac:dyDescent="0.3">
      <c r="A315" t="s">
        <v>251</v>
      </c>
      <c r="B315" s="2">
        <v>30</v>
      </c>
      <c r="C315" s="2">
        <v>4</v>
      </c>
      <c r="D315" s="2">
        <v>98</v>
      </c>
      <c r="E315" s="2">
        <v>68</v>
      </c>
      <c r="F315" s="2">
        <v>2155</v>
      </c>
      <c r="G315" s="8">
        <f t="shared" si="4"/>
        <v>3.1554524361948957E-2</v>
      </c>
      <c r="H315" s="8">
        <v>16.5</v>
      </c>
      <c r="I315" s="2">
        <v>78</v>
      </c>
      <c r="J315" t="s">
        <v>29</v>
      </c>
    </row>
    <row r="316" spans="1:10" x14ac:dyDescent="0.3">
      <c r="A316" t="s">
        <v>282</v>
      </c>
      <c r="B316" s="8">
        <v>23.8</v>
      </c>
      <c r="C316" s="2">
        <v>4</v>
      </c>
      <c r="D316" s="2">
        <v>151</v>
      </c>
      <c r="E316" s="2">
        <v>85</v>
      </c>
      <c r="F316" s="2">
        <v>2855</v>
      </c>
      <c r="G316" s="8">
        <f t="shared" si="4"/>
        <v>2.9772329246935202E-2</v>
      </c>
      <c r="H316" s="8">
        <v>17.600000000000001</v>
      </c>
      <c r="I316" s="2">
        <v>78</v>
      </c>
      <c r="J316" t="s">
        <v>29</v>
      </c>
    </row>
    <row r="317" spans="1:10" x14ac:dyDescent="0.3">
      <c r="A317" t="s">
        <v>283</v>
      </c>
      <c r="B317" s="8">
        <v>17.7</v>
      </c>
      <c r="C317" s="2">
        <v>6</v>
      </c>
      <c r="D317" s="2">
        <v>231</v>
      </c>
      <c r="E317" s="2">
        <v>165</v>
      </c>
      <c r="F317" s="2">
        <v>3445</v>
      </c>
      <c r="G317" s="8">
        <f t="shared" si="4"/>
        <v>4.7895500725689405E-2</v>
      </c>
      <c r="H317" s="8">
        <v>13.4</v>
      </c>
      <c r="I317" s="2">
        <v>78</v>
      </c>
      <c r="J317" t="s">
        <v>29</v>
      </c>
    </row>
    <row r="318" spans="1:10" x14ac:dyDescent="0.3">
      <c r="A318" t="s">
        <v>284</v>
      </c>
      <c r="B318" s="8">
        <v>18.100000000000001</v>
      </c>
      <c r="C318" s="2">
        <v>6</v>
      </c>
      <c r="D318" s="2">
        <v>258</v>
      </c>
      <c r="E318" s="2">
        <v>120</v>
      </c>
      <c r="F318" s="2">
        <v>3410</v>
      </c>
      <c r="G318" s="8">
        <f t="shared" ref="G318:G380" si="5">IFERROR(E318/F318, "")</f>
        <v>3.519061583577713E-2</v>
      </c>
      <c r="H318" s="8">
        <v>15.1</v>
      </c>
      <c r="I318" s="2">
        <v>78</v>
      </c>
      <c r="J318" t="s">
        <v>29</v>
      </c>
    </row>
    <row r="319" spans="1:10" x14ac:dyDescent="0.3">
      <c r="A319" t="s">
        <v>285</v>
      </c>
      <c r="B319" s="8">
        <v>20.6</v>
      </c>
      <c r="C319" s="2">
        <v>6</v>
      </c>
      <c r="D319" s="2">
        <v>231</v>
      </c>
      <c r="E319" s="2">
        <v>105</v>
      </c>
      <c r="F319" s="2">
        <v>3380</v>
      </c>
      <c r="G319" s="8">
        <f t="shared" si="5"/>
        <v>3.1065088757396449E-2</v>
      </c>
      <c r="H319" s="8">
        <v>15.8</v>
      </c>
      <c r="I319" s="2">
        <v>78</v>
      </c>
      <c r="J319" t="s">
        <v>29</v>
      </c>
    </row>
    <row r="320" spans="1:10" x14ac:dyDescent="0.3">
      <c r="A320" t="s">
        <v>286</v>
      </c>
      <c r="B320" s="8">
        <v>18.600000000000001</v>
      </c>
      <c r="C320" s="2">
        <v>6</v>
      </c>
      <c r="D320" s="2">
        <v>225</v>
      </c>
      <c r="E320" s="2">
        <v>110</v>
      </c>
      <c r="F320" s="2">
        <v>3620</v>
      </c>
      <c r="G320" s="8">
        <f t="shared" si="5"/>
        <v>3.0386740331491711E-2</v>
      </c>
      <c r="H320" s="8">
        <v>18.7</v>
      </c>
      <c r="I320" s="2">
        <v>78</v>
      </c>
      <c r="J320" t="s">
        <v>29</v>
      </c>
    </row>
    <row r="321" spans="1:10" x14ac:dyDescent="0.3">
      <c r="A321" t="s">
        <v>224</v>
      </c>
      <c r="B321" s="8">
        <v>20.5</v>
      </c>
      <c r="C321" s="2">
        <v>6</v>
      </c>
      <c r="D321" s="2">
        <v>200</v>
      </c>
      <c r="E321" s="2">
        <v>95</v>
      </c>
      <c r="F321" s="2">
        <v>3155</v>
      </c>
      <c r="G321" s="8">
        <f t="shared" si="5"/>
        <v>3.0110935023771792E-2</v>
      </c>
      <c r="H321" s="8">
        <v>18.2</v>
      </c>
      <c r="I321" s="2">
        <v>78</v>
      </c>
      <c r="J321" t="s">
        <v>29</v>
      </c>
    </row>
    <row r="322" spans="1:10" x14ac:dyDescent="0.3">
      <c r="A322" t="s">
        <v>287</v>
      </c>
      <c r="B322" s="8">
        <v>19.2</v>
      </c>
      <c r="C322" s="2">
        <v>6</v>
      </c>
      <c r="D322" s="2">
        <v>231</v>
      </c>
      <c r="E322" s="2">
        <v>105</v>
      </c>
      <c r="F322" s="2">
        <v>3535</v>
      </c>
      <c r="G322" s="8">
        <f t="shared" si="5"/>
        <v>2.9702970297029702E-2</v>
      </c>
      <c r="H322" s="8">
        <v>19.2</v>
      </c>
      <c r="I322" s="2">
        <v>78</v>
      </c>
      <c r="J322" t="s">
        <v>29</v>
      </c>
    </row>
    <row r="323" spans="1:10" x14ac:dyDescent="0.3">
      <c r="A323" t="s">
        <v>288</v>
      </c>
      <c r="B323" s="8">
        <v>20.5</v>
      </c>
      <c r="C323" s="2">
        <v>6</v>
      </c>
      <c r="D323" s="2">
        <v>225</v>
      </c>
      <c r="E323" s="2">
        <v>100</v>
      </c>
      <c r="F323" s="2">
        <v>3430</v>
      </c>
      <c r="G323" s="8">
        <f t="shared" si="5"/>
        <v>2.9154518950437316E-2</v>
      </c>
      <c r="H323" s="8">
        <v>17.2</v>
      </c>
      <c r="I323" s="2">
        <v>78</v>
      </c>
      <c r="J323" t="s">
        <v>29</v>
      </c>
    </row>
    <row r="324" spans="1:10" x14ac:dyDescent="0.3">
      <c r="A324" t="s">
        <v>289</v>
      </c>
      <c r="B324" s="8">
        <v>20.2</v>
      </c>
      <c r="C324" s="2">
        <v>6</v>
      </c>
      <c r="D324" s="2">
        <v>200</v>
      </c>
      <c r="E324" s="2">
        <v>85</v>
      </c>
      <c r="F324" s="2">
        <v>2965</v>
      </c>
      <c r="G324" s="8">
        <f t="shared" si="5"/>
        <v>2.866779089376054E-2</v>
      </c>
      <c r="H324" s="8">
        <v>15.8</v>
      </c>
      <c r="I324" s="2">
        <v>78</v>
      </c>
      <c r="J324" t="s">
        <v>29</v>
      </c>
    </row>
    <row r="325" spans="1:10" x14ac:dyDescent="0.3">
      <c r="A325" t="s">
        <v>290</v>
      </c>
      <c r="B325" s="8">
        <v>19.399999999999999</v>
      </c>
      <c r="C325" s="2">
        <v>6</v>
      </c>
      <c r="D325" s="2">
        <v>232</v>
      </c>
      <c r="E325" s="2">
        <v>90</v>
      </c>
      <c r="F325" s="2">
        <v>3210</v>
      </c>
      <c r="G325" s="8">
        <f t="shared" si="5"/>
        <v>2.8037383177570093E-2</v>
      </c>
      <c r="H325" s="8">
        <v>17.2</v>
      </c>
      <c r="I325" s="2">
        <v>78</v>
      </c>
      <c r="J325" t="s">
        <v>29</v>
      </c>
    </row>
    <row r="326" spans="1:10" x14ac:dyDescent="0.3">
      <c r="A326" t="s">
        <v>291</v>
      </c>
      <c r="B326" s="8">
        <v>20.8</v>
      </c>
      <c r="C326" s="2">
        <v>6</v>
      </c>
      <c r="D326" s="2">
        <v>200</v>
      </c>
      <c r="E326" s="2">
        <v>85</v>
      </c>
      <c r="F326" s="2">
        <v>3070</v>
      </c>
      <c r="G326" s="8">
        <f t="shared" si="5"/>
        <v>2.7687296416938109E-2</v>
      </c>
      <c r="H326" s="8">
        <v>16.7</v>
      </c>
      <c r="I326" s="2">
        <v>78</v>
      </c>
      <c r="J326" t="s">
        <v>29</v>
      </c>
    </row>
    <row r="327" spans="1:10" x14ac:dyDescent="0.3">
      <c r="A327" t="s">
        <v>292</v>
      </c>
      <c r="B327" s="8">
        <v>18.100000000000001</v>
      </c>
      <c r="C327" s="2">
        <v>8</v>
      </c>
      <c r="D327" s="2">
        <v>302</v>
      </c>
      <c r="E327" s="2">
        <v>139</v>
      </c>
      <c r="F327" s="2">
        <v>3205</v>
      </c>
      <c r="G327" s="8">
        <f t="shared" si="5"/>
        <v>4.3369734789391573E-2</v>
      </c>
      <c r="H327" s="8">
        <v>11.2</v>
      </c>
      <c r="I327" s="2">
        <v>78</v>
      </c>
      <c r="J327" t="s">
        <v>29</v>
      </c>
    </row>
    <row r="328" spans="1:10" x14ac:dyDescent="0.3">
      <c r="A328" t="s">
        <v>273</v>
      </c>
      <c r="B328" s="8">
        <v>19.2</v>
      </c>
      <c r="C328" s="2">
        <v>8</v>
      </c>
      <c r="D328" s="2">
        <v>305</v>
      </c>
      <c r="E328" s="2">
        <v>145</v>
      </c>
      <c r="F328" s="2">
        <v>3425</v>
      </c>
      <c r="G328" s="8">
        <f t="shared" si="5"/>
        <v>4.2335766423357665E-2</v>
      </c>
      <c r="H328" s="8">
        <v>13.2</v>
      </c>
      <c r="I328" s="2">
        <v>78</v>
      </c>
      <c r="J328" t="s">
        <v>29</v>
      </c>
    </row>
    <row r="329" spans="1:10" x14ac:dyDescent="0.3">
      <c r="A329" t="s">
        <v>293</v>
      </c>
      <c r="B329" s="8">
        <v>20.2</v>
      </c>
      <c r="C329" s="2">
        <v>8</v>
      </c>
      <c r="D329" s="2">
        <v>302</v>
      </c>
      <c r="E329" s="2">
        <v>139</v>
      </c>
      <c r="F329" s="2">
        <v>3570</v>
      </c>
      <c r="G329" s="8">
        <f t="shared" si="5"/>
        <v>3.8935574229691877E-2</v>
      </c>
      <c r="H329" s="8">
        <v>12.8</v>
      </c>
      <c r="I329" s="2">
        <v>78</v>
      </c>
      <c r="J329" t="s">
        <v>29</v>
      </c>
    </row>
    <row r="330" spans="1:10" x14ac:dyDescent="0.3">
      <c r="A330" t="s">
        <v>294</v>
      </c>
      <c r="B330" s="8">
        <v>19.399999999999999</v>
      </c>
      <c r="C330" s="2">
        <v>8</v>
      </c>
      <c r="D330" s="2">
        <v>318</v>
      </c>
      <c r="E330" s="2">
        <v>140</v>
      </c>
      <c r="F330" s="2">
        <v>3735</v>
      </c>
      <c r="G330" s="8">
        <f t="shared" si="5"/>
        <v>3.7483266398929051E-2</v>
      </c>
      <c r="H330" s="8">
        <v>13.2</v>
      </c>
      <c r="I330" s="2">
        <v>78</v>
      </c>
      <c r="J330" t="s">
        <v>29</v>
      </c>
    </row>
    <row r="331" spans="1:10" x14ac:dyDescent="0.3">
      <c r="A331" t="s">
        <v>295</v>
      </c>
      <c r="B331" s="8">
        <v>17.5</v>
      </c>
      <c r="C331" s="2">
        <v>8</v>
      </c>
      <c r="D331" s="2">
        <v>318</v>
      </c>
      <c r="E331" s="2">
        <v>140</v>
      </c>
      <c r="F331" s="2">
        <v>4080</v>
      </c>
      <c r="G331" s="8">
        <f t="shared" si="5"/>
        <v>3.4313725490196081E-2</v>
      </c>
      <c r="H331" s="8">
        <v>13.7</v>
      </c>
      <c r="I331" s="2">
        <v>78</v>
      </c>
      <c r="J331" t="s">
        <v>29</v>
      </c>
    </row>
    <row r="332" spans="1:10" x14ac:dyDescent="0.3">
      <c r="A332" t="s">
        <v>296</v>
      </c>
      <c r="B332" s="8">
        <v>19.899999999999999</v>
      </c>
      <c r="C332" s="2">
        <v>8</v>
      </c>
      <c r="D332" s="2">
        <v>260</v>
      </c>
      <c r="E332" s="2">
        <v>110</v>
      </c>
      <c r="F332" s="2">
        <v>3365</v>
      </c>
      <c r="G332" s="8">
        <f t="shared" si="5"/>
        <v>3.2689450222882617E-2</v>
      </c>
      <c r="H332" s="8">
        <v>15.5</v>
      </c>
      <c r="I332" s="2">
        <v>78</v>
      </c>
      <c r="J332" t="s">
        <v>29</v>
      </c>
    </row>
    <row r="333" spans="1:10" x14ac:dyDescent="0.3">
      <c r="A333" t="s">
        <v>297</v>
      </c>
      <c r="B333" s="8">
        <v>35.700000000000003</v>
      </c>
      <c r="C333" s="2">
        <v>4</v>
      </c>
      <c r="D333" s="2">
        <v>98</v>
      </c>
      <c r="E333" s="2">
        <v>80</v>
      </c>
      <c r="F333" s="2">
        <v>1915</v>
      </c>
      <c r="G333" s="8">
        <f t="shared" si="5"/>
        <v>4.1775456919060053E-2</v>
      </c>
      <c r="H333" s="8">
        <v>14.4</v>
      </c>
      <c r="I333" s="2">
        <v>79</v>
      </c>
      <c r="J333" t="s">
        <v>29</v>
      </c>
    </row>
    <row r="334" spans="1:10" x14ac:dyDescent="0.3">
      <c r="A334" t="s">
        <v>298</v>
      </c>
      <c r="B334" s="8">
        <v>33.5</v>
      </c>
      <c r="C334" s="2">
        <v>4</v>
      </c>
      <c r="D334" s="2">
        <v>151</v>
      </c>
      <c r="E334" s="2">
        <v>90</v>
      </c>
      <c r="F334" s="2">
        <v>2556</v>
      </c>
      <c r="G334" s="8">
        <f t="shared" si="5"/>
        <v>3.5211267605633804E-2</v>
      </c>
      <c r="H334" s="8">
        <v>13.2</v>
      </c>
      <c r="I334" s="2">
        <v>79</v>
      </c>
      <c r="J334" t="s">
        <v>29</v>
      </c>
    </row>
    <row r="335" spans="1:10" x14ac:dyDescent="0.3">
      <c r="A335" t="s">
        <v>299</v>
      </c>
      <c r="B335" s="8">
        <v>28.4</v>
      </c>
      <c r="C335" s="2">
        <v>4</v>
      </c>
      <c r="D335" s="2">
        <v>151</v>
      </c>
      <c r="E335" s="2">
        <v>90</v>
      </c>
      <c r="F335" s="2">
        <v>2670</v>
      </c>
      <c r="G335" s="8">
        <f t="shared" si="5"/>
        <v>3.3707865168539325E-2</v>
      </c>
      <c r="H335" s="2">
        <v>16</v>
      </c>
      <c r="I335" s="2">
        <v>79</v>
      </c>
      <c r="J335" t="s">
        <v>29</v>
      </c>
    </row>
    <row r="336" spans="1:10" x14ac:dyDescent="0.3">
      <c r="A336" t="s">
        <v>300</v>
      </c>
      <c r="B336" s="8">
        <v>34.5</v>
      </c>
      <c r="C336" s="2">
        <v>4</v>
      </c>
      <c r="D336" s="2">
        <v>105</v>
      </c>
      <c r="E336" s="2">
        <v>70</v>
      </c>
      <c r="F336" s="2">
        <v>2150</v>
      </c>
      <c r="G336" s="8">
        <f t="shared" si="5"/>
        <v>3.255813953488372E-2</v>
      </c>
      <c r="H336" s="8">
        <v>14.9</v>
      </c>
      <c r="I336" s="2">
        <v>79</v>
      </c>
      <c r="J336" t="s">
        <v>29</v>
      </c>
    </row>
    <row r="337" spans="1:10" x14ac:dyDescent="0.3">
      <c r="A337" t="s">
        <v>301</v>
      </c>
      <c r="B337" s="8">
        <v>34.200000000000003</v>
      </c>
      <c r="C337" s="2">
        <v>4</v>
      </c>
      <c r="D337" s="2">
        <v>105</v>
      </c>
      <c r="E337" s="2">
        <v>70</v>
      </c>
      <c r="F337" s="2">
        <v>2200</v>
      </c>
      <c r="G337" s="8">
        <f t="shared" si="5"/>
        <v>3.1818181818181815E-2</v>
      </c>
      <c r="H337" s="8">
        <v>13.2</v>
      </c>
      <c r="I337" s="2">
        <v>79</v>
      </c>
      <c r="J337" t="s">
        <v>29</v>
      </c>
    </row>
    <row r="338" spans="1:10" x14ac:dyDescent="0.3">
      <c r="A338" t="s">
        <v>302</v>
      </c>
      <c r="B338" s="8">
        <v>22.3</v>
      </c>
      <c r="C338" s="2">
        <v>4</v>
      </c>
      <c r="D338" s="2">
        <v>140</v>
      </c>
      <c r="E338" s="2">
        <v>88</v>
      </c>
      <c r="F338" s="2">
        <v>2890</v>
      </c>
      <c r="G338" s="8">
        <f t="shared" si="5"/>
        <v>3.0449826989619379E-2</v>
      </c>
      <c r="H338" s="8">
        <v>17.3</v>
      </c>
      <c r="I338" s="2">
        <v>79</v>
      </c>
      <c r="J338" t="s">
        <v>29</v>
      </c>
    </row>
    <row r="339" spans="1:10" x14ac:dyDescent="0.3">
      <c r="A339" t="s">
        <v>303</v>
      </c>
      <c r="B339" s="8">
        <v>27.4</v>
      </c>
      <c r="C339" s="2">
        <v>4</v>
      </c>
      <c r="D339" s="2">
        <v>121</v>
      </c>
      <c r="E339" s="2">
        <v>80</v>
      </c>
      <c r="F339" s="2">
        <v>2670</v>
      </c>
      <c r="G339" s="8">
        <f t="shared" si="5"/>
        <v>2.9962546816479401E-2</v>
      </c>
      <c r="H339" s="2">
        <v>15</v>
      </c>
      <c r="I339" s="2">
        <v>79</v>
      </c>
      <c r="J339" t="s">
        <v>29</v>
      </c>
    </row>
    <row r="340" spans="1:10" x14ac:dyDescent="0.3">
      <c r="A340" t="s">
        <v>304</v>
      </c>
      <c r="B340" s="8">
        <v>28.8</v>
      </c>
      <c r="C340" s="2">
        <v>6</v>
      </c>
      <c r="D340" s="2">
        <v>173</v>
      </c>
      <c r="E340" s="2">
        <v>115</v>
      </c>
      <c r="F340" s="2">
        <v>2595</v>
      </c>
      <c r="G340" s="8">
        <f t="shared" si="5"/>
        <v>4.4315992292870907E-2</v>
      </c>
      <c r="H340" s="8">
        <v>11.3</v>
      </c>
      <c r="I340" s="2">
        <v>79</v>
      </c>
      <c r="J340" t="s">
        <v>29</v>
      </c>
    </row>
    <row r="341" spans="1:10" x14ac:dyDescent="0.3">
      <c r="A341" t="s">
        <v>305</v>
      </c>
      <c r="B341" s="8">
        <v>26.8</v>
      </c>
      <c r="C341" s="2">
        <v>6</v>
      </c>
      <c r="D341" s="2">
        <v>173</v>
      </c>
      <c r="E341" s="2">
        <v>115</v>
      </c>
      <c r="F341" s="2">
        <v>2700</v>
      </c>
      <c r="G341" s="8">
        <f t="shared" si="5"/>
        <v>4.2592592592592592E-2</v>
      </c>
      <c r="H341" s="8">
        <v>12.9</v>
      </c>
      <c r="I341" s="2">
        <v>79</v>
      </c>
      <c r="J341" t="s">
        <v>29</v>
      </c>
    </row>
    <row r="342" spans="1:10" x14ac:dyDescent="0.3">
      <c r="A342" t="s">
        <v>306</v>
      </c>
      <c r="B342" s="8">
        <v>21.5</v>
      </c>
      <c r="C342" s="2">
        <v>6</v>
      </c>
      <c r="D342" s="2">
        <v>231</v>
      </c>
      <c r="E342" s="2">
        <v>115</v>
      </c>
      <c r="F342" s="2">
        <v>3245</v>
      </c>
      <c r="G342" s="8">
        <f t="shared" si="5"/>
        <v>3.543913713405239E-2</v>
      </c>
      <c r="H342" s="8">
        <v>15.4</v>
      </c>
      <c r="I342" s="2">
        <v>79</v>
      </c>
      <c r="J342" t="s">
        <v>29</v>
      </c>
    </row>
    <row r="343" spans="1:10" x14ac:dyDescent="0.3">
      <c r="A343" t="s">
        <v>307</v>
      </c>
      <c r="B343" s="8">
        <v>20.6</v>
      </c>
      <c r="C343" s="2">
        <v>6</v>
      </c>
      <c r="D343" s="2">
        <v>225</v>
      </c>
      <c r="E343" s="2">
        <v>110</v>
      </c>
      <c r="F343" s="2">
        <v>3360</v>
      </c>
      <c r="G343" s="8">
        <f t="shared" si="5"/>
        <v>3.273809523809524E-2</v>
      </c>
      <c r="H343" s="8">
        <v>16.600000000000001</v>
      </c>
      <c r="I343" s="2">
        <v>79</v>
      </c>
      <c r="J343" t="s">
        <v>29</v>
      </c>
    </row>
    <row r="344" spans="1:10" x14ac:dyDescent="0.3">
      <c r="A344" t="s">
        <v>308</v>
      </c>
      <c r="B344" s="8">
        <v>19.8</v>
      </c>
      <c r="C344" s="2">
        <v>6</v>
      </c>
      <c r="D344" s="2">
        <v>200</v>
      </c>
      <c r="E344" s="2">
        <v>85</v>
      </c>
      <c r="F344" s="2">
        <v>2990</v>
      </c>
      <c r="G344" s="8">
        <f t="shared" si="5"/>
        <v>2.8428093645484948E-2</v>
      </c>
      <c r="H344" s="8">
        <v>18.2</v>
      </c>
      <c r="I344" s="2">
        <v>79</v>
      </c>
      <c r="J344" t="s">
        <v>29</v>
      </c>
    </row>
    <row r="345" spans="1:10" x14ac:dyDescent="0.3">
      <c r="A345" t="s">
        <v>309</v>
      </c>
      <c r="B345" s="8">
        <v>20.2</v>
      </c>
      <c r="C345" s="2">
        <v>6</v>
      </c>
      <c r="D345" s="2">
        <v>232</v>
      </c>
      <c r="E345" s="2">
        <v>90</v>
      </c>
      <c r="F345" s="2">
        <v>3265</v>
      </c>
      <c r="G345" s="8">
        <f t="shared" si="5"/>
        <v>2.7565084226646247E-2</v>
      </c>
      <c r="H345" s="8">
        <v>18.2</v>
      </c>
      <c r="I345" s="2">
        <v>79</v>
      </c>
      <c r="J345" t="s">
        <v>29</v>
      </c>
    </row>
    <row r="346" spans="1:10" x14ac:dyDescent="0.3">
      <c r="A346" t="s">
        <v>310</v>
      </c>
      <c r="B346" s="8">
        <v>18.5</v>
      </c>
      <c r="C346" s="2">
        <v>8</v>
      </c>
      <c r="D346" s="2">
        <v>360</v>
      </c>
      <c r="E346" s="2">
        <v>150</v>
      </c>
      <c r="F346" s="2">
        <v>3940</v>
      </c>
      <c r="G346" s="8">
        <f t="shared" si="5"/>
        <v>3.8071065989847719E-2</v>
      </c>
      <c r="H346" s="2">
        <v>13</v>
      </c>
      <c r="I346" s="2">
        <v>79</v>
      </c>
      <c r="J346" t="s">
        <v>29</v>
      </c>
    </row>
    <row r="347" spans="1:10" x14ac:dyDescent="0.3">
      <c r="A347" t="s">
        <v>163</v>
      </c>
      <c r="B347" s="8">
        <v>16.899999999999999</v>
      </c>
      <c r="C347" s="2">
        <v>8</v>
      </c>
      <c r="D347" s="2">
        <v>350</v>
      </c>
      <c r="E347" s="2">
        <v>155</v>
      </c>
      <c r="F347" s="2">
        <v>4360</v>
      </c>
      <c r="G347" s="8">
        <f t="shared" si="5"/>
        <v>3.5550458715596332E-2</v>
      </c>
      <c r="H347" s="8">
        <v>14.9</v>
      </c>
      <c r="I347" s="2">
        <v>79</v>
      </c>
      <c r="J347" t="s">
        <v>29</v>
      </c>
    </row>
    <row r="348" spans="1:10" x14ac:dyDescent="0.3">
      <c r="A348" t="s">
        <v>311</v>
      </c>
      <c r="B348" s="8">
        <v>18.2</v>
      </c>
      <c r="C348" s="2">
        <v>8</v>
      </c>
      <c r="D348" s="2">
        <v>318</v>
      </c>
      <c r="E348" s="2">
        <v>135</v>
      </c>
      <c r="F348" s="2">
        <v>3830</v>
      </c>
      <c r="G348" s="8">
        <f t="shared" si="5"/>
        <v>3.5248041775456922E-2</v>
      </c>
      <c r="H348" s="8">
        <v>15.2</v>
      </c>
      <c r="I348" s="2">
        <v>79</v>
      </c>
      <c r="J348" t="s">
        <v>29</v>
      </c>
    </row>
    <row r="349" spans="1:10" x14ac:dyDescent="0.3">
      <c r="A349" t="s">
        <v>194</v>
      </c>
      <c r="B349" s="8">
        <v>15.5</v>
      </c>
      <c r="C349" s="2">
        <v>8</v>
      </c>
      <c r="D349" s="2">
        <v>351</v>
      </c>
      <c r="E349" s="2">
        <v>142</v>
      </c>
      <c r="F349" s="2">
        <v>4054</v>
      </c>
      <c r="G349" s="8">
        <f t="shared" si="5"/>
        <v>3.5027133695115932E-2</v>
      </c>
      <c r="H349" s="8">
        <v>14.3</v>
      </c>
      <c r="I349" s="2">
        <v>79</v>
      </c>
      <c r="J349" t="s">
        <v>29</v>
      </c>
    </row>
    <row r="350" spans="1:10" x14ac:dyDescent="0.3">
      <c r="A350" t="s">
        <v>312</v>
      </c>
      <c r="B350" s="8">
        <v>16.5</v>
      </c>
      <c r="C350" s="2">
        <v>8</v>
      </c>
      <c r="D350" s="2">
        <v>351</v>
      </c>
      <c r="E350" s="2">
        <v>138</v>
      </c>
      <c r="F350" s="2">
        <v>3955</v>
      </c>
      <c r="G350" s="8">
        <f t="shared" si="5"/>
        <v>3.4892541087231353E-2</v>
      </c>
      <c r="H350" s="8">
        <v>13.2</v>
      </c>
      <c r="I350" s="2">
        <v>79</v>
      </c>
      <c r="J350" t="s">
        <v>29</v>
      </c>
    </row>
    <row r="351" spans="1:10" x14ac:dyDescent="0.3">
      <c r="A351" t="s">
        <v>313</v>
      </c>
      <c r="B351" s="8">
        <v>19.2</v>
      </c>
      <c r="C351" s="2">
        <v>8</v>
      </c>
      <c r="D351" s="2">
        <v>267</v>
      </c>
      <c r="E351" s="2">
        <v>125</v>
      </c>
      <c r="F351" s="2">
        <v>3605</v>
      </c>
      <c r="G351" s="8">
        <f t="shared" si="5"/>
        <v>3.4674063800277391E-2</v>
      </c>
      <c r="H351" s="2">
        <v>15</v>
      </c>
      <c r="I351" s="2">
        <v>79</v>
      </c>
      <c r="J351" t="s">
        <v>29</v>
      </c>
    </row>
    <row r="352" spans="1:10" x14ac:dyDescent="0.3">
      <c r="A352" t="s">
        <v>314</v>
      </c>
      <c r="B352" s="8">
        <v>17.600000000000001</v>
      </c>
      <c r="C352" s="2">
        <v>8</v>
      </c>
      <c r="D352" s="2">
        <v>302</v>
      </c>
      <c r="E352" s="2">
        <v>129</v>
      </c>
      <c r="F352" s="2">
        <v>3725</v>
      </c>
      <c r="G352" s="8">
        <f t="shared" si="5"/>
        <v>3.4630872483221477E-2</v>
      </c>
      <c r="H352" s="8">
        <v>13.4</v>
      </c>
      <c r="I352" s="2">
        <v>79</v>
      </c>
      <c r="J352" t="s">
        <v>29</v>
      </c>
    </row>
    <row r="353" spans="1:10" x14ac:dyDescent="0.3">
      <c r="A353" t="s">
        <v>230</v>
      </c>
      <c r="B353" s="2">
        <v>17</v>
      </c>
      <c r="C353" s="2">
        <v>8</v>
      </c>
      <c r="D353" s="2">
        <v>305</v>
      </c>
      <c r="E353" s="2">
        <v>130</v>
      </c>
      <c r="F353" s="2">
        <v>3840</v>
      </c>
      <c r="G353" s="8">
        <f t="shared" si="5"/>
        <v>3.3854166666666664E-2</v>
      </c>
      <c r="H353" s="8">
        <v>15.4</v>
      </c>
      <c r="I353" s="2">
        <v>79</v>
      </c>
      <c r="J353" t="s">
        <v>29</v>
      </c>
    </row>
    <row r="354" spans="1:10" x14ac:dyDescent="0.3">
      <c r="A354" t="s">
        <v>315</v>
      </c>
      <c r="B354" s="2">
        <v>23</v>
      </c>
      <c r="C354" s="2">
        <v>8</v>
      </c>
      <c r="D354" s="2">
        <v>350</v>
      </c>
      <c r="E354" s="2">
        <v>125</v>
      </c>
      <c r="F354" s="2">
        <v>3900</v>
      </c>
      <c r="G354" s="8">
        <f t="shared" si="5"/>
        <v>3.2051282051282048E-2</v>
      </c>
      <c r="H354" s="8">
        <v>17.399999999999999</v>
      </c>
      <c r="I354" s="2">
        <v>79</v>
      </c>
      <c r="J354" t="s">
        <v>29</v>
      </c>
    </row>
    <row r="355" spans="1:10" x14ac:dyDescent="0.3">
      <c r="A355" t="s">
        <v>296</v>
      </c>
      <c r="B355" s="8">
        <v>23.9</v>
      </c>
      <c r="C355" s="2">
        <v>8</v>
      </c>
      <c r="D355" s="2">
        <v>260</v>
      </c>
      <c r="E355" s="2">
        <v>90</v>
      </c>
      <c r="F355" s="2">
        <v>3420</v>
      </c>
      <c r="G355" s="8">
        <f t="shared" si="5"/>
        <v>2.6315789473684209E-2</v>
      </c>
      <c r="H355" s="8">
        <v>22.2</v>
      </c>
      <c r="I355" s="2">
        <v>79</v>
      </c>
      <c r="J355" t="s">
        <v>29</v>
      </c>
    </row>
    <row r="356" spans="1:10" x14ac:dyDescent="0.3">
      <c r="A356" t="s">
        <v>231</v>
      </c>
      <c r="B356" s="8">
        <v>27.9</v>
      </c>
      <c r="C356" s="2">
        <v>4</v>
      </c>
      <c r="D356" s="2">
        <v>156</v>
      </c>
      <c r="E356" s="2">
        <v>105</v>
      </c>
      <c r="F356" s="2">
        <v>2800</v>
      </c>
      <c r="G356" s="8">
        <f t="shared" si="5"/>
        <v>3.7499999999999999E-2</v>
      </c>
      <c r="H356" s="8">
        <v>14.4</v>
      </c>
      <c r="I356" s="2">
        <v>80</v>
      </c>
      <c r="J356" t="s">
        <v>29</v>
      </c>
    </row>
    <row r="357" spans="1:10" x14ac:dyDescent="0.3">
      <c r="A357" t="s">
        <v>304</v>
      </c>
      <c r="B357" s="2">
        <v>28</v>
      </c>
      <c r="C357" s="2">
        <v>4</v>
      </c>
      <c r="D357" s="2">
        <v>151</v>
      </c>
      <c r="E357" s="2">
        <v>90</v>
      </c>
      <c r="F357" s="2">
        <v>2678</v>
      </c>
      <c r="G357" s="8">
        <f t="shared" si="5"/>
        <v>3.3607169529499624E-2</v>
      </c>
      <c r="H357" s="8">
        <v>16.5</v>
      </c>
      <c r="I357" s="2">
        <v>80</v>
      </c>
      <c r="J357" t="s">
        <v>29</v>
      </c>
    </row>
    <row r="358" spans="1:10" x14ac:dyDescent="0.3">
      <c r="A358" t="s">
        <v>251</v>
      </c>
      <c r="B358" s="8">
        <v>32.1</v>
      </c>
      <c r="C358" s="2">
        <v>4</v>
      </c>
      <c r="D358" s="2">
        <v>98</v>
      </c>
      <c r="E358" s="2">
        <v>70</v>
      </c>
      <c r="F358" s="2">
        <v>2120</v>
      </c>
      <c r="G358" s="8">
        <f t="shared" si="5"/>
        <v>3.3018867924528301E-2</v>
      </c>
      <c r="H358" s="8">
        <v>15.5</v>
      </c>
      <c r="I358" s="2">
        <v>80</v>
      </c>
      <c r="J358" t="s">
        <v>29</v>
      </c>
    </row>
    <row r="359" spans="1:10" x14ac:dyDescent="0.3">
      <c r="A359" t="s">
        <v>316</v>
      </c>
      <c r="B359" s="8">
        <v>26.4</v>
      </c>
      <c r="C359" s="2">
        <v>4</v>
      </c>
      <c r="D359" s="2">
        <v>140</v>
      </c>
      <c r="E359" s="2">
        <v>88</v>
      </c>
      <c r="F359" s="2">
        <v>2870</v>
      </c>
      <c r="G359" s="8">
        <f t="shared" si="5"/>
        <v>3.0662020905923345E-2</v>
      </c>
      <c r="H359" s="8">
        <v>18.100000000000001</v>
      </c>
      <c r="I359" s="2">
        <v>80</v>
      </c>
      <c r="J359" t="s">
        <v>29</v>
      </c>
    </row>
    <row r="360" spans="1:10" x14ac:dyDescent="0.3">
      <c r="A360" t="s">
        <v>290</v>
      </c>
      <c r="B360" s="8">
        <v>24.3</v>
      </c>
      <c r="C360" s="2">
        <v>4</v>
      </c>
      <c r="D360" s="2">
        <v>151</v>
      </c>
      <c r="E360" s="2">
        <v>90</v>
      </c>
      <c r="F360" s="2">
        <v>3003</v>
      </c>
      <c r="G360" s="8">
        <f t="shared" si="5"/>
        <v>2.9970029970029972E-2</v>
      </c>
      <c r="H360" s="8">
        <v>20.100000000000001</v>
      </c>
      <c r="I360" s="2">
        <v>80</v>
      </c>
      <c r="J360" t="s">
        <v>29</v>
      </c>
    </row>
    <row r="361" spans="1:10" x14ac:dyDescent="0.3">
      <c r="A361" t="s">
        <v>286</v>
      </c>
      <c r="B361" s="8">
        <v>19.100000000000001</v>
      </c>
      <c r="C361" s="2">
        <v>6</v>
      </c>
      <c r="D361" s="2">
        <v>225</v>
      </c>
      <c r="E361" s="2">
        <v>90</v>
      </c>
      <c r="F361" s="2">
        <v>3381</v>
      </c>
      <c r="G361" s="8">
        <f t="shared" si="5"/>
        <v>2.6619343389529725E-2</v>
      </c>
      <c r="H361" s="8">
        <v>18.7</v>
      </c>
      <c r="I361" s="2">
        <v>80</v>
      </c>
      <c r="J361" t="s">
        <v>29</v>
      </c>
    </row>
    <row r="362" spans="1:10" x14ac:dyDescent="0.3">
      <c r="A362" t="s">
        <v>318</v>
      </c>
      <c r="B362" s="2">
        <v>30</v>
      </c>
      <c r="C362" s="2">
        <v>4</v>
      </c>
      <c r="D362" s="2">
        <v>135</v>
      </c>
      <c r="E362" s="2">
        <v>84</v>
      </c>
      <c r="F362" s="2">
        <v>2385</v>
      </c>
      <c r="G362" s="8">
        <f t="shared" si="5"/>
        <v>3.5220125786163521E-2</v>
      </c>
      <c r="H362" s="8">
        <v>12.9</v>
      </c>
      <c r="I362" s="2">
        <v>81</v>
      </c>
      <c r="J362" t="s">
        <v>29</v>
      </c>
    </row>
    <row r="363" spans="1:10" x14ac:dyDescent="0.3">
      <c r="A363" t="s">
        <v>319</v>
      </c>
      <c r="B363" s="8">
        <v>25.8</v>
      </c>
      <c r="C363" s="2">
        <v>4</v>
      </c>
      <c r="D363" s="2">
        <v>156</v>
      </c>
      <c r="E363" s="2">
        <v>92</v>
      </c>
      <c r="F363" s="2">
        <v>2620</v>
      </c>
      <c r="G363" s="8">
        <f t="shared" si="5"/>
        <v>3.5114503816793895E-2</v>
      </c>
      <c r="H363" s="8">
        <v>14.4</v>
      </c>
      <c r="I363" s="2">
        <v>81</v>
      </c>
      <c r="J363" t="s">
        <v>29</v>
      </c>
    </row>
    <row r="364" spans="1:10" x14ac:dyDescent="0.3">
      <c r="A364" t="s">
        <v>320</v>
      </c>
      <c r="B364" s="2">
        <v>39</v>
      </c>
      <c r="C364" s="2">
        <v>4</v>
      </c>
      <c r="D364" s="2">
        <v>86</v>
      </c>
      <c r="E364" s="2">
        <v>64</v>
      </c>
      <c r="F364" s="2">
        <v>1875</v>
      </c>
      <c r="G364" s="8">
        <f t="shared" si="5"/>
        <v>3.4133333333333335E-2</v>
      </c>
      <c r="H364" s="8">
        <v>16.399999999999999</v>
      </c>
      <c r="I364" s="2">
        <v>81</v>
      </c>
      <c r="J364" t="s">
        <v>29</v>
      </c>
    </row>
    <row r="365" spans="1:10" x14ac:dyDescent="0.3">
      <c r="A365" t="s">
        <v>318</v>
      </c>
      <c r="B365" s="8">
        <v>27.2</v>
      </c>
      <c r="C365" s="2">
        <v>4</v>
      </c>
      <c r="D365" s="2">
        <v>135</v>
      </c>
      <c r="E365" s="2">
        <v>84</v>
      </c>
      <c r="F365" s="2">
        <v>2490</v>
      </c>
      <c r="G365" s="8">
        <f t="shared" si="5"/>
        <v>3.3734939759036145E-2</v>
      </c>
      <c r="H365" s="8">
        <v>15.7</v>
      </c>
      <c r="I365" s="2">
        <v>81</v>
      </c>
      <c r="J365" t="s">
        <v>29</v>
      </c>
    </row>
    <row r="366" spans="1:10" x14ac:dyDescent="0.3">
      <c r="A366" t="s">
        <v>268</v>
      </c>
      <c r="B366" s="8">
        <v>26.6</v>
      </c>
      <c r="C366" s="2">
        <v>4</v>
      </c>
      <c r="D366" s="2">
        <v>151</v>
      </c>
      <c r="E366" s="2">
        <v>84</v>
      </c>
      <c r="F366" s="2">
        <v>2635</v>
      </c>
      <c r="G366" s="8">
        <f t="shared" si="5"/>
        <v>3.1878557874762806E-2</v>
      </c>
      <c r="H366" s="8">
        <v>16.399999999999999</v>
      </c>
      <c r="I366" s="2">
        <v>81</v>
      </c>
      <c r="J366" t="s">
        <v>29</v>
      </c>
    </row>
    <row r="367" spans="1:10" x14ac:dyDescent="0.3">
      <c r="A367" t="s">
        <v>321</v>
      </c>
      <c r="B367" s="8">
        <v>34.4</v>
      </c>
      <c r="C367" s="2">
        <v>4</v>
      </c>
      <c r="D367" s="2">
        <v>98</v>
      </c>
      <c r="E367" s="2">
        <v>65</v>
      </c>
      <c r="F367" s="2">
        <v>2045</v>
      </c>
      <c r="G367" s="8">
        <f t="shared" si="5"/>
        <v>3.1784841075794622E-2</v>
      </c>
      <c r="H367" s="8">
        <v>16.2</v>
      </c>
      <c r="I367" s="2">
        <v>81</v>
      </c>
      <c r="J367" t="s">
        <v>29</v>
      </c>
    </row>
    <row r="368" spans="1:10" x14ac:dyDescent="0.3">
      <c r="A368" t="s">
        <v>322</v>
      </c>
      <c r="B368" s="8">
        <v>34.700000000000003</v>
      </c>
      <c r="C368" s="2">
        <v>4</v>
      </c>
      <c r="D368" s="2">
        <v>105</v>
      </c>
      <c r="E368" s="2">
        <v>63</v>
      </c>
      <c r="F368" s="2">
        <v>2215</v>
      </c>
      <c r="G368" s="8">
        <f t="shared" si="5"/>
        <v>2.8442437923250564E-2</v>
      </c>
      <c r="H368" s="8">
        <v>14.9</v>
      </c>
      <c r="I368" s="2">
        <v>81</v>
      </c>
      <c r="J368" t="s">
        <v>29</v>
      </c>
    </row>
    <row r="369" spans="1:10" x14ac:dyDescent="0.3">
      <c r="A369" t="s">
        <v>323</v>
      </c>
      <c r="B369" s="8">
        <v>29.9</v>
      </c>
      <c r="C369" s="2">
        <v>4</v>
      </c>
      <c r="D369" s="2">
        <v>98</v>
      </c>
      <c r="E369" s="2">
        <v>65</v>
      </c>
      <c r="F369" s="2">
        <v>2380</v>
      </c>
      <c r="G369" s="8">
        <f t="shared" si="5"/>
        <v>2.7310924369747899E-2</v>
      </c>
      <c r="H369" s="8">
        <v>20.7</v>
      </c>
      <c r="I369" s="2">
        <v>81</v>
      </c>
      <c r="J369" t="s">
        <v>29</v>
      </c>
    </row>
    <row r="370" spans="1:10" x14ac:dyDescent="0.3">
      <c r="A370" t="s">
        <v>304</v>
      </c>
      <c r="B370" s="8">
        <v>23.5</v>
      </c>
      <c r="C370" s="2">
        <v>6</v>
      </c>
      <c r="D370" s="2">
        <v>173</v>
      </c>
      <c r="E370" s="2">
        <v>110</v>
      </c>
      <c r="F370" s="2">
        <v>2725</v>
      </c>
      <c r="G370" s="8">
        <f t="shared" si="5"/>
        <v>4.0366972477064222E-2</v>
      </c>
      <c r="H370" s="8">
        <v>12.6</v>
      </c>
      <c r="I370" s="2">
        <v>81</v>
      </c>
      <c r="J370" t="s">
        <v>29</v>
      </c>
    </row>
    <row r="371" spans="1:10" x14ac:dyDescent="0.3">
      <c r="A371" t="s">
        <v>240</v>
      </c>
      <c r="B371" s="8">
        <v>22.4</v>
      </c>
      <c r="C371" s="2">
        <v>6</v>
      </c>
      <c r="D371" s="2">
        <v>231</v>
      </c>
      <c r="E371" s="2">
        <v>110</v>
      </c>
      <c r="F371" s="2">
        <v>3415</v>
      </c>
      <c r="G371" s="8">
        <f t="shared" si="5"/>
        <v>3.2210834553440704E-2</v>
      </c>
      <c r="H371" s="8">
        <v>15.8</v>
      </c>
      <c r="I371" s="2">
        <v>81</v>
      </c>
      <c r="J371" t="s">
        <v>29</v>
      </c>
    </row>
    <row r="372" spans="1:10" x14ac:dyDescent="0.3">
      <c r="A372" t="s">
        <v>324</v>
      </c>
      <c r="B372" s="8">
        <v>20.2</v>
      </c>
      <c r="C372" s="2">
        <v>6</v>
      </c>
      <c r="D372" s="2">
        <v>200</v>
      </c>
      <c r="E372" s="2">
        <v>88</v>
      </c>
      <c r="F372" s="2">
        <v>3060</v>
      </c>
      <c r="G372" s="8">
        <f t="shared" si="5"/>
        <v>2.8758169934640521E-2</v>
      </c>
      <c r="H372" s="8">
        <v>17.100000000000001</v>
      </c>
      <c r="I372" s="2">
        <v>81</v>
      </c>
      <c r="J372" t="s">
        <v>29</v>
      </c>
    </row>
    <row r="373" spans="1:10" x14ac:dyDescent="0.3">
      <c r="A373" t="s">
        <v>325</v>
      </c>
      <c r="B373" s="8">
        <v>17.600000000000001</v>
      </c>
      <c r="C373" s="2">
        <v>6</v>
      </c>
      <c r="D373" s="2">
        <v>225</v>
      </c>
      <c r="E373" s="2">
        <v>85</v>
      </c>
      <c r="F373" s="2">
        <v>3465</v>
      </c>
      <c r="G373" s="8">
        <f t="shared" si="5"/>
        <v>2.4531024531024532E-2</v>
      </c>
      <c r="H373" s="8">
        <v>16.600000000000001</v>
      </c>
      <c r="I373" s="2">
        <v>81</v>
      </c>
      <c r="J373" t="s">
        <v>29</v>
      </c>
    </row>
    <row r="374" spans="1:10" x14ac:dyDescent="0.3">
      <c r="A374" t="s">
        <v>326</v>
      </c>
      <c r="B374" s="8">
        <v>26.6</v>
      </c>
      <c r="C374" s="2">
        <v>8</v>
      </c>
      <c r="D374" s="2">
        <v>350</v>
      </c>
      <c r="E374" s="2">
        <v>105</v>
      </c>
      <c r="F374" s="2">
        <v>3725</v>
      </c>
      <c r="G374" s="8">
        <f t="shared" si="5"/>
        <v>2.8187919463087248E-2</v>
      </c>
      <c r="H374" s="2">
        <v>19</v>
      </c>
      <c r="I374" s="2">
        <v>81</v>
      </c>
      <c r="J374" t="s">
        <v>29</v>
      </c>
    </row>
    <row r="375" spans="1:10" x14ac:dyDescent="0.3">
      <c r="A375" t="s">
        <v>327</v>
      </c>
      <c r="B375" s="2">
        <v>34</v>
      </c>
      <c r="C375" s="2">
        <v>4</v>
      </c>
      <c r="D375" s="2">
        <v>112</v>
      </c>
      <c r="E375" s="2">
        <v>88</v>
      </c>
      <c r="F375" s="2">
        <v>2395</v>
      </c>
      <c r="G375" s="8">
        <f t="shared" si="5"/>
        <v>3.6743215031315238E-2</v>
      </c>
      <c r="H375" s="2">
        <v>18</v>
      </c>
      <c r="I375" s="2">
        <v>82</v>
      </c>
      <c r="J375" t="s">
        <v>29</v>
      </c>
    </row>
    <row r="376" spans="1:10" x14ac:dyDescent="0.3">
      <c r="A376" t="s">
        <v>328</v>
      </c>
      <c r="B376" s="2">
        <v>32</v>
      </c>
      <c r="C376" s="2">
        <v>4</v>
      </c>
      <c r="D376" s="2">
        <v>135</v>
      </c>
      <c r="E376" s="2">
        <v>84</v>
      </c>
      <c r="F376" s="2">
        <v>2295</v>
      </c>
      <c r="G376" s="8">
        <f t="shared" si="5"/>
        <v>3.6601307189542485E-2</v>
      </c>
      <c r="H376" s="8">
        <v>11.6</v>
      </c>
      <c r="I376" s="2">
        <v>82</v>
      </c>
      <c r="J376" t="s">
        <v>29</v>
      </c>
    </row>
    <row r="377" spans="1:10" x14ac:dyDescent="0.3">
      <c r="A377" t="s">
        <v>329</v>
      </c>
      <c r="B377" s="2">
        <v>26</v>
      </c>
      <c r="C377" s="2">
        <v>4</v>
      </c>
      <c r="D377" s="2">
        <v>156</v>
      </c>
      <c r="E377" s="2">
        <v>92</v>
      </c>
      <c r="F377" s="2">
        <v>2585</v>
      </c>
      <c r="G377" s="8">
        <f t="shared" si="5"/>
        <v>3.5589941972920695E-2</v>
      </c>
      <c r="H377" s="8">
        <v>14.5</v>
      </c>
      <c r="I377" s="2">
        <v>82</v>
      </c>
      <c r="J377" t="s">
        <v>29</v>
      </c>
    </row>
    <row r="378" spans="1:10" x14ac:dyDescent="0.3">
      <c r="A378" t="s">
        <v>330</v>
      </c>
      <c r="B378" s="2">
        <v>36</v>
      </c>
      <c r="C378" s="2">
        <v>4</v>
      </c>
      <c r="D378" s="2">
        <v>135</v>
      </c>
      <c r="E378" s="2">
        <v>84</v>
      </c>
      <c r="F378" s="2">
        <v>2370</v>
      </c>
      <c r="G378" s="8">
        <f t="shared" si="5"/>
        <v>3.5443037974683546E-2</v>
      </c>
      <c r="H378" s="2">
        <v>13</v>
      </c>
      <c r="I378" s="2">
        <v>82</v>
      </c>
      <c r="J378" t="s">
        <v>29</v>
      </c>
    </row>
    <row r="379" spans="1:10" x14ac:dyDescent="0.3">
      <c r="A379" t="s">
        <v>331</v>
      </c>
      <c r="B379" s="2">
        <v>28</v>
      </c>
      <c r="C379" s="2">
        <v>4</v>
      </c>
      <c r="D379" s="2">
        <v>112</v>
      </c>
      <c r="E379" s="2">
        <v>88</v>
      </c>
      <c r="F379" s="2">
        <v>2605</v>
      </c>
      <c r="G379" s="8">
        <f t="shared" si="5"/>
        <v>3.3781190019193857E-2</v>
      </c>
      <c r="H379" s="8">
        <v>19.600000000000001</v>
      </c>
      <c r="I379" s="2">
        <v>82</v>
      </c>
      <c r="J379" t="s">
        <v>29</v>
      </c>
    </row>
    <row r="380" spans="1:10" x14ac:dyDescent="0.3">
      <c r="A380" t="s">
        <v>332</v>
      </c>
      <c r="B380" s="2">
        <v>27</v>
      </c>
      <c r="C380" s="2">
        <v>4</v>
      </c>
      <c r="D380" s="2">
        <v>112</v>
      </c>
      <c r="E380" s="2">
        <v>88</v>
      </c>
      <c r="F380" s="2">
        <v>2640</v>
      </c>
      <c r="G380" s="8">
        <f t="shared" si="5"/>
        <v>3.3333333333333333E-2</v>
      </c>
      <c r="H380" s="8">
        <v>18.600000000000001</v>
      </c>
      <c r="I380" s="2">
        <v>82</v>
      </c>
      <c r="J380" t="s">
        <v>29</v>
      </c>
    </row>
    <row r="381" spans="1:10" x14ac:dyDescent="0.3">
      <c r="A381" t="s">
        <v>333</v>
      </c>
      <c r="B381" s="2">
        <v>29</v>
      </c>
      <c r="C381" s="2">
        <v>4</v>
      </c>
      <c r="D381" s="2">
        <v>135</v>
      </c>
      <c r="E381" s="2">
        <v>84</v>
      </c>
      <c r="F381" s="2">
        <v>2525</v>
      </c>
      <c r="G381" s="8">
        <f t="shared" ref="G381:G393" si="6">IFERROR(E381/F381, "")</f>
        <v>3.3267326732673269E-2</v>
      </c>
      <c r="H381" s="2">
        <v>16</v>
      </c>
      <c r="I381" s="2">
        <v>82</v>
      </c>
      <c r="J381" t="s">
        <v>29</v>
      </c>
    </row>
    <row r="382" spans="1:10" x14ac:dyDescent="0.3">
      <c r="A382" t="s">
        <v>334</v>
      </c>
      <c r="B382" s="2">
        <v>31</v>
      </c>
      <c r="C382" s="2">
        <v>4</v>
      </c>
      <c r="D382" s="2">
        <v>112</v>
      </c>
      <c r="E382" s="2">
        <v>85</v>
      </c>
      <c r="F382" s="2">
        <v>2575</v>
      </c>
      <c r="G382" s="8">
        <f t="shared" si="6"/>
        <v>3.3009708737864081E-2</v>
      </c>
      <c r="H382" s="8">
        <v>16.2</v>
      </c>
      <c r="I382" s="2">
        <v>82</v>
      </c>
      <c r="J382" t="s">
        <v>29</v>
      </c>
    </row>
    <row r="383" spans="1:10" x14ac:dyDescent="0.3">
      <c r="A383" t="s">
        <v>335</v>
      </c>
      <c r="B383" s="2">
        <v>36</v>
      </c>
      <c r="C383" s="2">
        <v>4</v>
      </c>
      <c r="D383" s="2">
        <v>98</v>
      </c>
      <c r="E383" s="2">
        <v>70</v>
      </c>
      <c r="F383" s="2">
        <v>2125</v>
      </c>
      <c r="G383" s="8">
        <f t="shared" si="6"/>
        <v>3.2941176470588238E-2</v>
      </c>
      <c r="H383" s="8">
        <v>17.3</v>
      </c>
      <c r="I383" s="2">
        <v>82</v>
      </c>
      <c r="J383" t="s">
        <v>29</v>
      </c>
    </row>
    <row r="384" spans="1:10" x14ac:dyDescent="0.3">
      <c r="A384" t="s">
        <v>298</v>
      </c>
      <c r="B384" s="2">
        <v>27</v>
      </c>
      <c r="C384" s="2">
        <v>4</v>
      </c>
      <c r="D384" s="2">
        <v>151</v>
      </c>
      <c r="E384" s="2">
        <v>90</v>
      </c>
      <c r="F384" s="2">
        <v>2735</v>
      </c>
      <c r="G384" s="8">
        <f t="shared" si="6"/>
        <v>3.2906764168190127E-2</v>
      </c>
      <c r="H384" s="2">
        <v>18</v>
      </c>
      <c r="I384" s="2">
        <v>82</v>
      </c>
      <c r="J384" t="s">
        <v>29</v>
      </c>
    </row>
    <row r="385" spans="1:10" x14ac:dyDescent="0.3">
      <c r="A385" t="s">
        <v>336</v>
      </c>
      <c r="B385" s="2">
        <v>24</v>
      </c>
      <c r="C385" s="2">
        <v>4</v>
      </c>
      <c r="D385" s="2">
        <v>140</v>
      </c>
      <c r="E385" s="2">
        <v>92</v>
      </c>
      <c r="F385" s="2">
        <v>2865</v>
      </c>
      <c r="G385" s="8">
        <f t="shared" si="6"/>
        <v>3.2111692844677138E-2</v>
      </c>
      <c r="H385" s="8">
        <v>16.399999999999999</v>
      </c>
      <c r="I385" s="2">
        <v>82</v>
      </c>
      <c r="J385" t="s">
        <v>29</v>
      </c>
    </row>
    <row r="386" spans="1:10" x14ac:dyDescent="0.3">
      <c r="A386" t="s">
        <v>337</v>
      </c>
      <c r="B386" s="2">
        <v>27</v>
      </c>
      <c r="C386" s="2">
        <v>4</v>
      </c>
      <c r="D386" s="2">
        <v>140</v>
      </c>
      <c r="E386" s="2">
        <v>86</v>
      </c>
      <c r="F386" s="2">
        <v>2790</v>
      </c>
      <c r="G386" s="8">
        <f t="shared" si="6"/>
        <v>3.0824372759856632E-2</v>
      </c>
      <c r="H386" s="8">
        <v>15.6</v>
      </c>
      <c r="I386" s="2">
        <v>82</v>
      </c>
      <c r="J386" t="s">
        <v>29</v>
      </c>
    </row>
    <row r="387" spans="1:10" x14ac:dyDescent="0.3">
      <c r="A387" t="s">
        <v>338</v>
      </c>
      <c r="B387" s="2">
        <v>27</v>
      </c>
      <c r="C387" s="2">
        <v>4</v>
      </c>
      <c r="D387" s="2">
        <v>151</v>
      </c>
      <c r="E387" s="2">
        <v>90</v>
      </c>
      <c r="F387" s="2">
        <v>2950</v>
      </c>
      <c r="G387" s="8">
        <f t="shared" si="6"/>
        <v>3.0508474576271188E-2</v>
      </c>
      <c r="H387" s="8">
        <v>17.3</v>
      </c>
      <c r="I387" s="2">
        <v>82</v>
      </c>
      <c r="J387" t="s">
        <v>29</v>
      </c>
    </row>
    <row r="388" spans="1:10" x14ac:dyDescent="0.3">
      <c r="A388" t="s">
        <v>339</v>
      </c>
      <c r="B388" s="2">
        <v>31</v>
      </c>
      <c r="C388" s="2">
        <v>4</v>
      </c>
      <c r="D388" s="2">
        <v>119</v>
      </c>
      <c r="E388" s="2">
        <v>82</v>
      </c>
      <c r="F388" s="2">
        <v>2720</v>
      </c>
      <c r="G388" s="8">
        <f t="shared" si="6"/>
        <v>3.0147058823529412E-2</v>
      </c>
      <c r="H388" s="8">
        <v>19.399999999999999</v>
      </c>
      <c r="I388" s="2">
        <v>82</v>
      </c>
      <c r="J388" t="s">
        <v>29</v>
      </c>
    </row>
    <row r="389" spans="1:10" x14ac:dyDescent="0.3">
      <c r="A389" t="s">
        <v>340</v>
      </c>
      <c r="B389" s="2">
        <v>28</v>
      </c>
      <c r="C389" s="2">
        <v>4</v>
      </c>
      <c r="D389" s="2">
        <v>120</v>
      </c>
      <c r="E389" s="2">
        <v>79</v>
      </c>
      <c r="F389" s="2">
        <v>2625</v>
      </c>
      <c r="G389" s="8">
        <f t="shared" si="6"/>
        <v>3.0095238095238095E-2</v>
      </c>
      <c r="H389" s="8">
        <v>18.600000000000001</v>
      </c>
      <c r="I389" s="2">
        <v>82</v>
      </c>
      <c r="J389" t="s">
        <v>29</v>
      </c>
    </row>
    <row r="390" spans="1:10" x14ac:dyDescent="0.3">
      <c r="A390" t="s">
        <v>341</v>
      </c>
      <c r="B390" s="2">
        <v>38</v>
      </c>
      <c r="C390" s="2">
        <v>4</v>
      </c>
      <c r="D390" s="2">
        <v>105</v>
      </c>
      <c r="E390" s="2">
        <v>63</v>
      </c>
      <c r="F390" s="2">
        <v>2125</v>
      </c>
      <c r="G390" s="8">
        <f t="shared" si="6"/>
        <v>2.9647058823529412E-2</v>
      </c>
      <c r="H390" s="8">
        <v>14.7</v>
      </c>
      <c r="I390" s="2">
        <v>82</v>
      </c>
      <c r="J390" t="s">
        <v>29</v>
      </c>
    </row>
    <row r="391" spans="1:10" x14ac:dyDescent="0.3">
      <c r="A391" t="s">
        <v>343</v>
      </c>
      <c r="B391" s="2">
        <v>22</v>
      </c>
      <c r="C391" s="2">
        <v>6</v>
      </c>
      <c r="D391" s="2">
        <v>232</v>
      </c>
      <c r="E391" s="2">
        <v>112</v>
      </c>
      <c r="F391" s="2">
        <v>2835</v>
      </c>
      <c r="G391" s="8">
        <f t="shared" si="6"/>
        <v>3.9506172839506172E-2</v>
      </c>
      <c r="H391" s="8">
        <v>14.7</v>
      </c>
      <c r="I391" s="2">
        <v>82</v>
      </c>
      <c r="J391" t="s">
        <v>29</v>
      </c>
    </row>
    <row r="392" spans="1:10" x14ac:dyDescent="0.3">
      <c r="A392" t="s">
        <v>344</v>
      </c>
      <c r="B392" s="2">
        <v>25</v>
      </c>
      <c r="C392" s="2">
        <v>6</v>
      </c>
      <c r="D392" s="2">
        <v>181</v>
      </c>
      <c r="E392" s="2">
        <v>110</v>
      </c>
      <c r="F392" s="2">
        <v>2945</v>
      </c>
      <c r="G392" s="8">
        <f t="shared" si="6"/>
        <v>3.7351443123938878E-2</v>
      </c>
      <c r="H392" s="8">
        <v>16.399999999999999</v>
      </c>
      <c r="I392" s="2">
        <v>82</v>
      </c>
      <c r="J392" t="s">
        <v>29</v>
      </c>
    </row>
    <row r="393" spans="1:10" x14ac:dyDescent="0.3">
      <c r="A393" t="s">
        <v>345</v>
      </c>
      <c r="B393" s="2">
        <v>38</v>
      </c>
      <c r="C393" s="2">
        <v>6</v>
      </c>
      <c r="D393" s="2">
        <v>262</v>
      </c>
      <c r="E393" s="2">
        <v>85</v>
      </c>
      <c r="F393" s="2">
        <v>3015</v>
      </c>
      <c r="G393" s="8">
        <f t="shared" si="6"/>
        <v>2.8192371475953566E-2</v>
      </c>
      <c r="H393" s="2">
        <v>17</v>
      </c>
      <c r="I393" s="2">
        <v>82</v>
      </c>
      <c r="J393" t="s">
        <v>29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B1:AF45"/>
  <sheetViews>
    <sheetView workbookViewId="0"/>
  </sheetViews>
  <sheetFormatPr defaultRowHeight="14.4" x14ac:dyDescent="0.3"/>
  <cols>
    <col min="1" max="1" width="20.88671875" bestFit="1" customWidth="1"/>
    <col min="2" max="2" width="12.5546875" style="3" bestFit="1" customWidth="1"/>
    <col min="3" max="3" width="14.44140625" style="4" bestFit="1" customWidth="1"/>
    <col min="4" max="4" width="14.44140625" bestFit="1" customWidth="1"/>
    <col min="5" max="5" width="12.5546875" bestFit="1" customWidth="1"/>
    <col min="6" max="7" width="13.6640625" bestFit="1" customWidth="1"/>
    <col min="8" max="8" width="12.5546875" bestFit="1" customWidth="1"/>
    <col min="9" max="9" width="13.6640625" style="5" bestFit="1" customWidth="1"/>
    <col min="10" max="10" width="13.6640625" bestFit="1" customWidth="1"/>
    <col min="11" max="11" width="12.5546875" style="6" bestFit="1" customWidth="1"/>
    <col min="12" max="12" width="20.6640625" style="5" bestFit="1" customWidth="1"/>
    <col min="13" max="20" width="15.5546875" bestFit="1" customWidth="1"/>
    <col min="21" max="21" width="12.5546875" bestFit="1" customWidth="1"/>
    <col min="22" max="22" width="13.6640625" style="6" bestFit="1" customWidth="1"/>
    <col min="23" max="30" width="15.5546875" bestFit="1" customWidth="1"/>
    <col min="31" max="31" width="12.5546875" style="6" bestFit="1" customWidth="1"/>
    <col min="32" max="32" width="13.6640625" style="6" bestFit="1" customWidth="1"/>
  </cols>
  <sheetData>
    <row r="1" spans="2:32" ht="18.75" customHeight="1" x14ac:dyDescent="0.3">
      <c r="B1" s="3" t="s">
        <v>19</v>
      </c>
      <c r="K1" s="6" t="s">
        <v>20</v>
      </c>
      <c r="U1" t="s">
        <v>21</v>
      </c>
      <c r="AE1" s="6" t="s">
        <v>22</v>
      </c>
    </row>
    <row r="2" spans="2:32" ht="18.75" customHeight="1" x14ac:dyDescent="0.3">
      <c r="B2" s="3" t="s">
        <v>23</v>
      </c>
      <c r="C2" s="4" t="s">
        <v>24</v>
      </c>
      <c r="K2" s="6" t="s">
        <v>23</v>
      </c>
      <c r="L2" s="5" t="s">
        <v>25</v>
      </c>
      <c r="U2" t="s">
        <v>23</v>
      </c>
      <c r="V2" s="6" t="s">
        <v>26</v>
      </c>
      <c r="AE2" s="6" t="s">
        <v>23</v>
      </c>
      <c r="AF2" s="6" t="s">
        <v>26</v>
      </c>
    </row>
    <row r="3" spans="2:32" ht="18.75" customHeight="1" x14ac:dyDescent="0.3">
      <c r="B3" s="7" t="s">
        <v>27</v>
      </c>
      <c r="C3" s="8">
        <v>27.891428571428573</v>
      </c>
      <c r="K3" s="7">
        <v>3</v>
      </c>
      <c r="L3" s="8">
        <v>99.25</v>
      </c>
      <c r="U3" s="9" t="s">
        <v>27</v>
      </c>
      <c r="V3" s="2">
        <v>70</v>
      </c>
      <c r="AE3" s="7" t="s">
        <v>27</v>
      </c>
      <c r="AF3" s="2">
        <v>70</v>
      </c>
    </row>
    <row r="4" spans="2:32" ht="18.75" customHeight="1" x14ac:dyDescent="0.3">
      <c r="B4" s="7">
        <v>70</v>
      </c>
      <c r="C4" s="8">
        <v>25.2</v>
      </c>
      <c r="K4" s="7">
        <v>4</v>
      </c>
      <c r="L4" s="8">
        <v>78.281407035175874</v>
      </c>
      <c r="U4" s="9" t="s">
        <v>28</v>
      </c>
      <c r="V4" s="2">
        <v>79</v>
      </c>
      <c r="AE4" s="7">
        <v>4</v>
      </c>
      <c r="AF4" s="2">
        <v>63</v>
      </c>
    </row>
    <row r="5" spans="2:32" ht="18.75" customHeight="1" x14ac:dyDescent="0.3">
      <c r="B5" s="7">
        <v>71</v>
      </c>
      <c r="C5" s="8">
        <v>28.75</v>
      </c>
      <c r="K5" s="7">
        <v>5</v>
      </c>
      <c r="L5" s="8">
        <v>82.333333333333329</v>
      </c>
      <c r="U5" s="9" t="s">
        <v>29</v>
      </c>
      <c r="V5" s="2">
        <v>249</v>
      </c>
      <c r="AE5" s="7">
        <v>5</v>
      </c>
      <c r="AF5" s="2">
        <v>3</v>
      </c>
    </row>
    <row r="6" spans="2:32" ht="18.75" customHeight="1" x14ac:dyDescent="0.3">
      <c r="B6" s="7">
        <v>72</v>
      </c>
      <c r="C6" s="2">
        <v>22</v>
      </c>
      <c r="K6" s="7">
        <v>6</v>
      </c>
      <c r="L6" s="8">
        <v>101.50602409638554</v>
      </c>
      <c r="U6" s="9" t="s">
        <v>30</v>
      </c>
      <c r="V6" s="2">
        <v>398</v>
      </c>
      <c r="AE6" s="7">
        <v>6</v>
      </c>
      <c r="AF6" s="2">
        <v>4</v>
      </c>
    </row>
    <row r="7" spans="2:32" ht="18.75" customHeight="1" x14ac:dyDescent="0.3">
      <c r="B7" s="7">
        <v>73</v>
      </c>
      <c r="C7" s="2">
        <v>24</v>
      </c>
      <c r="K7" s="7">
        <v>8</v>
      </c>
      <c r="L7" s="8">
        <v>158.30097087378641</v>
      </c>
      <c r="AE7" s="7" t="s">
        <v>28</v>
      </c>
      <c r="AF7" s="2">
        <v>79</v>
      </c>
    </row>
    <row r="8" spans="2:32" ht="18.75" customHeight="1" x14ac:dyDescent="0.3">
      <c r="B8" s="7">
        <v>74</v>
      </c>
      <c r="C8" s="2">
        <v>27</v>
      </c>
      <c r="K8" s="7" t="s">
        <v>30</v>
      </c>
      <c r="L8" s="8">
        <v>104.46938775510205</v>
      </c>
      <c r="AE8" s="7">
        <v>3</v>
      </c>
      <c r="AF8" s="2">
        <v>4</v>
      </c>
    </row>
    <row r="9" spans="2:32" ht="18.75" customHeight="1" x14ac:dyDescent="0.3">
      <c r="B9" s="7">
        <v>75</v>
      </c>
      <c r="C9" s="8">
        <v>24.5</v>
      </c>
      <c r="AE9" s="7">
        <v>4</v>
      </c>
      <c r="AF9" s="2">
        <v>69</v>
      </c>
    </row>
    <row r="10" spans="2:32" ht="18.75" customHeight="1" x14ac:dyDescent="0.3">
      <c r="B10" s="7">
        <v>76</v>
      </c>
      <c r="C10" s="8">
        <v>24.25</v>
      </c>
      <c r="AE10" s="7">
        <v>6</v>
      </c>
      <c r="AF10" s="2">
        <v>6</v>
      </c>
    </row>
    <row r="11" spans="2:32" ht="18.75" customHeight="1" x14ac:dyDescent="0.3">
      <c r="B11" s="7">
        <v>77</v>
      </c>
      <c r="C11" s="8">
        <v>29.25</v>
      </c>
      <c r="AE11" s="7" t="s">
        <v>29</v>
      </c>
      <c r="AF11" s="2">
        <v>249</v>
      </c>
    </row>
    <row r="12" spans="2:32" ht="18.75" customHeight="1" x14ac:dyDescent="0.3">
      <c r="B12" s="7">
        <v>78</v>
      </c>
      <c r="C12" s="8">
        <v>24.95</v>
      </c>
      <c r="AE12" s="7">
        <v>4</v>
      </c>
      <c r="AF12" s="2">
        <v>72</v>
      </c>
    </row>
    <row r="13" spans="2:32" ht="18.75" customHeight="1" x14ac:dyDescent="0.3">
      <c r="B13" s="7">
        <v>79</v>
      </c>
      <c r="C13" s="8">
        <v>30.449999999999996</v>
      </c>
      <c r="AE13" s="7">
        <v>6</v>
      </c>
      <c r="AF13" s="2">
        <v>74</v>
      </c>
    </row>
    <row r="14" spans="2:32" ht="18.75" customHeight="1" x14ac:dyDescent="0.3">
      <c r="B14" s="7">
        <v>80</v>
      </c>
      <c r="C14" s="8">
        <v>37.288888888888877</v>
      </c>
      <c r="AE14" s="7">
        <v>8</v>
      </c>
      <c r="AF14" s="2">
        <v>103</v>
      </c>
    </row>
    <row r="15" spans="2:32" ht="18.75" customHeight="1" x14ac:dyDescent="0.3">
      <c r="B15" s="7">
        <v>81</v>
      </c>
      <c r="C15" s="8">
        <v>31.574999999999999</v>
      </c>
      <c r="AE15" s="7" t="s">
        <v>30</v>
      </c>
      <c r="AF15" s="2">
        <v>398</v>
      </c>
    </row>
    <row r="16" spans="2:32" ht="18.75" customHeight="1" x14ac:dyDescent="0.3">
      <c r="B16" s="7">
        <v>82</v>
      </c>
      <c r="C16" s="2">
        <v>40</v>
      </c>
    </row>
    <row r="17" spans="2:9" ht="18.75" customHeight="1" x14ac:dyDescent="0.3">
      <c r="B17" s="7" t="s">
        <v>28</v>
      </c>
      <c r="C17" s="8">
        <v>30.450632911392397</v>
      </c>
    </row>
    <row r="18" spans="2:9" ht="18.75" customHeight="1" x14ac:dyDescent="0.3">
      <c r="B18" s="7">
        <v>70</v>
      </c>
      <c r="C18" s="8">
        <v>25.5</v>
      </c>
    </row>
    <row r="19" spans="2:9" ht="18.75" customHeight="1" x14ac:dyDescent="0.3">
      <c r="B19" s="7">
        <v>71</v>
      </c>
      <c r="C19" s="8">
        <v>29.5</v>
      </c>
    </row>
    <row r="20" spans="2:9" ht="18.75" customHeight="1" x14ac:dyDescent="0.3">
      <c r="B20" s="7">
        <v>72</v>
      </c>
      <c r="C20" s="8">
        <v>24.2</v>
      </c>
    </row>
    <row r="21" spans="2:9" ht="18.75" customHeight="1" x14ac:dyDescent="0.3">
      <c r="B21" s="7">
        <v>73</v>
      </c>
      <c r="C21" s="2">
        <v>20</v>
      </c>
    </row>
    <row r="22" spans="2:9" ht="18.75" customHeight="1" x14ac:dyDescent="0.3">
      <c r="B22" s="7">
        <v>74</v>
      </c>
      <c r="C22" s="8">
        <v>29.333333333333332</v>
      </c>
    </row>
    <row r="23" spans="2:9" ht="18.75" customHeight="1" x14ac:dyDescent="0.3">
      <c r="B23" s="7">
        <v>75</v>
      </c>
      <c r="C23" s="8">
        <v>27.5</v>
      </c>
    </row>
    <row r="24" spans="2:9" ht="18.75" customHeight="1" x14ac:dyDescent="0.3">
      <c r="B24" s="7">
        <v>76</v>
      </c>
      <c r="C24" s="2">
        <v>28</v>
      </c>
    </row>
    <row r="25" spans="2:9" ht="18.75" customHeight="1" x14ac:dyDescent="0.3">
      <c r="B25" s="7">
        <v>77</v>
      </c>
      <c r="C25" s="8">
        <v>27.416666666666668</v>
      </c>
    </row>
    <row r="26" spans="2:9" ht="18.75" customHeight="1" x14ac:dyDescent="0.3">
      <c r="B26" s="7">
        <v>78</v>
      </c>
      <c r="C26" s="8">
        <v>29.6875</v>
      </c>
    </row>
    <row r="27" spans="2:9" ht="18.75" customHeight="1" x14ac:dyDescent="0.3">
      <c r="B27" s="7">
        <v>79</v>
      </c>
      <c r="C27" s="8">
        <v>32.950000000000003</v>
      </c>
    </row>
    <row r="28" spans="2:9" ht="18.75" customHeight="1" x14ac:dyDescent="0.3">
      <c r="B28" s="7">
        <v>80</v>
      </c>
      <c r="C28" s="8">
        <v>35.400000000000006</v>
      </c>
    </row>
    <row r="29" spans="2:9" ht="18.75" customHeight="1" x14ac:dyDescent="0.3">
      <c r="B29" s="7">
        <v>81</v>
      </c>
      <c r="C29" s="8">
        <v>32.958333333333329</v>
      </c>
      <c r="I29" s="5" t="s">
        <v>26</v>
      </c>
    </row>
    <row r="30" spans="2:9" ht="18.75" customHeight="1" x14ac:dyDescent="0.3">
      <c r="B30" s="7">
        <v>82</v>
      </c>
      <c r="C30" s="8">
        <v>34.888888888888886</v>
      </c>
      <c r="I30" s="2">
        <v>398</v>
      </c>
    </row>
    <row r="31" spans="2:9" ht="18.75" customHeight="1" x14ac:dyDescent="0.3">
      <c r="B31" s="7" t="s">
        <v>29</v>
      </c>
      <c r="C31" s="8">
        <v>20.083534136546177</v>
      </c>
    </row>
    <row r="32" spans="2:9" ht="18.75" customHeight="1" x14ac:dyDescent="0.3">
      <c r="B32" s="7">
        <v>70</v>
      </c>
      <c r="C32" s="8">
        <v>15.272727272727273</v>
      </c>
    </row>
    <row r="33" spans="2:9" ht="18.75" customHeight="1" x14ac:dyDescent="0.3">
      <c r="B33" s="7">
        <v>71</v>
      </c>
      <c r="C33" s="8">
        <v>18.100000000000001</v>
      </c>
      <c r="I33" s="5" t="s">
        <v>24</v>
      </c>
    </row>
    <row r="34" spans="2:9" ht="18.75" customHeight="1" x14ac:dyDescent="0.3">
      <c r="B34" s="7">
        <v>72</v>
      </c>
      <c r="C34" s="8">
        <v>16.277777777777779</v>
      </c>
      <c r="I34" s="8">
        <v>23.514572864321607</v>
      </c>
    </row>
    <row r="35" spans="2:9" ht="18.75" customHeight="1" x14ac:dyDescent="0.3">
      <c r="B35" s="7">
        <v>73</v>
      </c>
      <c r="C35" s="8">
        <v>15.03448275862069</v>
      </c>
    </row>
    <row r="36" spans="2:9" ht="18.75" customHeight="1" x14ac:dyDescent="0.3">
      <c r="B36" s="7">
        <v>74</v>
      </c>
      <c r="C36" s="8">
        <v>18.333333333333332</v>
      </c>
      <c r="I36" s="5" t="s">
        <v>25</v>
      </c>
    </row>
    <row r="37" spans="2:9" ht="18.75" customHeight="1" x14ac:dyDescent="0.3">
      <c r="B37" s="7">
        <v>75</v>
      </c>
      <c r="C37" s="8">
        <v>17.55</v>
      </c>
      <c r="I37" s="8">
        <v>104.46938775510205</v>
      </c>
    </row>
    <row r="38" spans="2:9" ht="18.75" customHeight="1" x14ac:dyDescent="0.3">
      <c r="B38" s="7">
        <v>76</v>
      </c>
      <c r="C38" s="8">
        <v>19.431818181818183</v>
      </c>
    </row>
    <row r="39" spans="2:9" ht="18.75" customHeight="1" x14ac:dyDescent="0.3">
      <c r="B39" s="7">
        <v>77</v>
      </c>
      <c r="C39" s="8">
        <v>20.722222222222221</v>
      </c>
    </row>
    <row r="40" spans="2:9" ht="18.75" customHeight="1" x14ac:dyDescent="0.3">
      <c r="B40" s="7">
        <v>78</v>
      </c>
      <c r="C40" s="8">
        <v>21.772727272727266</v>
      </c>
    </row>
    <row r="41" spans="2:9" ht="18.75" customHeight="1" x14ac:dyDescent="0.3">
      <c r="B41" s="7">
        <v>79</v>
      </c>
      <c r="C41" s="8">
        <v>23.478260869565219</v>
      </c>
    </row>
    <row r="42" spans="2:9" ht="18.75" customHeight="1" x14ac:dyDescent="0.3">
      <c r="B42" s="7">
        <v>80</v>
      </c>
      <c r="C42" s="8">
        <v>25.914285714285715</v>
      </c>
    </row>
    <row r="43" spans="2:9" ht="18.75" customHeight="1" x14ac:dyDescent="0.3">
      <c r="B43" s="7">
        <v>81</v>
      </c>
      <c r="C43" s="8">
        <v>27.530769230769234</v>
      </c>
    </row>
    <row r="44" spans="2:9" ht="18.75" customHeight="1" x14ac:dyDescent="0.3">
      <c r="B44" s="7">
        <v>82</v>
      </c>
      <c r="C44" s="8">
        <v>29.45</v>
      </c>
    </row>
    <row r="45" spans="2:9" ht="18.75" customHeight="1" x14ac:dyDescent="0.3">
      <c r="B45" s="7" t="s">
        <v>30</v>
      </c>
      <c r="C45" s="8">
        <v>23.514572864321607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D11"/>
  <sheetViews>
    <sheetView workbookViewId="0"/>
  </sheetViews>
  <sheetFormatPr defaultRowHeight="14.4" x14ac:dyDescent="0.3"/>
  <cols>
    <col min="1" max="1" width="9.5546875" style="1" bestFit="1" customWidth="1"/>
    <col min="2" max="2" width="46.33203125" bestFit="1" customWidth="1"/>
    <col min="3" max="3" width="9.6640625" bestFit="1" customWidth="1"/>
    <col min="4" max="4" width="12.44140625" bestFit="1" customWidth="1"/>
  </cols>
  <sheetData>
    <row r="1" spans="1:4" ht="18.75" customHeight="1" x14ac:dyDescent="0.3">
      <c r="A1" s="1" t="s">
        <v>0</v>
      </c>
      <c r="B1" t="s">
        <v>1</v>
      </c>
      <c r="C1" t="s">
        <v>2</v>
      </c>
      <c r="D1" t="s">
        <v>3</v>
      </c>
    </row>
    <row r="2" spans="1:4" ht="18.75" customHeight="1" x14ac:dyDescent="0.3">
      <c r="A2" s="2">
        <v>1</v>
      </c>
      <c r="B2" t="s">
        <v>4</v>
      </c>
      <c r="C2" t="s">
        <v>5</v>
      </c>
      <c r="D2" t="s">
        <v>6</v>
      </c>
    </row>
    <row r="3" spans="1:4" ht="18.75" customHeight="1" x14ac:dyDescent="0.3">
      <c r="A3" s="2">
        <v>2</v>
      </c>
      <c r="B3" t="s">
        <v>7</v>
      </c>
      <c r="C3" t="s">
        <v>5</v>
      </c>
      <c r="D3" t="s">
        <v>6</v>
      </c>
    </row>
    <row r="4" spans="1:4" ht="18.75" customHeight="1" x14ac:dyDescent="0.3">
      <c r="A4" s="2">
        <v>3</v>
      </c>
      <c r="B4" t="s">
        <v>8</v>
      </c>
      <c r="C4" t="s">
        <v>5</v>
      </c>
      <c r="D4" t="s">
        <v>6</v>
      </c>
    </row>
    <row r="5" spans="1:4" ht="18.75" customHeight="1" x14ac:dyDescent="0.3">
      <c r="A5" s="2">
        <v>4</v>
      </c>
      <c r="B5" t="s">
        <v>9</v>
      </c>
      <c r="C5" t="s">
        <v>10</v>
      </c>
      <c r="D5" t="s">
        <v>6</v>
      </c>
    </row>
    <row r="6" spans="1:4" ht="18.75" customHeight="1" x14ac:dyDescent="0.3">
      <c r="A6" s="2">
        <v>5</v>
      </c>
      <c r="B6" t="s">
        <v>11</v>
      </c>
      <c r="C6" t="s">
        <v>10</v>
      </c>
      <c r="D6" t="s">
        <v>6</v>
      </c>
    </row>
    <row r="7" spans="1:4" ht="18.75" customHeight="1" x14ac:dyDescent="0.3">
      <c r="A7" s="2">
        <v>6</v>
      </c>
      <c r="B7" t="s">
        <v>12</v>
      </c>
      <c r="C7" t="s">
        <v>10</v>
      </c>
      <c r="D7" t="s">
        <v>6</v>
      </c>
    </row>
    <row r="8" spans="1:4" ht="18.75" customHeight="1" x14ac:dyDescent="0.3">
      <c r="A8" s="2">
        <v>7</v>
      </c>
      <c r="B8" t="s">
        <v>13</v>
      </c>
      <c r="C8" t="s">
        <v>14</v>
      </c>
      <c r="D8" t="s">
        <v>6</v>
      </c>
    </row>
    <row r="9" spans="1:4" ht="18.75" customHeight="1" x14ac:dyDescent="0.3">
      <c r="A9" s="2">
        <v>8</v>
      </c>
      <c r="B9" t="s">
        <v>15</v>
      </c>
      <c r="C9" t="s">
        <v>14</v>
      </c>
      <c r="D9" t="s">
        <v>6</v>
      </c>
    </row>
    <row r="10" spans="1:4" ht="18.75" customHeight="1" x14ac:dyDescent="0.3">
      <c r="A10" s="2">
        <v>9</v>
      </c>
      <c r="B10" t="s">
        <v>16</v>
      </c>
      <c r="C10" t="s">
        <v>14</v>
      </c>
      <c r="D10" t="s">
        <v>6</v>
      </c>
    </row>
    <row r="11" spans="1:4" ht="18.75" customHeight="1" x14ac:dyDescent="0.3">
      <c r="A11" s="2">
        <v>10</v>
      </c>
      <c r="B11" t="s">
        <v>17</v>
      </c>
      <c r="C11" t="s">
        <v>14</v>
      </c>
      <c r="D1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5</vt:i4>
      </vt:variant>
    </vt:vector>
  </HeadingPairs>
  <TitlesOfParts>
    <vt:vector size="17" baseType="lpstr">
      <vt:lpstr>Automobile</vt:lpstr>
      <vt:lpstr>Outliers in MPG</vt:lpstr>
      <vt:lpstr>MPG X Displacement</vt:lpstr>
      <vt:lpstr>Pivot table for MPG Statistics</vt:lpstr>
      <vt:lpstr>Normalized Accelerations</vt:lpstr>
      <vt:lpstr>Performance Tiers</vt:lpstr>
      <vt:lpstr>Missing Horsepower</vt:lpstr>
      <vt:lpstr>Regression Statistics</vt:lpstr>
      <vt:lpstr>Table Data</vt:lpstr>
      <vt:lpstr>Fuel Efficiency Trends</vt:lpstr>
      <vt:lpstr>Dashboard</vt:lpstr>
      <vt:lpstr>TODOS</vt:lpstr>
      <vt:lpstr>Automobile!_FilterDatabase</vt:lpstr>
      <vt:lpstr>'Missing Horsepower'!_FilterDatabase</vt:lpstr>
      <vt:lpstr>horsepower</vt:lpstr>
      <vt:lpstr>mpg</vt:lpstr>
      <vt:lpstr>namecount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Vito Leonelli</cp:lastModifiedBy>
  <dcterms:created xsi:type="dcterms:W3CDTF">2025-11-13T20:43:32Z</dcterms:created>
  <dcterms:modified xsi:type="dcterms:W3CDTF">2025-11-13T23:52:23Z</dcterms:modified>
</cp:coreProperties>
</file>