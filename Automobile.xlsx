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3.xml"/>
  <Override ContentType="application/vnd.openxmlformats-officedocument.spreadsheetml.table+xml" PartName="/xl/tables/table4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8"/>
  </bookViews>
  <sheets>
    <sheet r:id="rId1" sheetId="1" name="Automobile"/>
    <sheet r:id="rId2" sheetId="2" name="Outliers in MPG"/>
    <sheet r:id="rId3" sheetId="3" name="MPG X Displacement"/>
    <sheet r:id="rId4" sheetId="4" name="Pivot table for MPG Statistics"/>
    <sheet r:id="rId5" sheetId="5" name="Normalized Accelerations"/>
    <sheet r:id="rId6" sheetId="6" name="Performance Tiers"/>
    <sheet r:id="rId7" sheetId="7" name="Missing Horsepower"/>
    <sheet r:id="rId8" sheetId="8" name="Regression Statistics"/>
    <sheet r:id="rId9" sheetId="9" name="Data Table"/>
    <sheet r:id="rId10" sheetId="10" name="Fuel Efficiency Trends"/>
    <sheet r:id="rId11" sheetId="11" name="Dashboard"/>
    <sheet r:id="rId12" sheetId="12" name="TODOS"/>
  </sheets>
  <definedNames>
    <definedName name="_xlnm._FilterDatabase" localSheetId="0">Automobile!$A$1:$J$399</definedName>
    <definedName name="_xlnm._FilterDatabase" localSheetId="6">'Missing Horsepower'!$G$1:$K$7</definedName>
    <definedName name="_xlchart.v1.0">'Outliers in MPG'!$E$2:$L$2</definedName>
    <definedName name="_xlchart.v1.1">'Outliers in MPG'!$E$3:$L$3</definedName>
    <definedName name="_xlchart.v1.10">'Performance Tiers'!$C$1</definedName>
    <definedName name="_xlchart.v1.11">'Performance Tiers'!$C$2:$C$413</definedName>
    <definedName name="_xlchart.v1.12">'Performance Tiers'!$D$1</definedName>
    <definedName name="_xlchart.v1.13">'Performance Tiers'!$D$2:$D$413</definedName>
    <definedName name="_xlchart.v1.2">'Performance Tiers'!$B$1</definedName>
    <definedName name="_xlchart.v1.3">'Performance Tiers'!$B$2:$B$413</definedName>
    <definedName name="_xlchart.v1.4">'Performance Tiers'!$C$1</definedName>
    <definedName name="_xlchart.v1.5">'Performance Tiers'!$C$2:$C$413</definedName>
    <definedName name="_xlchart.v1.6">'Performance Tiers'!$D$1</definedName>
    <definedName name="_xlchart.v1.7">'Performance Tiers'!$D$2:$D$413</definedName>
    <definedName name="_xlchart.v1.8">'Performance Tiers'!$B$1</definedName>
    <definedName name="_xlchart.v1.9">'Performance Tiers'!$B$2:$B$413</definedName>
    <definedName name="horsepower">'Fuel Efficiency Trends'!$I$37</definedName>
    <definedName name="mpg">'Fuel Efficiency Trends'!$I$34</definedName>
    <definedName name="namecount">'Fuel Efficiency Trends'!$I$30</definedName>
    <definedName name="Slicer_cylinders">#N/A</definedName>
    <definedName name="Slicer_model_year">#N/A</definedName>
    <definedName name="Slicer_origin">#N/A</definedName>
  </definedNames>
  <calcPr fullCalcOnLoad="1"/>
</workbook>
</file>

<file path=xl/sharedStrings.xml><?xml version="1.0" encoding="utf-8"?>
<sst xmlns="http://schemas.openxmlformats.org/spreadsheetml/2006/main" count="2694" uniqueCount="464">
  <si>
    <t>number</t>
  </si>
  <si>
    <t>task</t>
  </si>
  <si>
    <t>dificulty</t>
  </si>
  <si>
    <t>Completed</t>
  </si>
  <si>
    <t>Add Power-to-Weight Ratio Column</t>
  </si>
  <si>
    <t>Easy</t>
  </si>
  <si>
    <t>Yes</t>
  </si>
  <si>
    <t>Create a summary table of vehicle counts</t>
  </si>
  <si>
    <t>Identify and visualize Outliers in MPG</t>
  </si>
  <si>
    <t>Analyze MPG VS Engine Size</t>
  </si>
  <si>
    <t>Medium</t>
  </si>
  <si>
    <t>Create a Pivot Table for MPG by Origin and Model Year</t>
  </si>
  <si>
    <t>Normalize acceleration across all vehicles</t>
  </si>
  <si>
    <t>Segment vehicles by performance tier</t>
  </si>
  <si>
    <t>Hard</t>
  </si>
  <si>
    <t>Predict missing Horsepower Values</t>
  </si>
  <si>
    <t>Build a Dashboard showing fuel efficiency trends</t>
  </si>
  <si>
    <t>Build a Machine Learning Model to predict MPG</t>
  </si>
  <si>
    <t>No</t>
  </si>
  <si>
    <t>Average MPG by origin and model year</t>
  </si>
  <si>
    <t>Average horsepower by cylinders</t>
  </si>
  <si>
    <t>Count of vehicles by origin</t>
  </si>
  <si>
    <t xml:space="preserve"> Count of Vehicles by origin and cylinders</t>
  </si>
  <si>
    <t>Row Labels</t>
  </si>
  <si>
    <t>Average of mpg</t>
  </si>
  <si>
    <t>Average of horsepower</t>
  </si>
  <si>
    <t>Count of name</t>
  </si>
  <si>
    <t>europe</t>
  </si>
  <si>
    <t>japan</t>
  </si>
  <si>
    <t>usa</t>
  </si>
  <si>
    <t>Grand Total</t>
  </si>
  <si>
    <t>name</t>
  </si>
  <si>
    <t>cylinders</t>
  </si>
  <si>
    <t>mpg</t>
  </si>
  <si>
    <t>weight</t>
  </si>
  <si>
    <t>displacement</t>
  </si>
  <si>
    <t>horsepower</t>
  </si>
  <si>
    <t>Power-to-Weight</t>
  </si>
  <si>
    <t>acceleration</t>
  </si>
  <si>
    <t>model_year</t>
  </si>
  <si>
    <t>origin</t>
  </si>
  <si>
    <t>bmw 2002</t>
  </si>
  <si>
    <t>saab 99e</t>
  </si>
  <si>
    <t>audi 100 ls</t>
  </si>
  <si>
    <t>peugeot 504</t>
  </si>
  <si>
    <t>volkswagen 1131 deluxe sedan</t>
  </si>
  <si>
    <t>opel 1900</t>
  </si>
  <si>
    <t>fiat 124b</t>
  </si>
  <si>
    <t>peugeot 304</t>
  </si>
  <si>
    <t>volkswagen model 111</t>
  </si>
  <si>
    <t>volvo 145e (sw)</t>
  </si>
  <si>
    <t>renault 12 (sw)</t>
  </si>
  <si>
    <t>volkswagen 411 (sw)</t>
  </si>
  <si>
    <t>peugeot 504 (sw)</t>
  </si>
  <si>
    <t>volkswagen type 3</t>
  </si>
  <si>
    <t>saab 99le</t>
  </si>
  <si>
    <t>fiat 124 sport coupe</t>
  </si>
  <si>
    <t>volvo 144ea</t>
  </si>
  <si>
    <t>audi 100ls</t>
  </si>
  <si>
    <t>opel manta</t>
  </si>
  <si>
    <t>fiat 128</t>
  </si>
  <si>
    <t>volkswagen super beetle</t>
  </si>
  <si>
    <t>audi fox</t>
  </si>
  <si>
    <t>volkswagen dasher</t>
  </si>
  <si>
    <t>fiat x1.9</t>
  </si>
  <si>
    <t>fiat 124 tc</t>
  </si>
  <si>
    <t>volkswagen rabbit</t>
  </si>
  <si>
    <t>volvo 244dl</t>
  </si>
  <si>
    <t>renault 12tl</t>
  </si>
  <si>
    <t>vw rabbit</t>
  </si>
  <si>
    <t>fiat 131</t>
  </si>
  <si>
    <t>volvo 245</t>
  </si>
  <si>
    <t>mercedes-benz 280s</t>
  </si>
  <si>
    <t>bmw 320i</t>
  </si>
  <si>
    <t>volkswagen rabbit custom</t>
  </si>
  <si>
    <t>renault 5 gtl</t>
  </si>
  <si>
    <t>saab 99gle</t>
  </si>
  <si>
    <t>volkswagen scirocco</t>
  </si>
  <si>
    <t>volkswagen rabbit custom diesel</t>
  </si>
  <si>
    <t>audi 5000</t>
  </si>
  <si>
    <t>volvo 264gl</t>
  </si>
  <si>
    <t>peugeot 604sl</t>
  </si>
  <si>
    <t>vw rabbit custom</t>
  </si>
  <si>
    <t>fiat strada custom</t>
  </si>
  <si>
    <t>mercedes benz 300d</t>
  </si>
  <si>
    <t>audi 4000</t>
  </si>
  <si>
    <t>triumph tr7 coupe</t>
  </si>
  <si>
    <t>vokswagen rabbit</t>
  </si>
  <si>
    <t>vw rabbit c (diesel)</t>
  </si>
  <si>
    <t>mercedes-benz 240d</t>
  </si>
  <si>
    <t>vw dasher (diesel)</t>
  </si>
  <si>
    <t>renault lecar deluxe</t>
  </si>
  <si>
    <t>audi 5000s (diesel)</t>
  </si>
  <si>
    <t>volkswagen jetta</t>
  </si>
  <si>
    <t>peugeot 505s turbo diesel</t>
  </si>
  <si>
    <t>renault 18i</t>
  </si>
  <si>
    <t>volvo diesel</t>
  </si>
  <si>
    <t>volkswagen rabbit l</t>
  </si>
  <si>
    <t>vw pickup</t>
  </si>
  <si>
    <t>datsun pl510</t>
  </si>
  <si>
    <t>toyota corona mark ii</t>
  </si>
  <si>
    <t>datsun 1200</t>
  </si>
  <si>
    <t>toyota corona</t>
  </si>
  <si>
    <t>toyota corolla 1200</t>
  </si>
  <si>
    <t>mazda rx2 coupe</t>
  </si>
  <si>
    <t>toyota corolla 1600 (sw)</t>
  </si>
  <si>
    <t>toyota corona hardtop</t>
  </si>
  <si>
    <t>datsun 510 (sw)</t>
  </si>
  <si>
    <t>toyouta corona mark ii (sw)</t>
  </si>
  <si>
    <t>maxda rx3</t>
  </si>
  <si>
    <t>datsun 610</t>
  </si>
  <si>
    <t>toyota carina</t>
  </si>
  <si>
    <t>toyota mark ii</t>
  </si>
  <si>
    <t>honda civic</t>
  </si>
  <si>
    <t>subaru</t>
  </si>
  <si>
    <t>datsun b210</t>
  </si>
  <si>
    <t>datsun 710</t>
  </si>
  <si>
    <t>toyota corolla</t>
  </si>
  <si>
    <t>honda civic cvcc</t>
  </si>
  <si>
    <t>datsun b-210</t>
  </si>
  <si>
    <t>mazda rx-4</t>
  </si>
  <si>
    <t>datsun f-10 hatchback</t>
  </si>
  <si>
    <t>subaru dl</t>
  </si>
  <si>
    <t>honda accord cvcc</t>
  </si>
  <si>
    <t>toyota corolla liftback</t>
  </si>
  <si>
    <t>datsun 810</t>
  </si>
  <si>
    <t>datsun 510</t>
  </si>
  <si>
    <t>datsun 200-sx</t>
  </si>
  <si>
    <t>toyota celica gt liftback</t>
  </si>
  <si>
    <t>datsun b210 gx</t>
  </si>
  <si>
    <t>honda accord lx</t>
  </si>
  <si>
    <t>mazda glc deluxe</t>
  </si>
  <si>
    <t>maxda glc deluxe</t>
  </si>
  <si>
    <t>datsun 210</t>
  </si>
  <si>
    <t>mazda rx-7 gs</t>
  </si>
  <si>
    <t>datsun 510 hatchback</t>
  </si>
  <si>
    <t>honda civic 1500 gl</t>
  </si>
  <si>
    <t>toyota corona liftback</t>
  </si>
  <si>
    <t>datsun 310</t>
  </si>
  <si>
    <t>honda accord</t>
  </si>
  <si>
    <t>mazda glc</t>
  </si>
  <si>
    <t>toyota corolla tercel</t>
  </si>
  <si>
    <t>mazda 626</t>
  </si>
  <si>
    <t>datsun 280-zx</t>
  </si>
  <si>
    <t>datsun 200sx</t>
  </si>
  <si>
    <t>mazda glc 4</t>
  </si>
  <si>
    <t>honda civic 1300</t>
  </si>
  <si>
    <t>honda prelude</t>
  </si>
  <si>
    <t>toyota starlet</t>
  </si>
  <si>
    <t>datsun 210 mpg</t>
  </si>
  <si>
    <t>toyota tercel</t>
  </si>
  <si>
    <t>datsun 810 maxima</t>
  </si>
  <si>
    <t>toyota cressida</t>
  </si>
  <si>
    <t>nissan stanza xe</t>
  </si>
  <si>
    <t>toyota celica gt</t>
  </si>
  <si>
    <t>mazda glc custom</t>
  </si>
  <si>
    <t>honda civic (auto)</t>
  </si>
  <si>
    <t>datsun 310 gx</t>
  </si>
  <si>
    <t>mazda glc custom l</t>
  </si>
  <si>
    <t>amc hornet</t>
  </si>
  <si>
    <t>amc gremlin</t>
  </si>
  <si>
    <t>plymouth duster</t>
  </si>
  <si>
    <t>ford maverick</t>
  </si>
  <si>
    <t>buick estate wagon (sw)</t>
  </si>
  <si>
    <t>pontiac catalina</t>
  </si>
  <si>
    <t>chevrolet impala</t>
  </si>
  <si>
    <t>plymouth fury iii</t>
  </si>
  <si>
    <t>amc ambassador dpl</t>
  </si>
  <si>
    <t>dodge d200</t>
  </si>
  <si>
    <t>dodge challenger se</t>
  </si>
  <si>
    <t>ford f250</t>
  </si>
  <si>
    <t>chevy c20</t>
  </si>
  <si>
    <t>ford galaxie 500</t>
  </si>
  <si>
    <t>buick skylark 320</t>
  </si>
  <si>
    <t>plymouth 'cuda 340</t>
  </si>
  <si>
    <t>amc rebel sst</t>
  </si>
  <si>
    <t>plymouth satellite</t>
  </si>
  <si>
    <t>hi 1200d</t>
  </si>
  <si>
    <t>ford torino</t>
  </si>
  <si>
    <t>chevrolet monte carlo</t>
  </si>
  <si>
    <t>chevrolet chevelle malibu</t>
  </si>
  <si>
    <t>chevrolet vega 2300</t>
  </si>
  <si>
    <t>mercury capri 2000</t>
  </si>
  <si>
    <t>plymouth cricket</t>
  </si>
  <si>
    <t>chevrolet vega (sw)</t>
  </si>
  <si>
    <t>ford pinto</t>
  </si>
  <si>
    <t>amc hornet sportabout (sw)</t>
  </si>
  <si>
    <t>plymouth satellite custom</t>
  </si>
  <si>
    <t>pontiac firebird</t>
  </si>
  <si>
    <t>amc matador</t>
  </si>
  <si>
    <t>ford mustang</t>
  </si>
  <si>
    <t>ford torino 500</t>
  </si>
  <si>
    <t>pontiac catalina brougham</t>
  </si>
  <si>
    <t>dodge monaco (sw)</t>
  </si>
  <si>
    <t>ford country squire (sw)</t>
  </si>
  <si>
    <t>pontiac safari (sw)</t>
  </si>
  <si>
    <t>ford pinto runabout</t>
  </si>
  <si>
    <t>dodge colt hardtop</t>
  </si>
  <si>
    <t>chevrolet vega</t>
  </si>
  <si>
    <t>dodge colt (sw)</t>
  </si>
  <si>
    <t>ford pinto (sw)</t>
  </si>
  <si>
    <t>mercury marquis</t>
  </si>
  <si>
    <t>chrysler newport royal</t>
  </si>
  <si>
    <t>amc ambassador sst</t>
  </si>
  <si>
    <t>amc matador (sw)</t>
  </si>
  <si>
    <t>plymouth satellite custom (sw)</t>
  </si>
  <si>
    <t>oldsmobile delta 88 royale</t>
  </si>
  <si>
    <t>buick lesabre custom</t>
  </si>
  <si>
    <t>ford gran torino (sw)</t>
  </si>
  <si>
    <t>chevrolet chevelle concours (sw)</t>
  </si>
  <si>
    <t>mercury capri v6</t>
  </si>
  <si>
    <t>plymouth valiant</t>
  </si>
  <si>
    <t>chevrolet nova custom</t>
  </si>
  <si>
    <t>pontiac grand prix</t>
  </si>
  <si>
    <t>oldsmobile omega</t>
  </si>
  <si>
    <t>amc ambassador brougham</t>
  </si>
  <si>
    <t>buick electra 225 custom</t>
  </si>
  <si>
    <t>chrysler new yorker brougham</t>
  </si>
  <si>
    <t>dodge dart custom</t>
  </si>
  <si>
    <t>buick century 350</t>
  </si>
  <si>
    <t>mercury marquis brougham</t>
  </si>
  <si>
    <t>oldsmobile vista cruiser</t>
  </si>
  <si>
    <t>dodge coronet custom</t>
  </si>
  <si>
    <t>plymouth custom suburb</t>
  </si>
  <si>
    <t>chevrolet malibu</t>
  </si>
  <si>
    <t>ford ltd</t>
  </si>
  <si>
    <t>chevrolet monte carlo s</t>
  </si>
  <si>
    <t>plymouth fury gran sedan</t>
  </si>
  <si>
    <t>ford country</t>
  </si>
  <si>
    <t>ford gran torino</t>
  </si>
  <si>
    <t>chevrolet caprice classic</t>
  </si>
  <si>
    <t>dodge colt</t>
  </si>
  <si>
    <t>chevrolet nova</t>
  </si>
  <si>
    <t>plymouth satellite sebring</t>
  </si>
  <si>
    <t>chevrolet chevelle malibu classic</t>
  </si>
  <si>
    <t>dodge coronet custom (sw)</t>
  </si>
  <si>
    <t>buick century luxus (sw)</t>
  </si>
  <si>
    <t>pontiac astro</t>
  </si>
  <si>
    <t>buick skyhawk</t>
  </si>
  <si>
    <t>plymouth valiant custom</t>
  </si>
  <si>
    <t>buick century</t>
  </si>
  <si>
    <t>amc pacer</t>
  </si>
  <si>
    <t>chevroelt chevelle malibu</t>
  </si>
  <si>
    <t>plymouth fury</t>
  </si>
  <si>
    <t>mercury monarch</t>
  </si>
  <si>
    <t>ford mustang ii</t>
  </si>
  <si>
    <t>chevrolet monza 2+2</t>
  </si>
  <si>
    <t>plymouth grand fury</t>
  </si>
  <si>
    <t>chevrolet bel air</t>
  </si>
  <si>
    <t>capri ii</t>
  </si>
  <si>
    <t>chevrolet woody</t>
  </si>
  <si>
    <t>chevrolet chevette</t>
  </si>
  <si>
    <t>pontiac ventura sj</t>
  </si>
  <si>
    <t>amc pacer d/l</t>
  </si>
  <si>
    <t>dodge aspen se</t>
  </si>
  <si>
    <t>ford granada ghia</t>
  </si>
  <si>
    <t>cadillac seville</t>
  </si>
  <si>
    <t>dodge d100</t>
  </si>
  <si>
    <t>plymouth volare premier v8</t>
  </si>
  <si>
    <t>chevy c10</t>
  </si>
  <si>
    <t>dodge coronet brougham</t>
  </si>
  <si>
    <t>ford f108</t>
  </si>
  <si>
    <t>plymouth arrow gs</t>
  </si>
  <si>
    <t>dodge colt m/m</t>
  </si>
  <si>
    <t>buick opel isuzu deluxe</t>
  </si>
  <si>
    <t>ford mustang ii 2+2</t>
  </si>
  <si>
    <t>pontiac sunbird coupe</t>
  </si>
  <si>
    <t>chevrolet concours</t>
  </si>
  <si>
    <t>buick skylark</t>
  </si>
  <si>
    <t>ford granada</t>
  </si>
  <si>
    <t>plymouth volare custom</t>
  </si>
  <si>
    <t>chrysler cordoba</t>
  </si>
  <si>
    <t>pontiac grand prix lj</t>
  </si>
  <si>
    <t>chevrolet monte carlo landau</t>
  </si>
  <si>
    <t>dodge monaco brougham</t>
  </si>
  <si>
    <t>ford thunderbird</t>
  </si>
  <si>
    <t>mercury cougar brougham</t>
  </si>
  <si>
    <t>oldsmobile cutlass supreme</t>
  </si>
  <si>
    <t>plymouth sapporo</t>
  </si>
  <si>
    <t>ford fiesta</t>
  </si>
  <si>
    <t>dodge omni</t>
  </si>
  <si>
    <t>ford fairmont (man)</t>
  </si>
  <si>
    <t>oldsmobile starfire sx</t>
  </si>
  <si>
    <t>buick regal sport coupe (turbo)</t>
  </si>
  <si>
    <t>amc concord d/l</t>
  </si>
  <si>
    <t>buick century special</t>
  </si>
  <si>
    <t>dodge aspen</t>
  </si>
  <si>
    <t>pontiac phoenix lj</t>
  </si>
  <si>
    <t>plymouth volare</t>
  </si>
  <si>
    <t>ford fairmont (auto)</t>
  </si>
  <si>
    <t>amc concord</t>
  </si>
  <si>
    <t>mercury zephyr</t>
  </si>
  <si>
    <t>ford futura</t>
  </si>
  <si>
    <t>mercury monarch ghia</t>
  </si>
  <si>
    <t>dodge diplomat</t>
  </si>
  <si>
    <t>dodge magnum xe</t>
  </si>
  <si>
    <t>oldsmobile cutlass salon brougham</t>
  </si>
  <si>
    <t>dodge colt hatchback custom</t>
  </si>
  <si>
    <t>pontiac phoenix</t>
  </si>
  <si>
    <t>buick skylark limited</t>
  </si>
  <si>
    <t>plymouth horizon tc3</t>
  </si>
  <si>
    <t>plymouth horizon</t>
  </si>
  <si>
    <t>ford fairmont 4</t>
  </si>
  <si>
    <t>amc spirit dl</t>
  </si>
  <si>
    <t>chevrolet citation</t>
  </si>
  <si>
    <t>oldsmobile omega brougham</t>
  </si>
  <si>
    <t>pontiac lemans v6</t>
  </si>
  <si>
    <t>dodge aspen 6</t>
  </si>
  <si>
    <t>mercury zephyr 6</t>
  </si>
  <si>
    <t>amc concord dl 6</t>
  </si>
  <si>
    <t>chrysler lebaron town @ country (sw)</t>
  </si>
  <si>
    <t>dodge st. regis</t>
  </si>
  <si>
    <t>mercury grand marquis</t>
  </si>
  <si>
    <t>chevrolet malibu classic (sw)</t>
  </si>
  <si>
    <t>ford ltd landau</t>
  </si>
  <si>
    <t>cadillac eldorado</t>
  </si>
  <si>
    <t>ford fairmont</t>
  </si>
  <si>
    <t>ford mustang cobra</t>
  </si>
  <si>
    <t>plymouth reliant</t>
  </si>
  <si>
    <t>dodge aries wagon (sw)</t>
  </si>
  <si>
    <t>plymouth champ</t>
  </si>
  <si>
    <t>ford escort 4w</t>
  </si>
  <si>
    <t>plymouth horizon 4</t>
  </si>
  <si>
    <t>ford escort 2h</t>
  </si>
  <si>
    <t>ford granada gl</t>
  </si>
  <si>
    <t>chrysler lebaron salon</t>
  </si>
  <si>
    <t>oldsmobile cutlass ls</t>
  </si>
  <si>
    <t>chevrolet cavalier 2-door</t>
  </si>
  <si>
    <t>dodge rampage</t>
  </si>
  <si>
    <t>chrysler lebaron medallion</t>
  </si>
  <si>
    <t>dodge charger 2.2</t>
  </si>
  <si>
    <t>chevrolet cavalier</t>
  </si>
  <si>
    <t>chevrolet cavalier wagon</t>
  </si>
  <si>
    <t>dodge aries se</t>
  </si>
  <si>
    <t>pontiac j2000 se hatchback</t>
  </si>
  <si>
    <t>mercury lynx l</t>
  </si>
  <si>
    <t>ford fairmont futura</t>
  </si>
  <si>
    <t>ford mustang gl</t>
  </si>
  <si>
    <t>chevrolet camaro</t>
  </si>
  <si>
    <t>chevy s-10</t>
  </si>
  <si>
    <t>ford ranger</t>
  </si>
  <si>
    <t>plymouth horizon miser</t>
  </si>
  <si>
    <t>amc concord dl</t>
  </si>
  <si>
    <t>ford granada l</t>
  </si>
  <si>
    <t>buick century limited</t>
  </si>
  <si>
    <t>oldsmobile cutlass ciera (diesel)</t>
  </si>
  <si>
    <t>SUMMARY OUTPUT</t>
  </si>
  <si>
    <t>calculations</t>
  </si>
  <si>
    <t>Vehicles with missing horsepower</t>
  </si>
  <si>
    <t>Predicted horsepower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</si>
  <si>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</si>
  <si>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</si>
  <si>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</si>
  <si>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</si>
  <si>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</si>
  <si>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</si>
  <si>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</si>
  <si>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df</t>
  </si>
  <si>
    <t>SS</t>
  </si>
  <si>
    <t>MS</t>
  </si>
  <si>
    <t>F</t>
  </si>
  <si>
    <t>Significance F</t>
  </si>
  <si>
    <t>Regression</t>
  </si>
  <si>
    <t>Residual</t>
  </si>
  <si>
    <t>Total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</si>
  <si>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</si>
  <si>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</si>
  <si>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</si>
  <si>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</si>
  <si>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</si>
  <si>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</si>
  <si>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</si>
  <si>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Intercept</t>
  </si>
  <si>
    <t>X Variable 1</t>
  </si>
  <si>
    <t>X Variable 2</t>
  </si>
  <si>
    <t>X Variable 3</t>
  </si>
  <si>
    <t>Predicted Horsepower Values</t>
  </si>
  <si>
    <t>Method documentation:</t>
  </si>
  <si>
    <t>Step</t>
  </si>
  <si>
    <t>Description</t>
  </si>
  <si>
    <t>Extract the names, horsepower, displacement and weight columns into a new worksheet for analysis</t>
  </si>
  <si>
    <t>Filter out records with missing horsepower</t>
  </si>
  <si>
    <t>Use the Data Analysis Tools from toolPak to pass on the Y-Range (Horsepower) and X-Range columns (cylinders, displacement,…)</t>
  </si>
  <si>
    <t>After creating a new worksheet for regression analysis, utilize the Intercept and X-Variables from the coefficients column to use the formula</t>
  </si>
  <si>
    <t>Formula: Intercept + (x-variable1 also known as the cylinder_coef * cylinder) + (x-variable2 * weight) + (x-variable3 * displacement)</t>
  </si>
  <si>
    <t>Performance Tier</t>
  </si>
  <si>
    <t>Summaries</t>
  </si>
  <si>
    <t>Histogram Charts</t>
  </si>
  <si>
    <t>MPG</t>
  </si>
  <si>
    <t>Mean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</si>
  <si>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</si>
  <si>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</si>
  <si>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</si>
  <si>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</si>
  <si>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</si>
  <si>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</si>
  <si>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</si>
  <si>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</si>
  <si>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</si>
  <si>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</si>
  <si>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</si>
  <si>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HORSEPOWER</t>
  </si>
  <si>
    <t>Tier Thresholds</t>
  </si>
  <si>
    <t>Distribution around the years</t>
  </si>
  <si>
    <t>Tier</t>
  </si>
  <si>
    <t>Horsepower</t>
  </si>
  <si>
    <t>Acceleration</t>
  </si>
  <si>
    <t>Count of Performance Tier</t>
  </si>
  <si>
    <t>High Performance</t>
  </si>
  <si>
    <t>&gt; 100</t>
  </si>
  <si>
    <t>&lt; 13</t>
  </si>
  <si>
    <t>&gt; 32.5</t>
  </si>
  <si>
    <t>Economy</t>
  </si>
  <si>
    <t>Mid Range</t>
  </si>
  <si>
    <t>60-100</t>
  </si>
  <si>
    <t>13-19</t>
  </si>
  <si>
    <t>17-32.5</t>
  </si>
  <si>
    <t>&lt; 60</t>
  </si>
  <si>
    <t>&gt; 19</t>
  </si>
  <si>
    <t>&lt; 17</t>
  </si>
  <si>
    <t>ACCELERATION</t>
  </si>
  <si>
    <t>Z-Score Acceleration</t>
  </si>
  <si>
    <t>Is an Outlier?</t>
  </si>
  <si>
    <t>Normalized Acceleration</t>
  </si>
  <si>
    <t>Z-Flltering Method</t>
  </si>
  <si>
    <t>Min-max Normalization</t>
  </si>
  <si>
    <t>Standard Deviation (STD dev)</t>
  </si>
  <si>
    <t>Average MPG</t>
  </si>
  <si>
    <t>Lowest</t>
  </si>
  <si>
    <t>Q1</t>
  </si>
  <si>
    <t>Q3</t>
  </si>
  <si>
    <t>Europe</t>
  </si>
  <si>
    <t>Z-Score</t>
  </si>
  <si>
    <t>Regions</t>
  </si>
  <si>
    <t>Japan</t>
  </si>
  <si>
    <t>USA</t>
  </si>
  <si>
    <t>IQR (Inter Quartile Range)</t>
  </si>
  <si>
    <t>Total Average</t>
  </si>
  <si>
    <t>ROUNDED RES TO 3 D.P.</t>
  </si>
  <si>
    <t>Z-Filtering Method</t>
  </si>
  <si>
    <t>STD Dev</t>
  </si>
  <si>
    <t>Correlation Coefficient</t>
  </si>
  <si>
    <t>Results of the trend</t>
  </si>
  <si>
    <t>MPG is negatively correlated with engine displacement.</t>
  </si>
  <si>
    <t>As a car's fuel efficiency improves, its engine displacement decreases.</t>
  </si>
  <si>
    <t>Both of these attributes are inversely proportional to each other.</t>
  </si>
  <si>
    <t>Is Outlier?</t>
  </si>
  <si>
    <t>The 5-Number Summary</t>
  </si>
  <si>
    <t>Determine Outlier Thresholds</t>
  </si>
  <si>
    <t>Mininum</t>
  </si>
  <si>
    <t>Q1 (25th percentile)</t>
  </si>
  <si>
    <t>Q3 (75th percentile)</t>
  </si>
  <si>
    <t>Lower Bound</t>
  </si>
  <si>
    <t>Upper Bound</t>
  </si>
  <si>
    <t>Average</t>
  </si>
  <si>
    <t>Std Dev</t>
  </si>
  <si>
    <t>Vehicle Count Summary Table</t>
  </si>
  <si>
    <t>Origin</t>
  </si>
  <si>
    <t>Usa</t>
  </si>
  <si>
    <t>Cylinders</t>
  </si>
  <si>
    <t>Model Year</t>
  </si>
  <si>
    <t>Top 10 Most Powerful Vehicles per Pound</t>
  </si>
  <si>
    <t>Vehicle Name</t>
  </si>
  <si>
    <t>Rank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</si>
</sst>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i/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adb9ca"/>
      </patternFill>
    </fill>
    <fill>
      <patternFill patternType="solid">
        <fgColor rgb="FFc9c9c9"/>
      </patternFill>
    </fill>
    <fill>
      <patternFill patternType="solid">
        <fgColor rgb="FFa9d18e"/>
      </patternFill>
    </fill>
    <fill>
      <patternFill patternType="solid">
        <fgColor rgb="FFdae3f3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1">
    <xf numFmtId="0" fontId="0" fillId="0" borderId="0"/>
  </cellStyleXfs>
  <cellXfs count="44">
    <xf xfId="0" numFmtId="0" borderId="0" fontId="0" fillId="0"/>
    <xf xfId="0" numFmtId="3" applyNumberFormat="1" borderId="0" fontId="0" fillId="0" applyAlignment="1">
      <alignment horizontal="right"/>
    </xf>
    <xf xfId="0" numFmtId="0" borderId="0" fontId="0" fillId="0" applyAlignment="1">
      <alignment horizontal="general"/>
    </xf>
    <xf xfId="0" numFmtId="3" applyNumberFormat="1" borderId="1" applyBorder="1" fontId="1" applyFont="1" fillId="0" applyAlignment="1">
      <alignment horizontal="right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left"/>
    </xf>
    <xf xfId="0" numFmtId="4" applyNumberFormat="1" borderId="0" fontId="0" fillId="0" applyAlignment="1">
      <alignment horizontal="right"/>
    </xf>
    <xf xfId="0" numFmtId="4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3" applyNumberFormat="1" borderId="1" applyBorder="1" fontId="1" applyFont="1" fillId="0" applyAlignment="1">
      <alignment horizontal="left"/>
    </xf>
    <xf xfId="0" numFmtId="4" applyNumberFormat="1" borderId="1" applyBorder="1" fontId="1" applyFont="1" fillId="0" applyAlignment="1">
      <alignment horizontal="right"/>
    </xf>
    <xf xfId="0" numFmtId="0" borderId="1" applyBorder="1" fontId="1" applyFont="1" fillId="0" applyAlignment="1">
      <alignment horizontal="left"/>
    </xf>
    <xf xfId="0" numFmtId="3" applyNumberFormat="1" borderId="0" fontId="0" fillId="0" applyAlignment="1">
      <alignment horizontal="left"/>
    </xf>
    <xf xfId="0" numFmtId="4" applyNumberFormat="1" borderId="0" fontId="0" fillId="0" applyAlignment="1">
      <alignment horizontal="right"/>
    </xf>
    <xf xfId="0" numFmtId="4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0" borderId="0" fontId="0" fillId="0" applyAlignment="1">
      <alignment wrapText="1"/>
    </xf>
    <xf xfId="0" numFmtId="0" borderId="0" fontId="0" fillId="0" applyAlignment="1">
      <alignment horizontal="general" wrapText="1"/>
    </xf>
    <xf xfId="0" numFmtId="0" borderId="1" applyBorder="1" fontId="1" applyFont="1" fillId="0" applyAlignment="1">
      <alignment horizontal="left" wrapText="1"/>
    </xf>
    <xf xfId="0" numFmtId="3" applyNumberFormat="1" borderId="1" applyBorder="1" fontId="1" applyFont="1" fillId="0" applyAlignment="1">
      <alignment horizontal="left" wrapText="1"/>
    </xf>
    <xf xfId="0" numFmtId="4" applyNumberFormat="1" borderId="1" applyBorder="1" fontId="1" applyFont="1" fillId="0" applyAlignment="1">
      <alignment horizontal="left" wrapText="1"/>
    </xf>
    <xf xfId="0" numFmtId="0" borderId="2" applyBorder="1" fontId="1" applyFont="1" fillId="2" applyFill="1" applyAlignment="1">
      <alignment horizontal="left"/>
    </xf>
    <xf xfId="0" numFmtId="3" applyNumberFormat="1" borderId="2" applyBorder="1" fontId="1" applyFont="1" fillId="2" applyFill="1" applyAlignment="1">
      <alignment horizontal="left" wrapText="1"/>
    </xf>
    <xf xfId="0" numFmtId="4" applyNumberFormat="1" borderId="2" applyBorder="1" fontId="1" applyFont="1" fillId="3" applyFill="1" applyAlignment="1">
      <alignment horizontal="left" wrapText="1"/>
    </xf>
    <xf xfId="0" numFmtId="0" borderId="3" applyBorder="1" fontId="2" applyFont="1" fillId="0" applyAlignment="1">
      <alignment horizontal="left"/>
    </xf>
    <xf xfId="0" numFmtId="4" applyNumberFormat="1" borderId="3" applyBorder="1" fontId="2" applyFont="1" fillId="0" applyAlignment="1">
      <alignment horizontal="left"/>
    </xf>
    <xf xfId="0" numFmtId="3" applyNumberFormat="1" borderId="2" applyBorder="1" fontId="1" applyFont="1" fillId="2" applyFill="1" applyAlignment="1">
      <alignment horizontal="right"/>
    </xf>
    <xf xfId="0" numFmtId="4" applyNumberFormat="1" borderId="2" applyBorder="1" fontId="1" applyFont="1" fillId="3" applyFill="1" applyAlignment="1">
      <alignment horizontal="right"/>
    </xf>
    <xf xfId="0" numFmtId="0" borderId="4" applyBorder="1" fontId="1" applyFont="1" fillId="0" applyAlignment="1">
      <alignment horizontal="left"/>
    </xf>
    <xf xfId="0" numFmtId="3" applyNumberFormat="1" borderId="4" applyBorder="1" fontId="1" applyFont="1" fillId="0" applyAlignment="1">
      <alignment horizontal="right"/>
    </xf>
    <xf xfId="0" numFmtId="0" borderId="3" applyBorder="1" fontId="2" applyFont="1" fillId="0" applyAlignment="1">
      <alignment horizontal="center"/>
    </xf>
    <xf xfId="0" numFmtId="4" applyNumberFormat="1" borderId="3" applyBorder="1" fontId="2" applyFont="1" fillId="0" applyAlignment="1">
      <alignment horizontal="center"/>
    </xf>
    <xf xfId="0" numFmtId="4" applyNumberFormat="1" borderId="4" applyBorder="1" fontId="1" applyFont="1" fillId="0" applyAlignment="1">
      <alignment horizontal="right"/>
    </xf>
    <xf xfId="0" numFmtId="4" applyNumberFormat="1" borderId="4" applyBorder="1" fontId="1" applyFont="1" fillId="0" applyAlignment="1">
      <alignment horizontal="left"/>
    </xf>
    <xf xfId="0" numFmtId="4" applyNumberFormat="1" borderId="2" applyBorder="1" fontId="1" applyFont="1" fillId="4" applyFill="1" applyAlignment="1">
      <alignment horizontal="left" wrapText="1"/>
    </xf>
    <xf xfId="0" numFmtId="4" applyNumberFormat="1" borderId="2" applyBorder="1" fontId="1" applyFont="1" fillId="4" applyFill="1" applyAlignment="1">
      <alignment horizontal="right"/>
    </xf>
    <xf xfId="0" numFmtId="3" applyNumberFormat="1" borderId="0" fontId="0" fillId="0" applyAlignment="1">
      <alignment horizontal="general" wrapText="1"/>
    </xf>
    <xf xfId="0" numFmtId="0" borderId="0" fontId="0" fillId="0" applyAlignment="1">
      <alignment horizontal="general"/>
    </xf>
    <xf xfId="0" numFmtId="3" applyNumberFormat="1" borderId="3" applyBorder="1" fontId="2" applyFont="1" fillId="0" applyAlignment="1">
      <alignment horizontal="left"/>
    </xf>
    <xf xfId="0" numFmtId="4" applyNumberFormat="1" borderId="0" fontId="0" fillId="0" applyAlignment="1">
      <alignment horizontal="right" wrapText="1"/>
    </xf>
    <xf xfId="0" numFmtId="4" applyNumberFormat="1" borderId="0" fontId="0" fillId="0" applyAlignment="1">
      <alignment horizontal="general" wrapText="1"/>
    </xf>
    <xf xfId="0" numFmtId="3" applyNumberFormat="1" borderId="2" applyBorder="1" fontId="1" applyFont="1" fillId="5" applyFill="1" applyAlignment="1">
      <alignment horizontal="left"/>
    </xf>
    <xf xfId="0" numFmtId="0" borderId="2" applyBorder="1" fontId="1" applyFont="1" fillId="5" applyFill="1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worksheets/sheet10.xml" Type="http://schemas.openxmlformats.org/officeDocument/2006/relationships/worksheet" Id="rId10"/><Relationship Target="worksheets/sheet11.xml" Type="http://schemas.openxmlformats.org/officeDocument/2006/relationships/worksheet" Id="rId11"/><Relationship Target="worksheets/sheet12.xml" Type="http://schemas.openxmlformats.org/officeDocument/2006/relationships/worksheet" Id="rId12"/><Relationship Target="sharedStrings.xml" Type="http://schemas.openxmlformats.org/officeDocument/2006/relationships/sharedStrings" Id="rId13"/><Relationship Target="styles.xml" Type="http://schemas.openxmlformats.org/officeDocument/2006/relationships/styles" Id="rId14"/><Relationship Target="theme/theme1.xml" Type="http://schemas.openxmlformats.org/officeDocument/2006/relationships/theme" Id="rId15"/></Relationships>
</file>

<file path=xl/tables/table1.xml><?xml version="1.0" encoding="utf-8"?>
<table xmlns="http://schemas.openxmlformats.org/spreadsheetml/2006/main" ref="A1:D11" displayName="Table1" name="Table1" id="1" totalsRowShown="0">
  <autoFilter ref="A1:D11"/>
  <tableColumns count="4">
    <tableColumn name="number" id="1"/>
    <tableColumn name="task" id="2"/>
    <tableColumn name="dificulty" id="3"/>
    <tableColumn name="Completed" id="4"/>
  </tableColumns>
  <tableStyleInfo name="TableStyleLight1" showColumnStripes="0" showRowStripes="1" showLastColumn="0" showFirstColumn="0"/>
</table>
</file>

<file path=xl/tables/table2.xml><?xml version="1.0" encoding="utf-8"?>
<table xmlns="http://schemas.openxmlformats.org/spreadsheetml/2006/main" ref="B1:K399" displayName="Table4" name="Table4" id="2" totalsRowShown="0">
  <autoFilter ref="B1:K399"/>
  <tableColumns count="10">
    <tableColumn name="name" id="1"/>
    <tableColumn name="cylinders" id="2"/>
    <tableColumn name="mpg" id="3"/>
    <tableColumn name="weight" id="4"/>
    <tableColumn name="displacement" id="5"/>
    <tableColumn name="horsepower" id="6"/>
    <tableColumn name="Power-to-Weight" id="7"/>
    <tableColumn name="acceleration" id="8"/>
    <tableColumn name="model_year" id="9"/>
    <tableColumn name="origin" id="10"/>
  </tableColumns>
  <tableStyleInfo name="TableStyleLight1" showColumnStripes="0" showRowStripes="1" showLastColumn="0" showFirstColumn="0"/>
</table>
</file>

<file path=xl/tables/table3.xml><?xml version="1.0" encoding="utf-8"?>
<table xmlns="http://schemas.openxmlformats.org/spreadsheetml/2006/main" ref="Q21:U24" displayName="Table3" name="Table3" id="3" totalsRowShown="0">
  <autoFilter ref="Q21:U24"/>
  <tableColumns count="5">
    <tableColumn name="Tier" id="1"/>
    <tableColumn name="Horsepower" id="2"/>
    <tableColumn name="Acceleration" id="3"/>
    <tableColumn name="MPG" id="4"/>
    <tableColumn name="Count" id="5"/>
  </tableColumns>
  <tableStyleInfo name="TableStyleLight1" showColumnStripes="0" showRowStripes="1" showLastColumn="0" showFirstColumn="0"/>
</table>
</file>

<file path=xl/tables/table4.xml><?xml version="1.0" encoding="utf-8"?>
<table xmlns="http://schemas.openxmlformats.org/spreadsheetml/2006/main" ref="A1:C399" displayName="Table2" name="Table2" id="4" totalsRowShown="0">
  <autoFilter ref="A1:C399"/>
  <tableColumns count="3">
    <tableColumn name="mpg" id="1"/>
    <tableColumn name="Z-Score" id="2"/>
    <tableColumn name="Is Outlier?" id="3"/>
  </tableColumns>
  <tableStyleInfo name="TableStyleLight1" showColumnStripes="0" showRowStripes="1" showLastColumn="0" showFirstColumn="0"/>
</table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<Relationships xmlns="http://schemas.openxmlformats.org/package/2006/relationships"><Relationship Target="../tables/table4.xml" Type="http://schemas.openxmlformats.org/officeDocument/2006/relationships/table" Id="rId1"/></Relationships>
</file>

<file path=xl/worksheets/_rels/sheet6.xml.rels><?xml version="1.0" encoding="UTF-8" standalone="yes"?><Relationships xmlns="http://schemas.openxmlformats.org/package/2006/relationships"><Relationship Target="../tables/table3.xml" Type="http://schemas.openxmlformats.org/officeDocument/2006/relationships/table" Id="rId1"/></Relationships>
</file>

<file path=xl/worksheets/_rels/sheet9.xml.rels><?xml version="1.0" encoding="UTF-8" standalone="yes"?><Relationships xmlns="http://schemas.openxmlformats.org/package/2006/relationships"><Relationship Target="../tables/table2.xml" Type="http://schemas.openxmlformats.org/officeDocument/2006/relationships/table" Id="rId1"/></Relationships>
</file>

<file path=xl/worksheets/_rels/sheet12.xml.rels><?xml version="1.0" encoding="UTF-8" standalone="yes"?><Relationships xmlns="http://schemas.openxmlformats.org/package/2006/relationships"><Relationship Target="../tables/table1.xml" Type="http://schemas.openxmlformats.org/officeDocument/2006/relationships/table" Id="rId1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Y413"/>
  <sheetViews>
    <sheetView workbookViewId="0"/>
  </sheetViews>
  <sheetFormatPr defaultRowHeight="15" x14ac:dyDescent="0.25"/>
  <cols>
    <col min="1" max="1" style="5" width="37.005" customWidth="1" bestFit="1"/>
    <col min="2" max="2" style="14" width="13.576428571428572" customWidth="1" bestFit="1"/>
    <col min="3" max="3" style="4" width="13.576428571428572" customWidth="1" bestFit="1"/>
    <col min="4" max="4" style="16" width="12.862142857142858" customWidth="1" bestFit="1"/>
    <col min="5" max="5" style="16" width="11.719285714285713" customWidth="1" bestFit="1"/>
    <col min="6" max="6" style="16" width="13.576428571428572" customWidth="1" bestFit="1"/>
    <col min="7" max="7" style="15" width="10.147857142857141" customWidth="1" bestFit="1"/>
    <col min="8" max="8" style="16" width="12.719285714285713" customWidth="1" bestFit="1"/>
    <col min="9" max="9" style="16" width="11.576428571428572" customWidth="1" bestFit="1"/>
    <col min="10" max="10" style="5" width="13.576428571428572" customWidth="1" bestFit="1"/>
    <col min="11" max="11" style="5" width="13.576428571428572" customWidth="1" bestFit="1"/>
    <col min="12" max="12" style="5" width="13.576428571428572" customWidth="1" bestFit="1"/>
    <col min="13" max="13" style="5" width="13.576428571428572" customWidth="1" bestFit="1"/>
    <col min="14" max="14" style="5" width="13.576428571428572" customWidth="1" bestFit="1"/>
    <col min="15" max="15" style="5" width="13.576428571428572" customWidth="1" bestFit="1"/>
    <col min="16" max="16" style="5" width="13.576428571428572" customWidth="1" bestFit="1"/>
    <col min="17" max="17" style="5" width="13.576428571428572" customWidth="1" bestFit="1"/>
    <col min="18" max="18" style="5" width="13.576428571428572" customWidth="1" bestFit="1"/>
    <col min="19" max="19" style="5" width="13.576428571428572" customWidth="1" bestFit="1"/>
    <col min="20" max="20" style="5" width="10.576428571428572" customWidth="1" bestFit="1"/>
    <col min="21" max="21" style="16" width="11.43357142857143" customWidth="1" bestFit="1"/>
    <col min="22" max="22" style="16" width="11.147857142857141" customWidth="1" bestFit="1"/>
    <col min="23" max="23" style="16" width="9.290714285714287" customWidth="1" bestFit="1"/>
    <col min="24" max="24" style="16" width="8.719285714285713" customWidth="1" bestFit="1"/>
    <col min="25" max="25" style="16" width="13.576428571428572" customWidth="1" bestFit="1"/>
  </cols>
  <sheetData>
    <row x14ac:dyDescent="0.25" r="1" customHeight="1" ht="58.5" customFormat="1" s="17">
      <c r="A1" s="19" t="s">
        <v>31</v>
      </c>
      <c r="B1" s="21" t="s">
        <v>33</v>
      </c>
      <c r="C1" s="20" t="s">
        <v>32</v>
      </c>
      <c r="D1" s="20" t="s">
        <v>35</v>
      </c>
      <c r="E1" s="20" t="s">
        <v>36</v>
      </c>
      <c r="F1" s="20" t="s">
        <v>34</v>
      </c>
      <c r="G1" s="21" t="s">
        <v>37</v>
      </c>
      <c r="H1" s="20" t="s">
        <v>38</v>
      </c>
      <c r="I1" s="20" t="s">
        <v>39</v>
      </c>
      <c r="J1" s="19" t="s">
        <v>40</v>
      </c>
      <c r="K1" s="18"/>
      <c r="L1" s="18"/>
      <c r="M1" s="18"/>
      <c r="N1" s="18"/>
      <c r="O1" s="18"/>
      <c r="P1" s="18"/>
      <c r="Q1" s="18"/>
      <c r="R1" s="18"/>
      <c r="S1" s="18"/>
      <c r="T1" s="18"/>
      <c r="U1" s="37"/>
      <c r="V1" s="37" t="s">
        <v>456</v>
      </c>
      <c r="W1" s="37"/>
      <c r="X1" s="37"/>
      <c r="Y1" s="37"/>
    </row>
    <row x14ac:dyDescent="0.25" r="2" customHeight="1" ht="18.75">
      <c r="A2" s="2" t="s">
        <v>41</v>
      </c>
      <c r="B2" s="3">
        <v>26</v>
      </c>
      <c r="C2" s="3">
        <v>4</v>
      </c>
      <c r="D2" s="3">
        <v>121</v>
      </c>
      <c r="E2" s="3">
        <v>113</v>
      </c>
      <c r="F2" s="3">
        <v>2234</v>
      </c>
      <c r="G2" s="11">
        <f>IFERROR(E2/F2, "")</f>
      </c>
      <c r="H2" s="11">
        <v>12.5</v>
      </c>
      <c r="I2" s="3">
        <v>70</v>
      </c>
      <c r="J2" s="2" t="s">
        <v>27</v>
      </c>
      <c r="K2" s="2"/>
      <c r="L2" s="2"/>
      <c r="M2" s="2"/>
      <c r="N2" s="2"/>
      <c r="O2" s="2"/>
      <c r="P2" s="2"/>
      <c r="Q2" s="2"/>
      <c r="R2" s="2"/>
      <c r="S2" s="2"/>
      <c r="T2" s="2"/>
      <c r="U2" s="9"/>
      <c r="V2" s="9"/>
      <c r="W2" s="9" t="s">
        <v>457</v>
      </c>
      <c r="X2" s="9"/>
      <c r="Y2" s="9" t="s">
        <v>364</v>
      </c>
    </row>
    <row x14ac:dyDescent="0.25" r="3" customHeight="1" ht="18.75">
      <c r="A3" s="2" t="s">
        <v>42</v>
      </c>
      <c r="B3" s="3">
        <v>25</v>
      </c>
      <c r="C3" s="3">
        <v>4</v>
      </c>
      <c r="D3" s="3">
        <v>104</v>
      </c>
      <c r="E3" s="3">
        <v>95</v>
      </c>
      <c r="F3" s="3">
        <v>2375</v>
      </c>
      <c r="G3" s="11">
        <f>IFERROR(E3/F3, "")</f>
      </c>
      <c r="H3" s="11">
        <v>17.5</v>
      </c>
      <c r="I3" s="3">
        <v>70</v>
      </c>
      <c r="J3" s="2" t="s">
        <v>27</v>
      </c>
      <c r="K3" s="2"/>
      <c r="L3" s="2"/>
      <c r="M3" s="2"/>
      <c r="N3" s="2"/>
      <c r="O3" s="2"/>
      <c r="P3" s="2"/>
      <c r="Q3" s="2"/>
      <c r="R3" s="2"/>
      <c r="S3" s="2"/>
      <c r="T3" s="2"/>
      <c r="U3" s="9"/>
      <c r="V3" s="9" t="s">
        <v>431</v>
      </c>
      <c r="W3" s="9" t="s">
        <v>434</v>
      </c>
      <c r="X3" s="9" t="s">
        <v>458</v>
      </c>
      <c r="Y3" s="9"/>
    </row>
    <row x14ac:dyDescent="0.25" r="4" customHeight="1" ht="18.75">
      <c r="A4" s="2" t="s">
        <v>43</v>
      </c>
      <c r="B4" s="3">
        <v>24</v>
      </c>
      <c r="C4" s="3">
        <v>4</v>
      </c>
      <c r="D4" s="3">
        <v>107</v>
      </c>
      <c r="E4" s="3">
        <v>90</v>
      </c>
      <c r="F4" s="3">
        <v>2430</v>
      </c>
      <c r="G4" s="11">
        <f>IFERROR(E4/F4, "")</f>
      </c>
      <c r="H4" s="11">
        <v>14.5</v>
      </c>
      <c r="I4" s="3">
        <v>70</v>
      </c>
      <c r="J4" s="2" t="s">
        <v>27</v>
      </c>
      <c r="K4" s="2"/>
      <c r="L4" s="2"/>
      <c r="M4" s="2"/>
      <c r="N4" s="2"/>
      <c r="O4" s="2"/>
      <c r="P4" s="2"/>
      <c r="Q4" s="2"/>
      <c r="R4" s="2"/>
      <c r="S4" s="2"/>
      <c r="T4" s="2" t="s">
        <v>400</v>
      </c>
      <c r="U4" s="9"/>
      <c r="V4" s="3">
        <v>70</v>
      </c>
      <c r="W4" s="3">
        <v>79</v>
      </c>
      <c r="X4" s="3">
        <v>249</v>
      </c>
      <c r="Y4" s="3">
        <v>398</v>
      </c>
    </row>
    <row x14ac:dyDescent="0.25" r="5" customHeight="1" ht="18.75">
      <c r="A5" s="2" t="s">
        <v>44</v>
      </c>
      <c r="B5" s="3">
        <v>25</v>
      </c>
      <c r="C5" s="3">
        <v>4</v>
      </c>
      <c r="D5" s="3">
        <v>110</v>
      </c>
      <c r="E5" s="3">
        <v>87</v>
      </c>
      <c r="F5" s="3">
        <v>2672</v>
      </c>
      <c r="G5" s="11">
        <f>IFERROR(E5/F5, "")</f>
      </c>
      <c r="H5" s="11">
        <v>17.5</v>
      </c>
      <c r="I5" s="3">
        <v>70</v>
      </c>
      <c r="J5" s="2" t="s">
        <v>27</v>
      </c>
      <c r="K5" s="2"/>
      <c r="L5" s="2"/>
      <c r="M5" s="2"/>
      <c r="N5" s="2"/>
      <c r="O5" s="2"/>
      <c r="P5" s="2"/>
      <c r="Q5" s="2"/>
      <c r="R5" s="2"/>
      <c r="S5" s="2"/>
      <c r="T5" s="2"/>
      <c r="U5" s="3">
        <v>3</v>
      </c>
      <c r="V5" s="3">
        <v>0</v>
      </c>
      <c r="W5" s="3">
        <v>4</v>
      </c>
      <c r="X5" s="3">
        <v>0</v>
      </c>
      <c r="Y5" s="3">
        <v>4</v>
      </c>
    </row>
    <row x14ac:dyDescent="0.25" r="6" customHeight="1" ht="18.75">
      <c r="A6" s="2" t="s">
        <v>45</v>
      </c>
      <c r="B6" s="3">
        <v>26</v>
      </c>
      <c r="C6" s="3">
        <v>4</v>
      </c>
      <c r="D6" s="3">
        <v>97</v>
      </c>
      <c r="E6" s="3">
        <v>46</v>
      </c>
      <c r="F6" s="3">
        <v>1835</v>
      </c>
      <c r="G6" s="11">
        <f>IFERROR(E6/F6, "")</f>
      </c>
      <c r="H6" s="11">
        <v>20.5</v>
      </c>
      <c r="I6" s="3">
        <v>70</v>
      </c>
      <c r="J6" s="2" t="s">
        <v>27</v>
      </c>
      <c r="K6" s="2"/>
      <c r="L6" s="2"/>
      <c r="M6" s="2"/>
      <c r="N6" s="2"/>
      <c r="O6" s="2"/>
      <c r="P6" s="2"/>
      <c r="Q6" s="2"/>
      <c r="R6" s="2"/>
      <c r="S6" s="2"/>
      <c r="T6" s="2"/>
      <c r="U6" s="3">
        <v>4</v>
      </c>
      <c r="V6" s="3">
        <v>63</v>
      </c>
      <c r="W6" s="3">
        <v>69</v>
      </c>
      <c r="X6" s="3">
        <v>72</v>
      </c>
      <c r="Y6" s="3">
        <v>204</v>
      </c>
    </row>
    <row x14ac:dyDescent="0.25" r="7" customHeight="1" ht="18.75">
      <c r="A7" s="2" t="s">
        <v>46</v>
      </c>
      <c r="B7" s="3">
        <v>28</v>
      </c>
      <c r="C7" s="3">
        <v>4</v>
      </c>
      <c r="D7" s="3">
        <v>116</v>
      </c>
      <c r="E7" s="3">
        <v>90</v>
      </c>
      <c r="F7" s="3">
        <v>2123</v>
      </c>
      <c r="G7" s="11">
        <f>IFERROR(E7/F7, "")</f>
      </c>
      <c r="H7" s="3">
        <v>14</v>
      </c>
      <c r="I7" s="3">
        <v>71</v>
      </c>
      <c r="J7" s="2" t="s">
        <v>27</v>
      </c>
      <c r="K7" s="2"/>
      <c r="L7" s="2"/>
      <c r="M7" s="2"/>
      <c r="N7" s="2"/>
      <c r="O7" s="2"/>
      <c r="P7" s="2"/>
      <c r="Q7" s="2"/>
      <c r="R7" s="2"/>
      <c r="S7" s="2"/>
      <c r="T7" s="2" t="s">
        <v>459</v>
      </c>
      <c r="U7" s="3">
        <v>5</v>
      </c>
      <c r="V7" s="3">
        <v>3</v>
      </c>
      <c r="W7" s="3">
        <v>0</v>
      </c>
      <c r="X7" s="3">
        <v>0</v>
      </c>
      <c r="Y7" s="3">
        <v>3</v>
      </c>
    </row>
    <row x14ac:dyDescent="0.25" r="8" customHeight="1" ht="18.75">
      <c r="A8" s="2" t="s">
        <v>47</v>
      </c>
      <c r="B8" s="3">
        <v>30</v>
      </c>
      <c r="C8" s="3">
        <v>4</v>
      </c>
      <c r="D8" s="3">
        <v>88</v>
      </c>
      <c r="E8" s="3">
        <v>76</v>
      </c>
      <c r="F8" s="3">
        <v>2065</v>
      </c>
      <c r="G8" s="11">
        <f>IFERROR(E8/F8, "")</f>
      </c>
      <c r="H8" s="11">
        <v>14.5</v>
      </c>
      <c r="I8" s="3">
        <v>71</v>
      </c>
      <c r="J8" s="2" t="s">
        <v>27</v>
      </c>
      <c r="K8" s="2"/>
      <c r="L8" s="2"/>
      <c r="M8" s="2"/>
      <c r="N8" s="2"/>
      <c r="O8" s="2"/>
      <c r="P8" s="2"/>
      <c r="Q8" s="2"/>
      <c r="R8" s="2"/>
      <c r="S8" s="2"/>
      <c r="T8" s="2"/>
      <c r="U8" s="3">
        <v>6</v>
      </c>
      <c r="V8" s="3">
        <v>4</v>
      </c>
      <c r="W8" s="3">
        <v>6</v>
      </c>
      <c r="X8" s="3">
        <v>74</v>
      </c>
      <c r="Y8" s="3">
        <v>84</v>
      </c>
    </row>
    <row x14ac:dyDescent="0.25" r="9" customHeight="1" ht="18.75">
      <c r="A9" s="2" t="s">
        <v>48</v>
      </c>
      <c r="B9" s="3">
        <v>30</v>
      </c>
      <c r="C9" s="3">
        <v>4</v>
      </c>
      <c r="D9" s="3">
        <v>79</v>
      </c>
      <c r="E9" s="3">
        <v>70</v>
      </c>
      <c r="F9" s="3">
        <v>2074</v>
      </c>
      <c r="G9" s="11">
        <f>IFERROR(E9/F9, "")</f>
      </c>
      <c r="H9" s="11">
        <v>19.5</v>
      </c>
      <c r="I9" s="3">
        <v>71</v>
      </c>
      <c r="J9" s="2" t="s">
        <v>27</v>
      </c>
      <c r="K9" s="2"/>
      <c r="L9" s="2"/>
      <c r="M9" s="2"/>
      <c r="N9" s="2"/>
      <c r="O9" s="2"/>
      <c r="P9" s="2"/>
      <c r="Q9" s="2"/>
      <c r="R9" s="2"/>
      <c r="S9" s="2"/>
      <c r="T9" s="2"/>
      <c r="U9" s="3">
        <v>8</v>
      </c>
      <c r="V9" s="3">
        <v>0</v>
      </c>
      <c r="W9" s="3">
        <v>0</v>
      </c>
      <c r="X9" s="3">
        <v>103</v>
      </c>
      <c r="Y9" s="3">
        <v>103</v>
      </c>
    </row>
    <row x14ac:dyDescent="0.25" r="10" customHeight="1" ht="18.75">
      <c r="A10" s="2" t="s">
        <v>49</v>
      </c>
      <c r="B10" s="3">
        <v>27</v>
      </c>
      <c r="C10" s="3">
        <v>4</v>
      </c>
      <c r="D10" s="3">
        <v>97</v>
      </c>
      <c r="E10" s="3">
        <v>60</v>
      </c>
      <c r="F10" s="3">
        <v>1834</v>
      </c>
      <c r="G10" s="11">
        <f>IFERROR(E10/F10, "")</f>
      </c>
      <c r="H10" s="3">
        <v>19</v>
      </c>
      <c r="I10" s="3">
        <v>71</v>
      </c>
      <c r="J10" s="2" t="s">
        <v>27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3">
        <v>70</v>
      </c>
      <c r="V10" s="3">
        <v>5</v>
      </c>
      <c r="W10" s="3">
        <v>2</v>
      </c>
      <c r="X10" s="3">
        <v>22</v>
      </c>
      <c r="Y10" s="3">
        <v>29</v>
      </c>
    </row>
    <row x14ac:dyDescent="0.25" r="11" customHeight="1" ht="18.75">
      <c r="A11" s="2" t="s">
        <v>50</v>
      </c>
      <c r="B11" s="3">
        <v>18</v>
      </c>
      <c r="C11" s="3">
        <v>4</v>
      </c>
      <c r="D11" s="3">
        <v>121</v>
      </c>
      <c r="E11" s="3">
        <v>112</v>
      </c>
      <c r="F11" s="3">
        <v>2933</v>
      </c>
      <c r="G11" s="11">
        <f>IFERROR(E11/F11, "")</f>
      </c>
      <c r="H11" s="11">
        <v>14.5</v>
      </c>
      <c r="I11" s="3">
        <v>72</v>
      </c>
      <c r="J11" s="2" t="s">
        <v>27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3">
        <v>71</v>
      </c>
      <c r="V11" s="3">
        <v>4</v>
      </c>
      <c r="W11" s="3">
        <v>4</v>
      </c>
      <c r="X11" s="3">
        <v>20</v>
      </c>
      <c r="Y11" s="3">
        <v>28</v>
      </c>
    </row>
    <row x14ac:dyDescent="0.25" r="12" customHeight="1" ht="18.75">
      <c r="A12" s="2" t="s">
        <v>51</v>
      </c>
      <c r="B12" s="3">
        <v>26</v>
      </c>
      <c r="C12" s="3">
        <v>4</v>
      </c>
      <c r="D12" s="3">
        <v>96</v>
      </c>
      <c r="E12" s="3">
        <v>69</v>
      </c>
      <c r="F12" s="3">
        <v>2189</v>
      </c>
      <c r="G12" s="11">
        <f>IFERROR(E12/F12, "")</f>
      </c>
      <c r="H12" s="3">
        <v>18</v>
      </c>
      <c r="I12" s="3">
        <v>72</v>
      </c>
      <c r="J12" s="2" t="s">
        <v>27</v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3">
        <v>72</v>
      </c>
      <c r="V12" s="3">
        <v>5</v>
      </c>
      <c r="W12" s="3">
        <v>5</v>
      </c>
      <c r="X12" s="3">
        <v>18</v>
      </c>
      <c r="Y12" s="3">
        <v>28</v>
      </c>
    </row>
    <row x14ac:dyDescent="0.25" r="13" customHeight="1" ht="18.75">
      <c r="A13" s="2" t="s">
        <v>52</v>
      </c>
      <c r="B13" s="3">
        <v>22</v>
      </c>
      <c r="C13" s="3">
        <v>4</v>
      </c>
      <c r="D13" s="3">
        <v>121</v>
      </c>
      <c r="E13" s="3">
        <v>76</v>
      </c>
      <c r="F13" s="3">
        <v>2511</v>
      </c>
      <c r="G13" s="11">
        <f>IFERROR(E13/F13, "")</f>
      </c>
      <c r="H13" s="3">
        <v>18</v>
      </c>
      <c r="I13" s="3">
        <v>72</v>
      </c>
      <c r="J13" s="2" t="s">
        <v>27</v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3">
        <v>73</v>
      </c>
      <c r="V13" s="3">
        <v>7</v>
      </c>
      <c r="W13" s="3">
        <v>4</v>
      </c>
      <c r="X13" s="3">
        <v>29</v>
      </c>
      <c r="Y13" s="3">
        <v>40</v>
      </c>
    </row>
    <row x14ac:dyDescent="0.25" r="14" customHeight="1" ht="18.75">
      <c r="A14" s="2" t="s">
        <v>53</v>
      </c>
      <c r="B14" s="3">
        <v>21</v>
      </c>
      <c r="C14" s="3">
        <v>4</v>
      </c>
      <c r="D14" s="3">
        <v>120</v>
      </c>
      <c r="E14" s="3">
        <v>87</v>
      </c>
      <c r="F14" s="3">
        <v>2979</v>
      </c>
      <c r="G14" s="11">
        <f>IFERROR(E14/F14, "")</f>
      </c>
      <c r="H14" s="11">
        <v>19.5</v>
      </c>
      <c r="I14" s="3">
        <v>72</v>
      </c>
      <c r="J14" s="2" t="s">
        <v>27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3">
        <v>74</v>
      </c>
      <c r="V14" s="3">
        <v>6</v>
      </c>
      <c r="W14" s="3">
        <v>6</v>
      </c>
      <c r="X14" s="3">
        <v>15</v>
      </c>
      <c r="Y14" s="3">
        <v>27</v>
      </c>
    </row>
    <row x14ac:dyDescent="0.25" r="15" customHeight="1" ht="18.75">
      <c r="A15" s="2" t="s">
        <v>54</v>
      </c>
      <c r="B15" s="3">
        <v>23</v>
      </c>
      <c r="C15" s="3">
        <v>4</v>
      </c>
      <c r="D15" s="3">
        <v>97</v>
      </c>
      <c r="E15" s="3">
        <v>54</v>
      </c>
      <c r="F15" s="3">
        <v>2254</v>
      </c>
      <c r="G15" s="11">
        <f>IFERROR(E15/F15, "")</f>
      </c>
      <c r="H15" s="11">
        <v>23.5</v>
      </c>
      <c r="I15" s="3">
        <v>72</v>
      </c>
      <c r="J15" s="2" t="s">
        <v>27</v>
      </c>
      <c r="K15" s="2"/>
      <c r="L15" s="2"/>
      <c r="M15" s="2"/>
      <c r="N15" s="2"/>
      <c r="O15" s="2"/>
      <c r="P15" s="2"/>
      <c r="Q15" s="2"/>
      <c r="R15" s="2"/>
      <c r="S15" s="2"/>
      <c r="T15" s="2" t="s">
        <v>460</v>
      </c>
      <c r="U15" s="3">
        <v>75</v>
      </c>
      <c r="V15" s="3">
        <v>6</v>
      </c>
      <c r="W15" s="3">
        <v>4</v>
      </c>
      <c r="X15" s="3">
        <v>20</v>
      </c>
      <c r="Y15" s="3">
        <v>30</v>
      </c>
    </row>
    <row x14ac:dyDescent="0.25" r="16" customHeight="1" ht="18.75">
      <c r="A16" s="2" t="s">
        <v>55</v>
      </c>
      <c r="B16" s="3">
        <v>24</v>
      </c>
      <c r="C16" s="3">
        <v>4</v>
      </c>
      <c r="D16" s="3">
        <v>121</v>
      </c>
      <c r="E16" s="3">
        <v>110</v>
      </c>
      <c r="F16" s="3">
        <v>2660</v>
      </c>
      <c r="G16" s="11">
        <f>IFERROR(E16/F16, "")</f>
      </c>
      <c r="H16" s="3">
        <v>14</v>
      </c>
      <c r="I16" s="3">
        <v>73</v>
      </c>
      <c r="J16" s="2" t="s">
        <v>27</v>
      </c>
      <c r="K16" s="2"/>
      <c r="L16" s="2"/>
      <c r="M16" s="2"/>
      <c r="N16" s="2"/>
      <c r="O16" s="2"/>
      <c r="P16" s="2"/>
      <c r="Q16" s="2"/>
      <c r="R16" s="2"/>
      <c r="S16" s="2"/>
      <c r="T16" s="2"/>
      <c r="U16" s="3">
        <v>76</v>
      </c>
      <c r="V16" s="3">
        <v>8</v>
      </c>
      <c r="W16" s="3">
        <v>4</v>
      </c>
      <c r="X16" s="3">
        <v>22</v>
      </c>
      <c r="Y16" s="3">
        <v>34</v>
      </c>
    </row>
    <row x14ac:dyDescent="0.25" r="17" customHeight="1" ht="18.75">
      <c r="A17" s="2" t="s">
        <v>56</v>
      </c>
      <c r="B17" s="3">
        <v>26</v>
      </c>
      <c r="C17" s="3">
        <v>4</v>
      </c>
      <c r="D17" s="3">
        <v>98</v>
      </c>
      <c r="E17" s="3">
        <v>90</v>
      </c>
      <c r="F17" s="3">
        <v>2265</v>
      </c>
      <c r="G17" s="11">
        <f>IFERROR(E17/F17, "")</f>
      </c>
      <c r="H17" s="11">
        <v>15.5</v>
      </c>
      <c r="I17" s="3">
        <v>73</v>
      </c>
      <c r="J17" s="2" t="s">
        <v>27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3">
        <v>77</v>
      </c>
      <c r="V17" s="3">
        <v>4</v>
      </c>
      <c r="W17" s="3">
        <v>6</v>
      </c>
      <c r="X17" s="3">
        <v>18</v>
      </c>
      <c r="Y17" s="3">
        <v>28</v>
      </c>
    </row>
    <row x14ac:dyDescent="0.25" r="18" customHeight="1" ht="18.75">
      <c r="A18" s="2" t="s">
        <v>57</v>
      </c>
      <c r="B18" s="3">
        <v>19</v>
      </c>
      <c r="C18" s="3">
        <v>4</v>
      </c>
      <c r="D18" s="3">
        <v>121</v>
      </c>
      <c r="E18" s="3">
        <v>112</v>
      </c>
      <c r="F18" s="3">
        <v>2868</v>
      </c>
      <c r="G18" s="11">
        <f>IFERROR(E18/F18, "")</f>
      </c>
      <c r="H18" s="11">
        <v>15.5</v>
      </c>
      <c r="I18" s="3">
        <v>73</v>
      </c>
      <c r="J18" s="2" t="s">
        <v>27</v>
      </c>
      <c r="K18" s="2"/>
      <c r="L18" s="2"/>
      <c r="M18" s="2"/>
      <c r="N18" s="2"/>
      <c r="O18" s="2"/>
      <c r="P18" s="2"/>
      <c r="Q18" s="2"/>
      <c r="R18" s="2"/>
      <c r="S18" s="2"/>
      <c r="T18" s="2"/>
      <c r="U18" s="3">
        <v>78</v>
      </c>
      <c r="V18" s="3">
        <v>6</v>
      </c>
      <c r="W18" s="3">
        <v>8</v>
      </c>
      <c r="X18" s="3">
        <v>22</v>
      </c>
      <c r="Y18" s="3">
        <v>36</v>
      </c>
    </row>
    <row x14ac:dyDescent="0.25" r="19" customHeight="1" ht="18.75">
      <c r="A19" s="2" t="s">
        <v>58</v>
      </c>
      <c r="B19" s="3">
        <v>20</v>
      </c>
      <c r="C19" s="3">
        <v>4</v>
      </c>
      <c r="D19" s="3">
        <v>114</v>
      </c>
      <c r="E19" s="3">
        <v>91</v>
      </c>
      <c r="F19" s="3">
        <v>2582</v>
      </c>
      <c r="G19" s="11">
        <f>IFERROR(E19/F19, "")</f>
      </c>
      <c r="H19" s="3">
        <v>14</v>
      </c>
      <c r="I19" s="3">
        <v>73</v>
      </c>
      <c r="J19" s="2" t="s">
        <v>27</v>
      </c>
      <c r="K19" s="2"/>
      <c r="L19" s="2"/>
      <c r="M19" s="2"/>
      <c r="N19" s="2"/>
      <c r="O19" s="2"/>
      <c r="P19" s="2"/>
      <c r="Q19" s="2"/>
      <c r="R19" s="2"/>
      <c r="S19" s="2"/>
      <c r="T19" s="2"/>
      <c r="U19" s="3">
        <v>79</v>
      </c>
      <c r="V19" s="3">
        <v>4</v>
      </c>
      <c r="W19" s="3">
        <v>2</v>
      </c>
      <c r="X19" s="3">
        <v>23</v>
      </c>
      <c r="Y19" s="3">
        <v>29</v>
      </c>
    </row>
    <row x14ac:dyDescent="0.25" r="20" customHeight="1" ht="18.75">
      <c r="A20" s="2" t="s">
        <v>59</v>
      </c>
      <c r="B20" s="3">
        <v>24</v>
      </c>
      <c r="C20" s="3">
        <v>4</v>
      </c>
      <c r="D20" s="3">
        <v>116</v>
      </c>
      <c r="E20" s="3">
        <v>75</v>
      </c>
      <c r="F20" s="3">
        <v>2158</v>
      </c>
      <c r="G20" s="11">
        <f>IFERROR(E20/F20, "")</f>
      </c>
      <c r="H20" s="11">
        <v>15.5</v>
      </c>
      <c r="I20" s="3">
        <v>73</v>
      </c>
      <c r="J20" s="2" t="s">
        <v>27</v>
      </c>
      <c r="K20" s="2"/>
      <c r="L20" s="2"/>
      <c r="M20" s="2"/>
      <c r="N20" s="2"/>
      <c r="O20" s="2"/>
      <c r="P20" s="2"/>
      <c r="Q20" s="2"/>
      <c r="R20" s="2"/>
      <c r="S20" s="2"/>
      <c r="T20" s="2"/>
      <c r="U20" s="3">
        <v>80</v>
      </c>
      <c r="V20" s="3">
        <v>9</v>
      </c>
      <c r="W20" s="3">
        <v>13</v>
      </c>
      <c r="X20" s="3">
        <v>7</v>
      </c>
      <c r="Y20" s="3">
        <v>29</v>
      </c>
    </row>
    <row x14ac:dyDescent="0.25" r="21" customHeight="1" ht="18.75">
      <c r="A21" s="2" t="s">
        <v>60</v>
      </c>
      <c r="B21" s="3">
        <v>29</v>
      </c>
      <c r="C21" s="3">
        <v>4</v>
      </c>
      <c r="D21" s="3">
        <v>68</v>
      </c>
      <c r="E21" s="3">
        <v>49</v>
      </c>
      <c r="F21" s="3">
        <v>1867</v>
      </c>
      <c r="G21" s="11">
        <f>IFERROR(E21/F21, "")</f>
      </c>
      <c r="H21" s="11">
        <v>19.5</v>
      </c>
      <c r="I21" s="3">
        <v>73</v>
      </c>
      <c r="J21" s="2" t="s">
        <v>27</v>
      </c>
      <c r="K21" s="2"/>
      <c r="L21" s="2"/>
      <c r="M21" s="2"/>
      <c r="N21" s="2"/>
      <c r="O21" s="2"/>
      <c r="P21" s="2"/>
      <c r="Q21" s="2"/>
      <c r="R21" s="2"/>
      <c r="S21" s="2"/>
      <c r="T21" s="2"/>
      <c r="U21" s="3">
        <v>81</v>
      </c>
      <c r="V21" s="3">
        <v>4</v>
      </c>
      <c r="W21" s="3">
        <v>12</v>
      </c>
      <c r="X21" s="3">
        <v>13</v>
      </c>
      <c r="Y21" s="3">
        <v>29</v>
      </c>
    </row>
    <row x14ac:dyDescent="0.25" r="22" customHeight="1" ht="18.75">
      <c r="A22" s="2" t="s">
        <v>61</v>
      </c>
      <c r="B22" s="3">
        <v>26</v>
      </c>
      <c r="C22" s="3">
        <v>4</v>
      </c>
      <c r="D22" s="3">
        <v>97</v>
      </c>
      <c r="E22" s="3">
        <v>46</v>
      </c>
      <c r="F22" s="3">
        <v>1950</v>
      </c>
      <c r="G22" s="11">
        <f>IFERROR(E22/F22, "")</f>
      </c>
      <c r="H22" s="3">
        <v>21</v>
      </c>
      <c r="I22" s="3">
        <v>73</v>
      </c>
      <c r="J22" s="2" t="s">
        <v>27</v>
      </c>
      <c r="K22" s="2"/>
      <c r="L22" s="2"/>
      <c r="M22" s="2"/>
      <c r="N22" s="2"/>
      <c r="O22" s="2"/>
      <c r="P22" s="2"/>
      <c r="Q22" s="2"/>
      <c r="R22" s="2"/>
      <c r="S22" s="2"/>
      <c r="T22" s="2"/>
      <c r="U22" s="3">
        <v>82</v>
      </c>
      <c r="V22" s="3">
        <v>2</v>
      </c>
      <c r="W22" s="3">
        <v>9</v>
      </c>
      <c r="X22" s="3">
        <v>20</v>
      </c>
      <c r="Y22" s="3">
        <v>31</v>
      </c>
    </row>
    <row x14ac:dyDescent="0.25" r="23" customHeight="1" ht="18.75">
      <c r="A23" s="2" t="s">
        <v>62</v>
      </c>
      <c r="B23" s="3">
        <v>29</v>
      </c>
      <c r="C23" s="3">
        <v>4</v>
      </c>
      <c r="D23" s="3">
        <v>98</v>
      </c>
      <c r="E23" s="3">
        <v>83</v>
      </c>
      <c r="F23" s="3">
        <v>2219</v>
      </c>
      <c r="G23" s="11">
        <f>IFERROR(E23/F23, "")</f>
      </c>
      <c r="H23" s="11">
        <v>16.5</v>
      </c>
      <c r="I23" s="3">
        <v>74</v>
      </c>
      <c r="J23" s="2" t="s">
        <v>27</v>
      </c>
      <c r="K23" s="2"/>
      <c r="L23" s="2"/>
      <c r="M23" s="2"/>
      <c r="N23" s="2"/>
      <c r="O23" s="2"/>
      <c r="P23" s="2"/>
      <c r="Q23" s="2"/>
      <c r="R23" s="2"/>
      <c r="S23" s="2"/>
      <c r="T23" s="2" t="s">
        <v>364</v>
      </c>
      <c r="U23" s="9"/>
      <c r="V23" s="3">
        <v>210</v>
      </c>
      <c r="W23" s="3">
        <v>237</v>
      </c>
      <c r="X23" s="3">
        <v>747</v>
      </c>
      <c r="Y23" s="3">
        <v>1194</v>
      </c>
    </row>
    <row x14ac:dyDescent="0.25" r="24" customHeight="1" ht="18.75">
      <c r="A24" s="2" t="s">
        <v>60</v>
      </c>
      <c r="B24" s="3">
        <v>24</v>
      </c>
      <c r="C24" s="3">
        <v>4</v>
      </c>
      <c r="D24" s="3">
        <v>90</v>
      </c>
      <c r="E24" s="3">
        <v>75</v>
      </c>
      <c r="F24" s="3">
        <v>2108</v>
      </c>
      <c r="G24" s="11">
        <f>IFERROR(E24/F24, "")</f>
      </c>
      <c r="H24" s="11">
        <v>15.5</v>
      </c>
      <c r="I24" s="3">
        <v>74</v>
      </c>
      <c r="J24" s="2" t="s">
        <v>27</v>
      </c>
      <c r="K24" s="2"/>
      <c r="L24" s="2"/>
      <c r="M24" s="2"/>
      <c r="N24" s="2"/>
      <c r="O24" s="2"/>
      <c r="P24" s="2"/>
      <c r="Q24" s="2"/>
      <c r="R24" s="2"/>
      <c r="S24" s="2"/>
      <c r="T24" s="2"/>
      <c r="U24" s="9"/>
      <c r="V24" s="9"/>
      <c r="W24" s="9"/>
      <c r="X24" s="9"/>
      <c r="Y24" s="9"/>
    </row>
    <row x14ac:dyDescent="0.25" r="25" customHeight="1" ht="18.75">
      <c r="A25" s="2" t="s">
        <v>63</v>
      </c>
      <c r="B25" s="3">
        <v>26</v>
      </c>
      <c r="C25" s="3">
        <v>4</v>
      </c>
      <c r="D25" s="3">
        <v>79</v>
      </c>
      <c r="E25" s="3">
        <v>67</v>
      </c>
      <c r="F25" s="3">
        <v>1963</v>
      </c>
      <c r="G25" s="11">
        <f>IFERROR(E25/F25, "")</f>
      </c>
      <c r="H25" s="11">
        <v>15.5</v>
      </c>
      <c r="I25" s="3">
        <v>74</v>
      </c>
      <c r="J25" s="2" t="s">
        <v>27</v>
      </c>
      <c r="K25" s="2"/>
      <c r="L25" s="2"/>
      <c r="M25" s="2"/>
      <c r="N25" s="2"/>
      <c r="O25" s="2"/>
      <c r="P25" s="2"/>
      <c r="Q25" s="2"/>
      <c r="R25" s="2"/>
      <c r="S25" s="2"/>
      <c r="T25" s="2"/>
      <c r="U25" s="9"/>
      <c r="V25" s="9"/>
      <c r="W25" s="9"/>
      <c r="X25" s="9"/>
      <c r="Y25" s="9"/>
    </row>
    <row x14ac:dyDescent="0.25" r="26" customHeight="1" ht="18.75">
      <c r="A26" s="2" t="s">
        <v>59</v>
      </c>
      <c r="B26" s="3">
        <v>26</v>
      </c>
      <c r="C26" s="3">
        <v>4</v>
      </c>
      <c r="D26" s="3">
        <v>97</v>
      </c>
      <c r="E26" s="3">
        <v>78</v>
      </c>
      <c r="F26" s="3">
        <v>2300</v>
      </c>
      <c r="G26" s="11">
        <f>IFERROR(E26/F26, "")</f>
      </c>
      <c r="H26" s="11">
        <v>14.5</v>
      </c>
      <c r="I26" s="3">
        <v>74</v>
      </c>
      <c r="J26" s="2" t="s">
        <v>27</v>
      </c>
      <c r="K26" s="2"/>
      <c r="L26" s="2"/>
      <c r="M26" s="2"/>
      <c r="N26" s="2"/>
      <c r="O26" s="2"/>
      <c r="P26" s="2"/>
      <c r="Q26" s="2"/>
      <c r="R26" s="2"/>
      <c r="S26" s="2"/>
      <c r="T26" s="2"/>
      <c r="U26" s="9"/>
      <c r="V26" s="9"/>
      <c r="W26" s="9"/>
      <c r="X26" s="9"/>
      <c r="Y26" s="9"/>
    </row>
    <row x14ac:dyDescent="0.25" r="27" customHeight="1" ht="18.75">
      <c r="A27" s="2" t="s">
        <v>64</v>
      </c>
      <c r="B27" s="3">
        <v>31</v>
      </c>
      <c r="C27" s="3">
        <v>4</v>
      </c>
      <c r="D27" s="3">
        <v>79</v>
      </c>
      <c r="E27" s="3">
        <v>67</v>
      </c>
      <c r="F27" s="3">
        <v>2000</v>
      </c>
      <c r="G27" s="11">
        <f>IFERROR(E27/F27, "")</f>
      </c>
      <c r="H27" s="3">
        <v>16</v>
      </c>
      <c r="I27" s="3">
        <v>74</v>
      </c>
      <c r="J27" s="2" t="s">
        <v>27</v>
      </c>
      <c r="K27" s="2"/>
      <c r="L27" s="2"/>
      <c r="M27" s="2"/>
      <c r="N27" s="2"/>
      <c r="O27" s="2"/>
      <c r="P27" s="2"/>
      <c r="Q27" s="2"/>
      <c r="R27" s="2"/>
      <c r="S27" s="2"/>
      <c r="T27" s="2"/>
      <c r="U27" s="9"/>
      <c r="V27" s="9"/>
      <c r="W27" s="9"/>
      <c r="X27" s="9"/>
      <c r="Y27" s="9"/>
    </row>
    <row x14ac:dyDescent="0.25" r="28" customHeight="1" ht="18.75">
      <c r="A28" s="2" t="s">
        <v>65</v>
      </c>
      <c r="B28" s="3">
        <v>26</v>
      </c>
      <c r="C28" s="3">
        <v>4</v>
      </c>
      <c r="D28" s="3">
        <v>116</v>
      </c>
      <c r="E28" s="3">
        <v>75</v>
      </c>
      <c r="F28" s="3">
        <v>2246</v>
      </c>
      <c r="G28" s="11">
        <f>IFERROR(E28/F28, "")</f>
      </c>
      <c r="H28" s="3">
        <v>14</v>
      </c>
      <c r="I28" s="3">
        <v>74</v>
      </c>
      <c r="J28" s="2" t="s">
        <v>27</v>
      </c>
      <c r="K28" s="2"/>
      <c r="L28" s="2"/>
      <c r="M28" s="2"/>
      <c r="N28" s="2"/>
      <c r="O28" s="2"/>
      <c r="P28" s="2"/>
      <c r="Q28" s="2"/>
      <c r="R28" s="2"/>
      <c r="S28" s="2"/>
      <c r="T28" s="2"/>
      <c r="U28" s="9"/>
      <c r="V28" s="9"/>
      <c r="W28" s="9"/>
      <c r="X28" s="9"/>
      <c r="Y28" s="9"/>
    </row>
    <row x14ac:dyDescent="0.25" r="29" customHeight="1" ht="18.75">
      <c r="A29" s="2" t="s">
        <v>55</v>
      </c>
      <c r="B29" s="3">
        <v>25</v>
      </c>
      <c r="C29" s="3">
        <v>4</v>
      </c>
      <c r="D29" s="3">
        <v>121</v>
      </c>
      <c r="E29" s="3">
        <v>115</v>
      </c>
      <c r="F29" s="3">
        <v>2671</v>
      </c>
      <c r="G29" s="11">
        <f>IFERROR(E29/F29, "")</f>
      </c>
      <c r="H29" s="11">
        <v>13.5</v>
      </c>
      <c r="I29" s="3">
        <v>75</v>
      </c>
      <c r="J29" s="2" t="s">
        <v>27</v>
      </c>
      <c r="K29" s="2"/>
      <c r="L29" s="2"/>
      <c r="M29" s="2"/>
      <c r="N29" s="2"/>
      <c r="O29" s="2"/>
      <c r="P29" s="2"/>
      <c r="Q29" s="2"/>
      <c r="R29" s="2"/>
      <c r="S29" s="2"/>
      <c r="T29" s="2"/>
      <c r="U29" s="9"/>
      <c r="V29" s="9"/>
      <c r="W29" s="9"/>
      <c r="X29" s="9"/>
      <c r="Y29" s="9"/>
    </row>
    <row x14ac:dyDescent="0.25" r="30" customHeight="1" ht="18.75">
      <c r="A30" s="2" t="s">
        <v>66</v>
      </c>
      <c r="B30" s="3">
        <v>29</v>
      </c>
      <c r="C30" s="3">
        <v>4</v>
      </c>
      <c r="D30" s="3">
        <v>90</v>
      </c>
      <c r="E30" s="3">
        <v>70</v>
      </c>
      <c r="F30" s="3">
        <v>1937</v>
      </c>
      <c r="G30" s="11">
        <f>IFERROR(E30/F30, "")</f>
      </c>
      <c r="H30" s="3">
        <v>14</v>
      </c>
      <c r="I30" s="3">
        <v>75</v>
      </c>
      <c r="J30" s="2" t="s">
        <v>27</v>
      </c>
      <c r="K30" s="2"/>
      <c r="L30" s="2"/>
      <c r="M30" s="2"/>
      <c r="N30" s="2"/>
      <c r="O30" s="2"/>
      <c r="P30" s="2"/>
      <c r="Q30" s="2"/>
      <c r="R30" s="2"/>
      <c r="S30" s="2"/>
      <c r="T30" s="2"/>
      <c r="U30" s="9"/>
      <c r="V30" s="9"/>
      <c r="W30" s="9"/>
      <c r="X30" s="9"/>
      <c r="Y30" s="9"/>
    </row>
    <row x14ac:dyDescent="0.25" r="31" customHeight="1" ht="18.75">
      <c r="A31" s="2" t="s">
        <v>58</v>
      </c>
      <c r="B31" s="3">
        <v>23</v>
      </c>
      <c r="C31" s="3">
        <v>4</v>
      </c>
      <c r="D31" s="3">
        <v>115</v>
      </c>
      <c r="E31" s="3">
        <v>95</v>
      </c>
      <c r="F31" s="3">
        <v>2694</v>
      </c>
      <c r="G31" s="11">
        <f>IFERROR(E31/F31, "")</f>
      </c>
      <c r="H31" s="3">
        <v>15</v>
      </c>
      <c r="I31" s="3">
        <v>75</v>
      </c>
      <c r="J31" s="2" t="s">
        <v>27</v>
      </c>
      <c r="K31" s="2"/>
      <c r="L31" s="2"/>
      <c r="M31" s="2"/>
      <c r="N31" s="2"/>
      <c r="O31" s="2"/>
      <c r="P31" s="2"/>
      <c r="Q31" s="2"/>
      <c r="R31" s="2"/>
      <c r="S31" s="2"/>
      <c r="T31" s="2"/>
      <c r="U31" s="9"/>
      <c r="V31" s="9"/>
      <c r="W31" s="9"/>
      <c r="X31" s="9"/>
      <c r="Y31" s="9"/>
    </row>
    <row x14ac:dyDescent="0.25" r="32" customHeight="1" ht="18.75">
      <c r="A32" s="2" t="s">
        <v>67</v>
      </c>
      <c r="B32" s="3">
        <v>22</v>
      </c>
      <c r="C32" s="3">
        <v>4</v>
      </c>
      <c r="D32" s="3">
        <v>121</v>
      </c>
      <c r="E32" s="3">
        <v>98</v>
      </c>
      <c r="F32" s="3">
        <v>2945</v>
      </c>
      <c r="G32" s="11">
        <f>IFERROR(E32/F32, "")</f>
      </c>
      <c r="H32" s="11">
        <v>14.5</v>
      </c>
      <c r="I32" s="3">
        <v>75</v>
      </c>
      <c r="J32" s="2" t="s">
        <v>27</v>
      </c>
      <c r="K32" s="2"/>
      <c r="L32" s="2"/>
      <c r="M32" s="2"/>
      <c r="N32" s="2"/>
      <c r="O32" s="2"/>
      <c r="P32" s="2"/>
      <c r="Q32" s="2"/>
      <c r="R32" s="2"/>
      <c r="S32" s="2"/>
      <c r="T32" s="2"/>
      <c r="U32" s="9"/>
      <c r="V32" s="9"/>
      <c r="W32" s="9"/>
      <c r="X32" s="9"/>
      <c r="Y32" s="9"/>
    </row>
    <row x14ac:dyDescent="0.25" r="33" customHeight="1" ht="18.75">
      <c r="A33" s="2" t="s">
        <v>63</v>
      </c>
      <c r="B33" s="3">
        <v>25</v>
      </c>
      <c r="C33" s="3">
        <v>4</v>
      </c>
      <c r="D33" s="3">
        <v>90</v>
      </c>
      <c r="E33" s="3">
        <v>71</v>
      </c>
      <c r="F33" s="3">
        <v>2223</v>
      </c>
      <c r="G33" s="11">
        <f>IFERROR(E33/F33, "")</f>
      </c>
      <c r="H33" s="11">
        <v>16.5</v>
      </c>
      <c r="I33" s="3">
        <v>75</v>
      </c>
      <c r="J33" s="2" t="s">
        <v>27</v>
      </c>
      <c r="K33" s="2"/>
      <c r="L33" s="2"/>
      <c r="M33" s="2"/>
      <c r="N33" s="2"/>
      <c r="O33" s="2"/>
      <c r="P33" s="2"/>
      <c r="Q33" s="2"/>
      <c r="R33" s="2"/>
      <c r="S33" s="2"/>
      <c r="T33" s="2"/>
      <c r="U33" s="9"/>
      <c r="V33" s="9"/>
      <c r="W33" s="9"/>
      <c r="X33" s="9"/>
      <c r="Y33" s="9"/>
    </row>
    <row x14ac:dyDescent="0.25" r="34" customHeight="1" ht="18.75">
      <c r="A34" s="2" t="s">
        <v>44</v>
      </c>
      <c r="B34" s="3">
        <v>23</v>
      </c>
      <c r="C34" s="3">
        <v>4</v>
      </c>
      <c r="D34" s="3">
        <v>120</v>
      </c>
      <c r="E34" s="3">
        <v>88</v>
      </c>
      <c r="F34" s="3">
        <v>2957</v>
      </c>
      <c r="G34" s="11">
        <f>IFERROR(E34/F34, "")</f>
      </c>
      <c r="H34" s="3">
        <v>17</v>
      </c>
      <c r="I34" s="3">
        <v>75</v>
      </c>
      <c r="J34" s="2" t="s">
        <v>27</v>
      </c>
      <c r="K34" s="2"/>
      <c r="L34" s="2"/>
      <c r="M34" s="2"/>
      <c r="N34" s="2"/>
      <c r="O34" s="2"/>
      <c r="P34" s="2"/>
      <c r="Q34" s="2"/>
      <c r="R34" s="2"/>
      <c r="S34" s="2"/>
      <c r="T34" s="2"/>
      <c r="U34" s="9"/>
      <c r="V34" s="9"/>
      <c r="W34" s="9"/>
      <c r="X34" s="9"/>
      <c r="Y34" s="9"/>
    </row>
    <row x14ac:dyDescent="0.25" r="35" customHeight="1" ht="18.75">
      <c r="A35" s="2" t="s">
        <v>66</v>
      </c>
      <c r="B35" s="11">
        <v>29.5</v>
      </c>
      <c r="C35" s="3">
        <v>4</v>
      </c>
      <c r="D35" s="3">
        <v>97</v>
      </c>
      <c r="E35" s="3">
        <v>71</v>
      </c>
      <c r="F35" s="3">
        <v>1825</v>
      </c>
      <c r="G35" s="11">
        <f>IFERROR(E35/F35, "")</f>
      </c>
      <c r="H35" s="11">
        <v>12.2</v>
      </c>
      <c r="I35" s="3">
        <v>76</v>
      </c>
      <c r="J35" s="2" t="s">
        <v>27</v>
      </c>
      <c r="K35" s="2"/>
      <c r="L35" s="2"/>
      <c r="M35" s="2"/>
      <c r="N35" s="2"/>
      <c r="O35" s="2"/>
      <c r="P35" s="2"/>
      <c r="Q35" s="2"/>
      <c r="R35" s="2"/>
      <c r="S35" s="2"/>
      <c r="T35" s="2"/>
      <c r="U35" s="9"/>
      <c r="V35" s="9"/>
      <c r="W35" s="9"/>
      <c r="X35" s="9"/>
      <c r="Y35" s="9"/>
    </row>
    <row x14ac:dyDescent="0.25" r="36" customHeight="1" ht="18.75">
      <c r="A36" s="2" t="s">
        <v>68</v>
      </c>
      <c r="B36" s="3">
        <v>27</v>
      </c>
      <c r="C36" s="3">
        <v>4</v>
      </c>
      <c r="D36" s="3">
        <v>101</v>
      </c>
      <c r="E36" s="3">
        <v>83</v>
      </c>
      <c r="F36" s="3">
        <v>2202</v>
      </c>
      <c r="G36" s="11">
        <f>IFERROR(E36/F36, "")</f>
      </c>
      <c r="H36" s="11">
        <v>15.3</v>
      </c>
      <c r="I36" s="3">
        <v>76</v>
      </c>
      <c r="J36" s="2" t="s">
        <v>27</v>
      </c>
      <c r="K36" s="2"/>
      <c r="L36" s="2"/>
      <c r="M36" s="2"/>
      <c r="N36" s="2"/>
      <c r="O36" s="2"/>
      <c r="P36" s="2"/>
      <c r="Q36" s="2"/>
      <c r="R36" s="2"/>
      <c r="S36" s="2"/>
      <c r="T36" s="2"/>
      <c r="U36" s="9"/>
      <c r="V36" s="9"/>
      <c r="W36" s="9"/>
      <c r="X36" s="9"/>
      <c r="Y36" s="9"/>
    </row>
    <row x14ac:dyDescent="0.25" r="37" customHeight="1" ht="18.75">
      <c r="A37" s="2" t="s">
        <v>46</v>
      </c>
      <c r="B37" s="3">
        <v>25</v>
      </c>
      <c r="C37" s="3">
        <v>4</v>
      </c>
      <c r="D37" s="3">
        <v>116</v>
      </c>
      <c r="E37" s="3">
        <v>81</v>
      </c>
      <c r="F37" s="3">
        <v>2220</v>
      </c>
      <c r="G37" s="11">
        <f>IFERROR(E37/F37, "")</f>
      </c>
      <c r="H37" s="11">
        <v>16.9</v>
      </c>
      <c r="I37" s="3">
        <v>76</v>
      </c>
      <c r="J37" s="2" t="s">
        <v>27</v>
      </c>
      <c r="K37" s="2"/>
      <c r="L37" s="2"/>
      <c r="M37" s="2"/>
      <c r="N37" s="2"/>
      <c r="O37" s="2"/>
      <c r="P37" s="2"/>
      <c r="Q37" s="2"/>
      <c r="R37" s="2"/>
      <c r="S37" s="2"/>
      <c r="T37" s="2"/>
      <c r="U37" s="9"/>
      <c r="V37" s="9"/>
      <c r="W37" s="9"/>
      <c r="X37" s="9"/>
      <c r="Y37" s="9"/>
    </row>
    <row x14ac:dyDescent="0.25" r="38" customHeight="1" ht="18.75">
      <c r="A38" s="2" t="s">
        <v>69</v>
      </c>
      <c r="B38" s="3">
        <v>29</v>
      </c>
      <c r="C38" s="3">
        <v>4</v>
      </c>
      <c r="D38" s="3">
        <v>90</v>
      </c>
      <c r="E38" s="3">
        <v>70</v>
      </c>
      <c r="F38" s="3">
        <v>1937</v>
      </c>
      <c r="G38" s="11">
        <f>IFERROR(E38/F38, "")</f>
      </c>
      <c r="H38" s="11">
        <v>14.2</v>
      </c>
      <c r="I38" s="3">
        <v>76</v>
      </c>
      <c r="J38" s="2" t="s">
        <v>27</v>
      </c>
      <c r="K38" s="2"/>
      <c r="L38" s="2"/>
      <c r="M38" s="2"/>
      <c r="N38" s="2"/>
      <c r="O38" s="2"/>
      <c r="P38" s="2"/>
      <c r="Q38" s="2"/>
      <c r="R38" s="2"/>
      <c r="S38" s="2"/>
      <c r="T38" s="2"/>
      <c r="U38" s="9"/>
      <c r="V38" s="9"/>
      <c r="W38" s="9"/>
      <c r="X38" s="9"/>
      <c r="Y38" s="9"/>
    </row>
    <row x14ac:dyDescent="0.25" r="39" customHeight="1" ht="18.75">
      <c r="A39" s="2" t="s">
        <v>70</v>
      </c>
      <c r="B39" s="3">
        <v>28</v>
      </c>
      <c r="C39" s="3">
        <v>4</v>
      </c>
      <c r="D39" s="3">
        <v>107</v>
      </c>
      <c r="E39" s="3">
        <v>86</v>
      </c>
      <c r="F39" s="3">
        <v>2464</v>
      </c>
      <c r="G39" s="11">
        <f>IFERROR(E39/F39, "")</f>
      </c>
      <c r="H39" s="11">
        <v>15.5</v>
      </c>
      <c r="I39" s="3">
        <v>76</v>
      </c>
      <c r="J39" s="2" t="s">
        <v>27</v>
      </c>
      <c r="K39" s="2"/>
      <c r="L39" s="2"/>
      <c r="M39" s="2"/>
      <c r="N39" s="2"/>
      <c r="O39" s="2"/>
      <c r="P39" s="2"/>
      <c r="Q39" s="2"/>
      <c r="R39" s="2"/>
      <c r="S39" s="2"/>
      <c r="T39" s="2"/>
      <c r="U39" s="9"/>
      <c r="V39" s="9"/>
      <c r="W39" s="9"/>
      <c r="X39" s="9"/>
      <c r="Y39" s="9"/>
    </row>
    <row x14ac:dyDescent="0.25" r="40" customHeight="1" ht="18.75">
      <c r="A40" s="2" t="s">
        <v>71</v>
      </c>
      <c r="B40" s="3">
        <v>20</v>
      </c>
      <c r="C40" s="3">
        <v>4</v>
      </c>
      <c r="D40" s="3">
        <v>130</v>
      </c>
      <c r="E40" s="3">
        <v>102</v>
      </c>
      <c r="F40" s="3">
        <v>3150</v>
      </c>
      <c r="G40" s="11">
        <f>IFERROR(E40/F40, "")</f>
      </c>
      <c r="H40" s="11">
        <v>15.7</v>
      </c>
      <c r="I40" s="3">
        <v>76</v>
      </c>
      <c r="J40" s="2" t="s">
        <v>27</v>
      </c>
      <c r="K40" s="2"/>
      <c r="L40" s="2"/>
      <c r="M40" s="2"/>
      <c r="N40" s="2"/>
      <c r="O40" s="2"/>
      <c r="P40" s="2"/>
      <c r="Q40" s="2"/>
      <c r="R40" s="2"/>
      <c r="S40" s="2"/>
      <c r="T40" s="2"/>
      <c r="U40" s="9"/>
      <c r="V40" s="9"/>
      <c r="W40" s="9"/>
      <c r="X40" s="9"/>
      <c r="Y40" s="9"/>
    </row>
    <row x14ac:dyDescent="0.25" r="41" customHeight="1" ht="18.75">
      <c r="A41" s="2" t="s">
        <v>44</v>
      </c>
      <c r="B41" s="3">
        <v>19</v>
      </c>
      <c r="C41" s="3">
        <v>4</v>
      </c>
      <c r="D41" s="3">
        <v>120</v>
      </c>
      <c r="E41" s="3">
        <v>88</v>
      </c>
      <c r="F41" s="3">
        <v>3270</v>
      </c>
      <c r="G41" s="11">
        <f>IFERROR(E41/F41, "")</f>
      </c>
      <c r="H41" s="11">
        <v>21.9</v>
      </c>
      <c r="I41" s="3">
        <v>76</v>
      </c>
      <c r="J41" s="2" t="s">
        <v>27</v>
      </c>
      <c r="K41" s="2"/>
      <c r="L41" s="2"/>
      <c r="M41" s="2"/>
      <c r="N41" s="2"/>
      <c r="O41" s="2"/>
      <c r="P41" s="2"/>
      <c r="Q41" s="2"/>
      <c r="R41" s="2"/>
      <c r="S41" s="2"/>
      <c r="T41" s="2"/>
      <c r="U41" s="9"/>
      <c r="V41" s="9"/>
      <c r="W41" s="9"/>
      <c r="X41" s="9"/>
      <c r="Y41" s="9"/>
    </row>
    <row x14ac:dyDescent="0.25" r="42" customHeight="1" ht="18.75">
      <c r="A42" s="2" t="s">
        <v>72</v>
      </c>
      <c r="B42" s="11">
        <v>16.5</v>
      </c>
      <c r="C42" s="3">
        <v>6</v>
      </c>
      <c r="D42" s="3">
        <v>168</v>
      </c>
      <c r="E42" s="3">
        <v>120</v>
      </c>
      <c r="F42" s="3">
        <v>3820</v>
      </c>
      <c r="G42" s="11">
        <f>IFERROR(E42/F42, "")</f>
      </c>
      <c r="H42" s="11">
        <v>16.7</v>
      </c>
      <c r="I42" s="3">
        <v>76</v>
      </c>
      <c r="J42" s="2" t="s">
        <v>27</v>
      </c>
      <c r="K42" s="2"/>
      <c r="L42" s="2"/>
      <c r="M42" s="2"/>
      <c r="N42" s="2"/>
      <c r="O42" s="2"/>
      <c r="P42" s="2"/>
      <c r="Q42" s="2"/>
      <c r="R42" s="2"/>
      <c r="S42" s="2"/>
      <c r="T42" s="2"/>
      <c r="U42" s="9"/>
      <c r="V42" s="9"/>
      <c r="W42" s="9"/>
      <c r="X42" s="9"/>
      <c r="Y42" s="9"/>
    </row>
    <row x14ac:dyDescent="0.25" r="43" customHeight="1" ht="18.75">
      <c r="A43" s="2" t="s">
        <v>73</v>
      </c>
      <c r="B43" s="11">
        <v>21.5</v>
      </c>
      <c r="C43" s="3">
        <v>4</v>
      </c>
      <c r="D43" s="3">
        <v>121</v>
      </c>
      <c r="E43" s="3">
        <v>110</v>
      </c>
      <c r="F43" s="3">
        <v>2600</v>
      </c>
      <c r="G43" s="11">
        <f>IFERROR(E43/F43, "")</f>
      </c>
      <c r="H43" s="11">
        <v>12.8</v>
      </c>
      <c r="I43" s="3">
        <v>77</v>
      </c>
      <c r="J43" s="2" t="s">
        <v>27</v>
      </c>
      <c r="K43" s="2"/>
      <c r="L43" s="2"/>
      <c r="M43" s="2"/>
      <c r="N43" s="2"/>
      <c r="O43" s="2"/>
      <c r="P43" s="2"/>
      <c r="Q43" s="2"/>
      <c r="R43" s="2"/>
      <c r="S43" s="2"/>
      <c r="T43" s="2"/>
      <c r="U43" s="9"/>
      <c r="V43" s="9"/>
      <c r="W43" s="9"/>
      <c r="X43" s="9"/>
      <c r="Y43" s="9"/>
    </row>
    <row x14ac:dyDescent="0.25" r="44" customHeight="1" ht="18.75">
      <c r="A44" s="2" t="s">
        <v>74</v>
      </c>
      <c r="B44" s="3">
        <v>29</v>
      </c>
      <c r="C44" s="3">
        <v>4</v>
      </c>
      <c r="D44" s="3">
        <v>97</v>
      </c>
      <c r="E44" s="3">
        <v>78</v>
      </c>
      <c r="F44" s="3">
        <v>1940</v>
      </c>
      <c r="G44" s="11">
        <f>IFERROR(E44/F44, "")</f>
      </c>
      <c r="H44" s="11">
        <v>14.5</v>
      </c>
      <c r="I44" s="3">
        <v>77</v>
      </c>
      <c r="J44" s="2" t="s">
        <v>27</v>
      </c>
      <c r="K44" s="2"/>
      <c r="L44" s="2"/>
      <c r="M44" s="2"/>
      <c r="N44" s="2"/>
      <c r="O44" s="2"/>
      <c r="P44" s="2"/>
      <c r="Q44" s="2"/>
      <c r="R44" s="2"/>
      <c r="S44" s="2"/>
      <c r="T44" s="2"/>
      <c r="U44" s="9"/>
      <c r="V44" s="9"/>
      <c r="W44" s="9"/>
      <c r="X44" s="9"/>
      <c r="Y44" s="9"/>
    </row>
    <row x14ac:dyDescent="0.25" r="45" customHeight="1" ht="18.75">
      <c r="A45" s="2" t="s">
        <v>63</v>
      </c>
      <c r="B45" s="11">
        <v>30.5</v>
      </c>
      <c r="C45" s="3">
        <v>4</v>
      </c>
      <c r="D45" s="3">
        <v>97</v>
      </c>
      <c r="E45" s="3">
        <v>78</v>
      </c>
      <c r="F45" s="3">
        <v>2190</v>
      </c>
      <c r="G45" s="11">
        <f>IFERROR(E45/F45, "")</f>
      </c>
      <c r="H45" s="11">
        <v>14.1</v>
      </c>
      <c r="I45" s="3">
        <v>77</v>
      </c>
      <c r="J45" s="2" t="s">
        <v>27</v>
      </c>
      <c r="K45" s="2"/>
      <c r="L45" s="2"/>
      <c r="M45" s="2"/>
      <c r="N45" s="2"/>
      <c r="O45" s="2"/>
      <c r="P45" s="2"/>
      <c r="Q45" s="2"/>
      <c r="R45" s="2"/>
      <c r="S45" s="2"/>
      <c r="T45" s="2"/>
      <c r="U45" s="9"/>
      <c r="V45" s="9"/>
      <c r="W45" s="9"/>
      <c r="X45" s="9"/>
      <c r="Y45" s="9"/>
    </row>
    <row x14ac:dyDescent="0.25" r="46" customHeight="1" ht="18.75">
      <c r="A46" s="2" t="s">
        <v>75</v>
      </c>
      <c r="B46" s="3">
        <v>36</v>
      </c>
      <c r="C46" s="3">
        <v>4</v>
      </c>
      <c r="D46" s="3">
        <v>79</v>
      </c>
      <c r="E46" s="3">
        <v>58</v>
      </c>
      <c r="F46" s="3">
        <v>1825</v>
      </c>
      <c r="G46" s="11">
        <f>IFERROR(E46/F46, "")</f>
      </c>
      <c r="H46" s="11">
        <v>18.6</v>
      </c>
      <c r="I46" s="3">
        <v>77</v>
      </c>
      <c r="J46" s="2" t="s">
        <v>27</v>
      </c>
      <c r="K46" s="2"/>
      <c r="L46" s="2"/>
      <c r="M46" s="2"/>
      <c r="N46" s="2"/>
      <c r="O46" s="2"/>
      <c r="P46" s="2"/>
      <c r="Q46" s="2"/>
      <c r="R46" s="2"/>
      <c r="S46" s="2"/>
      <c r="T46" s="2"/>
      <c r="U46" s="9"/>
      <c r="V46" s="9"/>
      <c r="W46" s="9"/>
      <c r="X46" s="9"/>
      <c r="Y46" s="9"/>
    </row>
    <row x14ac:dyDescent="0.25" r="47" customHeight="1" ht="18.75">
      <c r="A47" s="2" t="s">
        <v>76</v>
      </c>
      <c r="B47" s="11">
        <v>21.6</v>
      </c>
      <c r="C47" s="3">
        <v>4</v>
      </c>
      <c r="D47" s="3">
        <v>121</v>
      </c>
      <c r="E47" s="3">
        <v>115</v>
      </c>
      <c r="F47" s="3">
        <v>2795</v>
      </c>
      <c r="G47" s="11">
        <f>IFERROR(E47/F47, "")</f>
      </c>
      <c r="H47" s="11">
        <v>15.7</v>
      </c>
      <c r="I47" s="3">
        <v>78</v>
      </c>
      <c r="J47" s="2" t="s">
        <v>27</v>
      </c>
      <c r="K47" s="2"/>
      <c r="L47" s="2"/>
      <c r="M47" s="2"/>
      <c r="N47" s="2"/>
      <c r="O47" s="2"/>
      <c r="P47" s="2"/>
      <c r="Q47" s="2"/>
      <c r="R47" s="2"/>
      <c r="S47" s="2"/>
      <c r="T47" s="2"/>
      <c r="U47" s="9"/>
      <c r="V47" s="9"/>
      <c r="W47" s="9"/>
      <c r="X47" s="9"/>
      <c r="Y47" s="9"/>
    </row>
    <row x14ac:dyDescent="0.25" r="48" customHeight="1" ht="18.75">
      <c r="A48" s="2" t="s">
        <v>77</v>
      </c>
      <c r="B48" s="11">
        <v>31.5</v>
      </c>
      <c r="C48" s="3">
        <v>4</v>
      </c>
      <c r="D48" s="3">
        <v>89</v>
      </c>
      <c r="E48" s="3">
        <v>71</v>
      </c>
      <c r="F48" s="3">
        <v>1990</v>
      </c>
      <c r="G48" s="11">
        <f>IFERROR(E48/F48, "")</f>
      </c>
      <c r="H48" s="11">
        <v>14.9</v>
      </c>
      <c r="I48" s="3">
        <v>78</v>
      </c>
      <c r="J48" s="2" t="s">
        <v>27</v>
      </c>
      <c r="K48" s="2"/>
      <c r="L48" s="2"/>
      <c r="M48" s="2"/>
      <c r="N48" s="2"/>
      <c r="O48" s="2"/>
      <c r="P48" s="2"/>
      <c r="Q48" s="2"/>
      <c r="R48" s="2"/>
      <c r="S48" s="2"/>
      <c r="T48" s="2"/>
      <c r="U48" s="9"/>
      <c r="V48" s="9"/>
      <c r="W48" s="9"/>
      <c r="X48" s="9"/>
      <c r="Y48" s="9"/>
    </row>
    <row x14ac:dyDescent="0.25" r="49" customHeight="1" ht="18.75">
      <c r="A49" s="2" t="s">
        <v>78</v>
      </c>
      <c r="B49" s="11">
        <v>43.1</v>
      </c>
      <c r="C49" s="3">
        <v>4</v>
      </c>
      <c r="D49" s="3">
        <v>90</v>
      </c>
      <c r="E49" s="3">
        <v>48</v>
      </c>
      <c r="F49" s="3">
        <v>1985</v>
      </c>
      <c r="G49" s="11">
        <f>IFERROR(E49/F49, "")</f>
      </c>
      <c r="H49" s="11">
        <v>21.5</v>
      </c>
      <c r="I49" s="3">
        <v>78</v>
      </c>
      <c r="J49" s="2" t="s">
        <v>27</v>
      </c>
      <c r="K49" s="2"/>
      <c r="L49" s="2"/>
      <c r="M49" s="2"/>
      <c r="N49" s="2"/>
      <c r="O49" s="2"/>
      <c r="P49" s="2"/>
      <c r="Q49" s="2"/>
      <c r="R49" s="2"/>
      <c r="S49" s="2"/>
      <c r="T49" s="2"/>
      <c r="U49" s="9"/>
      <c r="V49" s="9"/>
      <c r="W49" s="9"/>
      <c r="X49" s="9"/>
      <c r="Y49" s="9"/>
    </row>
    <row x14ac:dyDescent="0.25" r="50" customHeight="1" ht="18.75">
      <c r="A50" s="2" t="s">
        <v>79</v>
      </c>
      <c r="B50" s="11">
        <v>20.3</v>
      </c>
      <c r="C50" s="3">
        <v>5</v>
      </c>
      <c r="D50" s="3">
        <v>131</v>
      </c>
      <c r="E50" s="3">
        <v>103</v>
      </c>
      <c r="F50" s="3">
        <v>2830</v>
      </c>
      <c r="G50" s="11">
        <f>IFERROR(E50/F50, "")</f>
      </c>
      <c r="H50" s="11">
        <v>15.9</v>
      </c>
      <c r="I50" s="3">
        <v>78</v>
      </c>
      <c r="J50" s="2" t="s">
        <v>27</v>
      </c>
      <c r="K50" s="2"/>
      <c r="L50" s="2"/>
      <c r="M50" s="2"/>
      <c r="N50" s="2"/>
      <c r="O50" s="2"/>
      <c r="P50" s="2"/>
      <c r="Q50" s="2"/>
      <c r="R50" s="2"/>
      <c r="S50" s="2"/>
      <c r="T50" s="2"/>
      <c r="U50" s="9"/>
      <c r="V50" s="9"/>
      <c r="W50" s="9"/>
      <c r="X50" s="9"/>
      <c r="Y50" s="9"/>
    </row>
    <row x14ac:dyDescent="0.25" r="51" customHeight="1" ht="18.75">
      <c r="A51" s="2" t="s">
        <v>80</v>
      </c>
      <c r="B51" s="3">
        <v>17</v>
      </c>
      <c r="C51" s="3">
        <v>6</v>
      </c>
      <c r="D51" s="3">
        <v>163</v>
      </c>
      <c r="E51" s="3">
        <v>125</v>
      </c>
      <c r="F51" s="3">
        <v>3140</v>
      </c>
      <c r="G51" s="11">
        <f>IFERROR(E51/F51, "")</f>
      </c>
      <c r="H51" s="11">
        <v>13.6</v>
      </c>
      <c r="I51" s="3">
        <v>78</v>
      </c>
      <c r="J51" s="2" t="s">
        <v>27</v>
      </c>
      <c r="K51" s="2"/>
      <c r="L51" s="2"/>
      <c r="M51" s="2"/>
      <c r="N51" s="2"/>
      <c r="O51" s="2"/>
      <c r="P51" s="2"/>
      <c r="Q51" s="2"/>
      <c r="R51" s="2"/>
      <c r="S51" s="2"/>
      <c r="T51" s="2"/>
      <c r="U51" s="9"/>
      <c r="V51" s="9"/>
      <c r="W51" s="9"/>
      <c r="X51" s="9"/>
      <c r="Y51" s="9"/>
    </row>
    <row x14ac:dyDescent="0.25" r="52" customHeight="1" ht="18.75">
      <c r="A52" s="2" t="s">
        <v>81</v>
      </c>
      <c r="B52" s="11">
        <v>16.2</v>
      </c>
      <c r="C52" s="3">
        <v>6</v>
      </c>
      <c r="D52" s="3">
        <v>163</v>
      </c>
      <c r="E52" s="3">
        <v>133</v>
      </c>
      <c r="F52" s="3">
        <v>3410</v>
      </c>
      <c r="G52" s="11">
        <f>IFERROR(E52/F52, "")</f>
      </c>
      <c r="H52" s="11">
        <v>15.8</v>
      </c>
      <c r="I52" s="3">
        <v>78</v>
      </c>
      <c r="J52" s="2" t="s">
        <v>27</v>
      </c>
      <c r="K52" s="2"/>
      <c r="L52" s="2"/>
      <c r="M52" s="2"/>
      <c r="N52" s="2"/>
      <c r="O52" s="2"/>
      <c r="P52" s="2"/>
      <c r="Q52" s="2"/>
      <c r="R52" s="2"/>
      <c r="S52" s="2"/>
      <c r="T52" s="2"/>
      <c r="U52" s="9"/>
      <c r="V52" s="9"/>
      <c r="W52" s="9"/>
      <c r="X52" s="9"/>
      <c r="Y52" s="9"/>
    </row>
    <row x14ac:dyDescent="0.25" r="53" customHeight="1" ht="18.75">
      <c r="A53" s="2" t="s">
        <v>82</v>
      </c>
      <c r="B53" s="11">
        <v>31.9</v>
      </c>
      <c r="C53" s="3">
        <v>4</v>
      </c>
      <c r="D53" s="3">
        <v>89</v>
      </c>
      <c r="E53" s="3">
        <v>71</v>
      </c>
      <c r="F53" s="3">
        <v>1925</v>
      </c>
      <c r="G53" s="11">
        <f>IFERROR(E53/F53, "")</f>
      </c>
      <c r="H53" s="3">
        <v>14</v>
      </c>
      <c r="I53" s="3">
        <v>79</v>
      </c>
      <c r="J53" s="2" t="s">
        <v>27</v>
      </c>
      <c r="K53" s="2"/>
      <c r="L53" s="2"/>
      <c r="M53" s="2"/>
      <c r="N53" s="2"/>
      <c r="O53" s="2"/>
      <c r="P53" s="2"/>
      <c r="Q53" s="2"/>
      <c r="R53" s="2"/>
      <c r="S53" s="2"/>
      <c r="T53" s="2"/>
      <c r="U53" s="9"/>
      <c r="V53" s="9"/>
      <c r="W53" s="9"/>
      <c r="X53" s="9"/>
      <c r="Y53" s="9"/>
    </row>
    <row x14ac:dyDescent="0.25" r="54" customHeight="1" ht="18.75">
      <c r="A54" s="2" t="s">
        <v>83</v>
      </c>
      <c r="B54" s="11">
        <v>37.3</v>
      </c>
      <c r="C54" s="3">
        <v>4</v>
      </c>
      <c r="D54" s="3">
        <v>91</v>
      </c>
      <c r="E54" s="3">
        <v>69</v>
      </c>
      <c r="F54" s="3">
        <v>2130</v>
      </c>
      <c r="G54" s="11">
        <f>IFERROR(E54/F54, "")</f>
      </c>
      <c r="H54" s="11">
        <v>14.7</v>
      </c>
      <c r="I54" s="3">
        <v>79</v>
      </c>
      <c r="J54" s="2" t="s">
        <v>27</v>
      </c>
      <c r="K54" s="2"/>
      <c r="L54" s="2"/>
      <c r="M54" s="2"/>
      <c r="N54" s="2"/>
      <c r="O54" s="2"/>
      <c r="P54" s="2"/>
      <c r="Q54" s="2"/>
      <c r="R54" s="2"/>
      <c r="S54" s="2"/>
      <c r="T54" s="2"/>
      <c r="U54" s="9"/>
      <c r="V54" s="9"/>
      <c r="W54" s="9"/>
      <c r="X54" s="9"/>
      <c r="Y54" s="9"/>
    </row>
    <row x14ac:dyDescent="0.25" r="55" customHeight="1" ht="18.75">
      <c r="A55" s="2" t="s">
        <v>44</v>
      </c>
      <c r="B55" s="11">
        <v>27.2</v>
      </c>
      <c r="C55" s="3">
        <v>4</v>
      </c>
      <c r="D55" s="3">
        <v>141</v>
      </c>
      <c r="E55" s="3">
        <v>71</v>
      </c>
      <c r="F55" s="3">
        <v>3190</v>
      </c>
      <c r="G55" s="11">
        <f>IFERROR(E55/F55, "")</f>
      </c>
      <c r="H55" s="11">
        <v>24.8</v>
      </c>
      <c r="I55" s="3">
        <v>79</v>
      </c>
      <c r="J55" s="2" t="s">
        <v>27</v>
      </c>
      <c r="K55" s="2"/>
      <c r="L55" s="2"/>
      <c r="M55" s="2"/>
      <c r="N55" s="2"/>
      <c r="O55" s="2"/>
      <c r="P55" s="2"/>
      <c r="Q55" s="2"/>
      <c r="R55" s="2"/>
      <c r="S55" s="2"/>
      <c r="T55" s="2"/>
      <c r="U55" s="9"/>
      <c r="V55" s="9"/>
      <c r="W55" s="9"/>
      <c r="X55" s="9"/>
      <c r="Y55" s="9"/>
    </row>
    <row x14ac:dyDescent="0.25" r="56" customHeight="1" ht="18.75">
      <c r="A56" s="2" t="s">
        <v>84</v>
      </c>
      <c r="B56" s="11">
        <v>25.4</v>
      </c>
      <c r="C56" s="3">
        <v>5</v>
      </c>
      <c r="D56" s="3">
        <v>183</v>
      </c>
      <c r="E56" s="3">
        <v>77</v>
      </c>
      <c r="F56" s="3">
        <v>3530</v>
      </c>
      <c r="G56" s="11">
        <f>IFERROR(E56/F56, "")</f>
      </c>
      <c r="H56" s="11">
        <v>20.1</v>
      </c>
      <c r="I56" s="3">
        <v>79</v>
      </c>
      <c r="J56" s="2" t="s">
        <v>27</v>
      </c>
      <c r="K56" s="2"/>
      <c r="L56" s="2"/>
      <c r="M56" s="2"/>
      <c r="N56" s="2"/>
      <c r="O56" s="2"/>
      <c r="P56" s="2"/>
      <c r="Q56" s="2"/>
      <c r="R56" s="2"/>
      <c r="S56" s="2"/>
      <c r="T56" s="2"/>
      <c r="U56" s="9"/>
      <c r="V56" s="9"/>
      <c r="W56" s="9"/>
      <c r="X56" s="9"/>
      <c r="Y56" s="9"/>
    </row>
    <row x14ac:dyDescent="0.25" r="57" customHeight="1" ht="18.75">
      <c r="A57" s="2" t="s">
        <v>85</v>
      </c>
      <c r="B57" s="11">
        <v>34.3</v>
      </c>
      <c r="C57" s="3">
        <v>4</v>
      </c>
      <c r="D57" s="3">
        <v>97</v>
      </c>
      <c r="E57" s="3">
        <v>78</v>
      </c>
      <c r="F57" s="3">
        <v>2188</v>
      </c>
      <c r="G57" s="11">
        <f>IFERROR(E57/F57, "")</f>
      </c>
      <c r="H57" s="11">
        <v>15.8</v>
      </c>
      <c r="I57" s="3">
        <v>80</v>
      </c>
      <c r="J57" s="2" t="s">
        <v>27</v>
      </c>
      <c r="K57" s="2"/>
      <c r="L57" s="2"/>
      <c r="M57" s="2"/>
      <c r="N57" s="2"/>
      <c r="O57" s="2"/>
      <c r="P57" s="2"/>
      <c r="Q57" s="2"/>
      <c r="R57" s="2"/>
      <c r="S57" s="2"/>
      <c r="T57" s="2"/>
      <c r="U57" s="9"/>
      <c r="V57" s="9"/>
      <c r="W57" s="9"/>
      <c r="X57" s="9"/>
      <c r="Y57" s="9"/>
    </row>
    <row x14ac:dyDescent="0.25" r="58" customHeight="1" ht="18.75">
      <c r="A58" s="2" t="s">
        <v>69</v>
      </c>
      <c r="B58" s="11">
        <v>41.5</v>
      </c>
      <c r="C58" s="3">
        <v>4</v>
      </c>
      <c r="D58" s="3">
        <v>98</v>
      </c>
      <c r="E58" s="3">
        <v>76</v>
      </c>
      <c r="F58" s="3">
        <v>2144</v>
      </c>
      <c r="G58" s="11">
        <f>IFERROR(E58/F58, "")</f>
      </c>
      <c r="H58" s="11">
        <v>14.7</v>
      </c>
      <c r="I58" s="3">
        <v>80</v>
      </c>
      <c r="J58" s="2" t="s">
        <v>27</v>
      </c>
      <c r="K58" s="2"/>
      <c r="L58" s="2"/>
      <c r="M58" s="2"/>
      <c r="N58" s="2"/>
      <c r="O58" s="2"/>
      <c r="P58" s="2"/>
      <c r="Q58" s="2"/>
      <c r="R58" s="2"/>
      <c r="S58" s="2"/>
      <c r="T58" s="2"/>
      <c r="U58" s="9"/>
      <c r="V58" s="9"/>
      <c r="W58" s="9"/>
      <c r="X58" s="9"/>
      <c r="Y58" s="9"/>
    </row>
    <row x14ac:dyDescent="0.25" r="59" customHeight="1" ht="18.75">
      <c r="A59" s="2" t="s">
        <v>86</v>
      </c>
      <c r="B59" s="3">
        <v>35</v>
      </c>
      <c r="C59" s="3">
        <v>4</v>
      </c>
      <c r="D59" s="3">
        <v>122</v>
      </c>
      <c r="E59" s="3">
        <v>88</v>
      </c>
      <c r="F59" s="3">
        <v>2500</v>
      </c>
      <c r="G59" s="11">
        <f>IFERROR(E59/F59, "")</f>
      </c>
      <c r="H59" s="11">
        <v>15.1</v>
      </c>
      <c r="I59" s="3">
        <v>80</v>
      </c>
      <c r="J59" s="2" t="s">
        <v>27</v>
      </c>
      <c r="K59" s="2"/>
      <c r="L59" s="2"/>
      <c r="M59" s="2"/>
      <c r="N59" s="2"/>
      <c r="O59" s="2"/>
      <c r="P59" s="2"/>
      <c r="Q59" s="2"/>
      <c r="R59" s="2"/>
      <c r="S59" s="2"/>
      <c r="T59" s="2"/>
      <c r="U59" s="9"/>
      <c r="V59" s="9"/>
      <c r="W59" s="9"/>
      <c r="X59" s="9"/>
      <c r="Y59" s="9"/>
    </row>
    <row x14ac:dyDescent="0.25" r="60" customHeight="1" ht="18.75">
      <c r="A60" s="2" t="s">
        <v>87</v>
      </c>
      <c r="B60" s="11">
        <v>29.8</v>
      </c>
      <c r="C60" s="3">
        <v>4</v>
      </c>
      <c r="D60" s="3">
        <v>89</v>
      </c>
      <c r="E60" s="3">
        <v>62</v>
      </c>
      <c r="F60" s="3">
        <v>1845</v>
      </c>
      <c r="G60" s="11">
        <f>IFERROR(E60/F60, "")</f>
      </c>
      <c r="H60" s="11">
        <v>15.3</v>
      </c>
      <c r="I60" s="3">
        <v>80</v>
      </c>
      <c r="J60" s="2" t="s">
        <v>27</v>
      </c>
      <c r="K60" s="2"/>
      <c r="L60" s="2"/>
      <c r="M60" s="2"/>
      <c r="N60" s="2"/>
      <c r="O60" s="2"/>
      <c r="P60" s="2"/>
      <c r="Q60" s="2"/>
      <c r="R60" s="2"/>
      <c r="S60" s="2"/>
      <c r="T60" s="2"/>
      <c r="U60" s="9"/>
      <c r="V60" s="9"/>
      <c r="W60" s="9"/>
      <c r="X60" s="9"/>
      <c r="Y60" s="9"/>
    </row>
    <row x14ac:dyDescent="0.25" r="61" customHeight="1" ht="18.75">
      <c r="A61" s="2" t="s">
        <v>88</v>
      </c>
      <c r="B61" s="11">
        <v>44.3</v>
      </c>
      <c r="C61" s="3">
        <v>4</v>
      </c>
      <c r="D61" s="3">
        <v>90</v>
      </c>
      <c r="E61" s="3">
        <v>48</v>
      </c>
      <c r="F61" s="3">
        <v>2085</v>
      </c>
      <c r="G61" s="11">
        <f>IFERROR(E61/F61, "")</f>
      </c>
      <c r="H61" s="11">
        <v>21.7</v>
      </c>
      <c r="I61" s="3">
        <v>80</v>
      </c>
      <c r="J61" s="2" t="s">
        <v>27</v>
      </c>
      <c r="K61" s="2"/>
      <c r="L61" s="2"/>
      <c r="M61" s="2"/>
      <c r="N61" s="2"/>
      <c r="O61" s="2"/>
      <c r="P61" s="2"/>
      <c r="Q61" s="2"/>
      <c r="R61" s="2"/>
      <c r="S61" s="2"/>
      <c r="T61" s="2"/>
      <c r="U61" s="9"/>
      <c r="V61" s="9"/>
      <c r="W61" s="9"/>
      <c r="X61" s="9"/>
      <c r="Y61" s="9"/>
    </row>
    <row x14ac:dyDescent="0.25" r="62" customHeight="1" ht="18.75">
      <c r="A62" s="2" t="s">
        <v>89</v>
      </c>
      <c r="B62" s="3">
        <v>30</v>
      </c>
      <c r="C62" s="3">
        <v>4</v>
      </c>
      <c r="D62" s="3">
        <v>146</v>
      </c>
      <c r="E62" s="3">
        <v>67</v>
      </c>
      <c r="F62" s="3">
        <v>3250</v>
      </c>
      <c r="G62" s="11">
        <f>IFERROR(E62/F62, "")</f>
      </c>
      <c r="H62" s="11">
        <v>21.8</v>
      </c>
      <c r="I62" s="3">
        <v>80</v>
      </c>
      <c r="J62" s="2" t="s">
        <v>27</v>
      </c>
      <c r="K62" s="2"/>
      <c r="L62" s="2"/>
      <c r="M62" s="2"/>
      <c r="N62" s="2"/>
      <c r="O62" s="2"/>
      <c r="P62" s="2"/>
      <c r="Q62" s="2"/>
      <c r="R62" s="2"/>
      <c r="S62" s="2"/>
      <c r="T62" s="2"/>
      <c r="U62" s="9"/>
      <c r="V62" s="9"/>
      <c r="W62" s="9"/>
      <c r="X62" s="9"/>
      <c r="Y62" s="9"/>
    </row>
    <row x14ac:dyDescent="0.25" r="63" customHeight="1" ht="18.75">
      <c r="A63" s="2" t="s">
        <v>90</v>
      </c>
      <c r="B63" s="11">
        <v>43.4</v>
      </c>
      <c r="C63" s="3">
        <v>4</v>
      </c>
      <c r="D63" s="3">
        <v>90</v>
      </c>
      <c r="E63" s="3">
        <v>48</v>
      </c>
      <c r="F63" s="3">
        <v>2335</v>
      </c>
      <c r="G63" s="11">
        <f>IFERROR(E63/F63, "")</f>
      </c>
      <c r="H63" s="11">
        <v>23.7</v>
      </c>
      <c r="I63" s="3">
        <v>80</v>
      </c>
      <c r="J63" s="2" t="s">
        <v>27</v>
      </c>
      <c r="K63" s="2"/>
      <c r="L63" s="2"/>
      <c r="M63" s="2"/>
      <c r="N63" s="2"/>
      <c r="O63" s="2"/>
      <c r="P63" s="2"/>
      <c r="Q63" s="2"/>
      <c r="R63" s="2"/>
      <c r="S63" s="2"/>
      <c r="T63" s="2"/>
      <c r="U63" s="9"/>
      <c r="V63" s="9"/>
      <c r="W63" s="9"/>
      <c r="X63" s="9"/>
      <c r="Y63" s="9"/>
    </row>
    <row x14ac:dyDescent="0.25" r="64" customHeight="1" ht="18.75">
      <c r="A64" s="2" t="s">
        <v>91</v>
      </c>
      <c r="B64" s="11">
        <v>40.9</v>
      </c>
      <c r="C64" s="3">
        <v>4</v>
      </c>
      <c r="D64" s="3">
        <v>85</v>
      </c>
      <c r="E64" s="9"/>
      <c r="F64" s="3">
        <v>1835</v>
      </c>
      <c r="G64" s="3">
        <f>IFERROR(E64/F64, "")</f>
      </c>
      <c r="H64" s="11">
        <v>17.3</v>
      </c>
      <c r="I64" s="3">
        <v>80</v>
      </c>
      <c r="J64" s="2" t="s">
        <v>27</v>
      </c>
      <c r="K64" s="2"/>
      <c r="L64" s="2"/>
      <c r="M64" s="2"/>
      <c r="N64" s="2"/>
      <c r="O64" s="2"/>
      <c r="P64" s="2"/>
      <c r="Q64" s="2"/>
      <c r="R64" s="2"/>
      <c r="S64" s="2"/>
      <c r="T64" s="2"/>
      <c r="U64" s="9"/>
      <c r="V64" s="9"/>
      <c r="W64" s="9"/>
      <c r="X64" s="9"/>
      <c r="Y64" s="9"/>
    </row>
    <row x14ac:dyDescent="0.25" r="65" customHeight="1" ht="18.75">
      <c r="A65" s="2" t="s">
        <v>92</v>
      </c>
      <c r="B65" s="11">
        <v>36.4</v>
      </c>
      <c r="C65" s="3">
        <v>5</v>
      </c>
      <c r="D65" s="3">
        <v>121</v>
      </c>
      <c r="E65" s="3">
        <v>67</v>
      </c>
      <c r="F65" s="3">
        <v>2950</v>
      </c>
      <c r="G65" s="11">
        <f>IFERROR(E65/F65, "")</f>
      </c>
      <c r="H65" s="11">
        <v>19.9</v>
      </c>
      <c r="I65" s="3">
        <v>80</v>
      </c>
      <c r="J65" s="2" t="s">
        <v>27</v>
      </c>
      <c r="K65" s="2"/>
      <c r="L65" s="2"/>
      <c r="M65" s="2"/>
      <c r="N65" s="2"/>
      <c r="O65" s="2"/>
      <c r="P65" s="2"/>
      <c r="Q65" s="2"/>
      <c r="R65" s="2"/>
      <c r="S65" s="2"/>
      <c r="T65" s="2"/>
      <c r="U65" s="9"/>
      <c r="V65" s="9"/>
      <c r="W65" s="9"/>
      <c r="X65" s="9"/>
      <c r="Y65" s="9"/>
    </row>
    <row x14ac:dyDescent="0.25" r="66" customHeight="1" ht="18.75">
      <c r="A66" s="2" t="s">
        <v>93</v>
      </c>
      <c r="B66" s="3">
        <v>33</v>
      </c>
      <c r="C66" s="3">
        <v>4</v>
      </c>
      <c r="D66" s="3">
        <v>105</v>
      </c>
      <c r="E66" s="3">
        <v>74</v>
      </c>
      <c r="F66" s="3">
        <v>2190</v>
      </c>
      <c r="G66" s="11">
        <f>IFERROR(E66/F66, "")</f>
      </c>
      <c r="H66" s="11">
        <v>14.2</v>
      </c>
      <c r="I66" s="3">
        <v>81</v>
      </c>
      <c r="J66" s="2" t="s">
        <v>27</v>
      </c>
      <c r="K66" s="2"/>
      <c r="L66" s="2"/>
      <c r="M66" s="2"/>
      <c r="N66" s="2"/>
      <c r="O66" s="2"/>
      <c r="P66" s="2"/>
      <c r="Q66" s="2"/>
      <c r="R66" s="2"/>
      <c r="S66" s="2"/>
      <c r="T66" s="2"/>
      <c r="U66" s="9"/>
      <c r="V66" s="9"/>
      <c r="W66" s="9"/>
      <c r="X66" s="9"/>
      <c r="Y66" s="9"/>
    </row>
    <row x14ac:dyDescent="0.25" r="67" customHeight="1" ht="18.75">
      <c r="A67" s="2" t="s">
        <v>94</v>
      </c>
      <c r="B67" s="11">
        <v>28.1</v>
      </c>
      <c r="C67" s="3">
        <v>4</v>
      </c>
      <c r="D67" s="3">
        <v>141</v>
      </c>
      <c r="E67" s="3">
        <v>80</v>
      </c>
      <c r="F67" s="3">
        <v>3230</v>
      </c>
      <c r="G67" s="11">
        <f>IFERROR(E67/F67, "")</f>
      </c>
      <c r="H67" s="11">
        <v>20.4</v>
      </c>
      <c r="I67" s="3">
        <v>81</v>
      </c>
      <c r="J67" s="2" t="s">
        <v>27</v>
      </c>
      <c r="K67" s="2"/>
      <c r="L67" s="2"/>
      <c r="M67" s="2"/>
      <c r="N67" s="2"/>
      <c r="O67" s="2"/>
      <c r="P67" s="2"/>
      <c r="Q67" s="2"/>
      <c r="R67" s="2"/>
      <c r="S67" s="2"/>
      <c r="T67" s="2"/>
      <c r="U67" s="9"/>
      <c r="V67" s="9"/>
      <c r="W67" s="9"/>
      <c r="X67" s="9"/>
      <c r="Y67" s="9"/>
    </row>
    <row x14ac:dyDescent="0.25" r="68" customHeight="1" ht="18.75">
      <c r="A68" s="2" t="s">
        <v>95</v>
      </c>
      <c r="B68" s="11">
        <v>34.5</v>
      </c>
      <c r="C68" s="3">
        <v>4</v>
      </c>
      <c r="D68" s="3">
        <v>100</v>
      </c>
      <c r="E68" s="9"/>
      <c r="F68" s="3">
        <v>2320</v>
      </c>
      <c r="G68" s="3">
        <f>IFERROR(E68/F68, "")</f>
      </c>
      <c r="H68" s="11">
        <v>15.8</v>
      </c>
      <c r="I68" s="3">
        <v>81</v>
      </c>
      <c r="J68" s="2" t="s">
        <v>27</v>
      </c>
      <c r="K68" s="2"/>
      <c r="L68" s="2"/>
      <c r="M68" s="2"/>
      <c r="N68" s="2"/>
      <c r="O68" s="2"/>
      <c r="P68" s="2"/>
      <c r="Q68" s="2"/>
      <c r="R68" s="2"/>
      <c r="S68" s="2"/>
      <c r="T68" s="2"/>
      <c r="U68" s="9"/>
      <c r="V68" s="9"/>
      <c r="W68" s="9"/>
      <c r="X68" s="9"/>
      <c r="Y68" s="9"/>
    </row>
    <row x14ac:dyDescent="0.25" r="69" customHeight="1" ht="18.75">
      <c r="A69" s="2" t="s">
        <v>96</v>
      </c>
      <c r="B69" s="11">
        <v>30.7</v>
      </c>
      <c r="C69" s="3">
        <v>6</v>
      </c>
      <c r="D69" s="3">
        <v>145</v>
      </c>
      <c r="E69" s="3">
        <v>76</v>
      </c>
      <c r="F69" s="3">
        <v>3160</v>
      </c>
      <c r="G69" s="11">
        <f>IFERROR(E69/F69, "")</f>
      </c>
      <c r="H69" s="11">
        <v>19.6</v>
      </c>
      <c r="I69" s="3">
        <v>81</v>
      </c>
      <c r="J69" s="2" t="s">
        <v>27</v>
      </c>
      <c r="K69" s="2"/>
      <c r="L69" s="2"/>
      <c r="M69" s="2"/>
      <c r="N69" s="2"/>
      <c r="O69" s="2"/>
      <c r="P69" s="2"/>
      <c r="Q69" s="2"/>
      <c r="R69" s="2"/>
      <c r="S69" s="2"/>
      <c r="T69" s="2"/>
      <c r="U69" s="9"/>
      <c r="V69" s="9"/>
      <c r="W69" s="9"/>
      <c r="X69" s="9"/>
      <c r="Y69" s="9"/>
    </row>
    <row x14ac:dyDescent="0.25" r="70" customHeight="1" ht="18.75">
      <c r="A70" s="2" t="s">
        <v>97</v>
      </c>
      <c r="B70" s="3">
        <v>36</v>
      </c>
      <c r="C70" s="3">
        <v>4</v>
      </c>
      <c r="D70" s="3">
        <v>105</v>
      </c>
      <c r="E70" s="3">
        <v>74</v>
      </c>
      <c r="F70" s="3">
        <v>1980</v>
      </c>
      <c r="G70" s="11">
        <f>IFERROR(E70/F70, "")</f>
      </c>
      <c r="H70" s="11">
        <v>15.3</v>
      </c>
      <c r="I70" s="3">
        <v>82</v>
      </c>
      <c r="J70" s="2" t="s">
        <v>27</v>
      </c>
      <c r="K70" s="2"/>
      <c r="L70" s="2"/>
      <c r="M70" s="2"/>
      <c r="N70" s="2"/>
      <c r="O70" s="2"/>
      <c r="P70" s="2"/>
      <c r="Q70" s="2"/>
      <c r="R70" s="2"/>
      <c r="S70" s="2"/>
      <c r="T70" s="2"/>
      <c r="U70" s="9"/>
      <c r="V70" s="9"/>
      <c r="W70" s="9"/>
      <c r="X70" s="9"/>
      <c r="Y70" s="9"/>
    </row>
    <row x14ac:dyDescent="0.25" r="71" customHeight="1" ht="18.75">
      <c r="A71" s="2" t="s">
        <v>98</v>
      </c>
      <c r="B71" s="3">
        <v>44</v>
      </c>
      <c r="C71" s="3">
        <v>4</v>
      </c>
      <c r="D71" s="3">
        <v>97</v>
      </c>
      <c r="E71" s="3">
        <v>52</v>
      </c>
      <c r="F71" s="3">
        <v>2130</v>
      </c>
      <c r="G71" s="11">
        <f>IFERROR(E71/F71, "")</f>
      </c>
      <c r="H71" s="11">
        <v>24.6</v>
      </c>
      <c r="I71" s="3">
        <v>82</v>
      </c>
      <c r="J71" s="2" t="s">
        <v>27</v>
      </c>
      <c r="K71" s="2"/>
      <c r="L71" s="2"/>
      <c r="M71" s="2"/>
      <c r="N71" s="2"/>
      <c r="O71" s="2"/>
      <c r="P71" s="2"/>
      <c r="Q71" s="2"/>
      <c r="R71" s="2"/>
      <c r="S71" s="2"/>
      <c r="T71" s="2"/>
      <c r="U71" s="9"/>
      <c r="V71" s="9"/>
      <c r="W71" s="9"/>
      <c r="X71" s="9"/>
      <c r="Y71" s="9"/>
    </row>
    <row x14ac:dyDescent="0.25" r="72" customHeight="1" ht="18.75">
      <c r="A72" s="2" t="s">
        <v>99</v>
      </c>
      <c r="B72" s="3">
        <v>27</v>
      </c>
      <c r="C72" s="3">
        <v>4</v>
      </c>
      <c r="D72" s="3">
        <v>97</v>
      </c>
      <c r="E72" s="3">
        <v>88</v>
      </c>
      <c r="F72" s="3">
        <v>2130</v>
      </c>
      <c r="G72" s="11">
        <f>IFERROR(E72/F72, "")</f>
      </c>
      <c r="H72" s="11">
        <v>14.5</v>
      </c>
      <c r="I72" s="3">
        <v>70</v>
      </c>
      <c r="J72" s="2" t="s">
        <v>28</v>
      </c>
      <c r="K72" s="2"/>
      <c r="L72" s="2"/>
      <c r="M72" s="2"/>
      <c r="N72" s="2"/>
      <c r="O72" s="2"/>
      <c r="P72" s="2"/>
      <c r="Q72" s="2"/>
      <c r="R72" s="2"/>
      <c r="S72" s="2"/>
      <c r="T72" s="2"/>
      <c r="U72" s="9"/>
      <c r="V72" s="9"/>
      <c r="W72" s="9"/>
      <c r="X72" s="9"/>
      <c r="Y72" s="9"/>
    </row>
    <row x14ac:dyDescent="0.25" r="73" customHeight="1" ht="18.75">
      <c r="A73" s="2" t="s">
        <v>100</v>
      </c>
      <c r="B73" s="3">
        <v>24</v>
      </c>
      <c r="C73" s="3">
        <v>4</v>
      </c>
      <c r="D73" s="3">
        <v>113</v>
      </c>
      <c r="E73" s="3">
        <v>95</v>
      </c>
      <c r="F73" s="3">
        <v>2372</v>
      </c>
      <c r="G73" s="11">
        <f>IFERROR(E73/F73, "")</f>
      </c>
      <c r="H73" s="3">
        <v>15</v>
      </c>
      <c r="I73" s="3">
        <v>70</v>
      </c>
      <c r="J73" s="2" t="s">
        <v>28</v>
      </c>
      <c r="K73" s="2"/>
      <c r="L73" s="2"/>
      <c r="M73" s="2"/>
      <c r="N73" s="2"/>
      <c r="O73" s="2"/>
      <c r="P73" s="2"/>
      <c r="Q73" s="2"/>
      <c r="R73" s="2"/>
      <c r="S73" s="2"/>
      <c r="T73" s="2"/>
      <c r="U73" s="9"/>
      <c r="V73" s="9"/>
      <c r="W73" s="9"/>
      <c r="X73" s="9"/>
      <c r="Y73" s="9"/>
    </row>
    <row x14ac:dyDescent="0.25" r="74" customHeight="1" ht="18.75">
      <c r="A74" s="2" t="s">
        <v>101</v>
      </c>
      <c r="B74" s="3">
        <v>35</v>
      </c>
      <c r="C74" s="3">
        <v>4</v>
      </c>
      <c r="D74" s="3">
        <v>72</v>
      </c>
      <c r="E74" s="3">
        <v>69</v>
      </c>
      <c r="F74" s="3">
        <v>1613</v>
      </c>
      <c r="G74" s="11">
        <f>IFERROR(E74/F74, "")</f>
      </c>
      <c r="H74" s="3">
        <v>18</v>
      </c>
      <c r="I74" s="3">
        <v>71</v>
      </c>
      <c r="J74" s="2" t="s">
        <v>28</v>
      </c>
      <c r="K74" s="2"/>
      <c r="L74" s="2"/>
      <c r="M74" s="2"/>
      <c r="N74" s="2"/>
      <c r="O74" s="2"/>
      <c r="P74" s="2"/>
      <c r="Q74" s="2"/>
      <c r="R74" s="2"/>
      <c r="S74" s="2"/>
      <c r="T74" s="2"/>
      <c r="U74" s="9"/>
      <c r="V74" s="9"/>
      <c r="W74" s="9"/>
      <c r="X74" s="9"/>
      <c r="Y74" s="9"/>
    </row>
    <row x14ac:dyDescent="0.25" r="75" customHeight="1" ht="18.75">
      <c r="A75" s="2" t="s">
        <v>102</v>
      </c>
      <c r="B75" s="3">
        <v>25</v>
      </c>
      <c r="C75" s="3">
        <v>4</v>
      </c>
      <c r="D75" s="3">
        <v>113</v>
      </c>
      <c r="E75" s="3">
        <v>95</v>
      </c>
      <c r="F75" s="3">
        <v>2228</v>
      </c>
      <c r="G75" s="11">
        <f>IFERROR(E75/F75, "")</f>
      </c>
      <c r="H75" s="3">
        <v>14</v>
      </c>
      <c r="I75" s="3">
        <v>71</v>
      </c>
      <c r="J75" s="2" t="s">
        <v>28</v>
      </c>
      <c r="K75" s="2"/>
      <c r="L75" s="2"/>
      <c r="M75" s="2"/>
      <c r="N75" s="2"/>
      <c r="O75" s="2"/>
      <c r="P75" s="2"/>
      <c r="Q75" s="2"/>
      <c r="R75" s="2"/>
      <c r="S75" s="2"/>
      <c r="T75" s="2"/>
      <c r="U75" s="9"/>
      <c r="V75" s="9"/>
      <c r="W75" s="9"/>
      <c r="X75" s="9"/>
      <c r="Y75" s="9"/>
    </row>
    <row x14ac:dyDescent="0.25" r="76" customHeight="1" ht="18.75">
      <c r="A76" s="2" t="s">
        <v>99</v>
      </c>
      <c r="B76" s="3">
        <v>27</v>
      </c>
      <c r="C76" s="3">
        <v>4</v>
      </c>
      <c r="D76" s="3">
        <v>97</v>
      </c>
      <c r="E76" s="3">
        <v>88</v>
      </c>
      <c r="F76" s="3">
        <v>2130</v>
      </c>
      <c r="G76" s="11">
        <f>IFERROR(E76/F76, "")</f>
      </c>
      <c r="H76" s="11">
        <v>14.5</v>
      </c>
      <c r="I76" s="3">
        <v>71</v>
      </c>
      <c r="J76" s="2" t="s">
        <v>28</v>
      </c>
      <c r="K76" s="2"/>
      <c r="L76" s="2"/>
      <c r="M76" s="2"/>
      <c r="N76" s="2"/>
      <c r="O76" s="2"/>
      <c r="P76" s="2"/>
      <c r="Q76" s="2"/>
      <c r="R76" s="2"/>
      <c r="S76" s="2"/>
      <c r="T76" s="2"/>
      <c r="U76" s="9"/>
      <c r="V76" s="9"/>
      <c r="W76" s="9"/>
      <c r="X76" s="9"/>
      <c r="Y76" s="9"/>
    </row>
    <row x14ac:dyDescent="0.25" r="77" customHeight="1" ht="18.75">
      <c r="A77" s="2" t="s">
        <v>103</v>
      </c>
      <c r="B77" s="3">
        <v>31</v>
      </c>
      <c r="C77" s="3">
        <v>4</v>
      </c>
      <c r="D77" s="3">
        <v>71</v>
      </c>
      <c r="E77" s="3">
        <v>65</v>
      </c>
      <c r="F77" s="3">
        <v>1773</v>
      </c>
      <c r="G77" s="11">
        <f>IFERROR(E77/F77, "")</f>
      </c>
      <c r="H77" s="3">
        <v>19</v>
      </c>
      <c r="I77" s="3">
        <v>71</v>
      </c>
      <c r="J77" s="2" t="s">
        <v>28</v>
      </c>
      <c r="K77" s="2"/>
      <c r="L77" s="2"/>
      <c r="M77" s="2"/>
      <c r="N77" s="2"/>
      <c r="O77" s="2"/>
      <c r="P77" s="2"/>
      <c r="Q77" s="2"/>
      <c r="R77" s="2"/>
      <c r="S77" s="2"/>
      <c r="T77" s="2"/>
      <c r="U77" s="9"/>
      <c r="V77" s="9"/>
      <c r="W77" s="9"/>
      <c r="X77" s="9"/>
      <c r="Y77" s="9"/>
    </row>
    <row x14ac:dyDescent="0.25" r="78" customHeight="1" ht="18.75">
      <c r="A78" s="2" t="s">
        <v>104</v>
      </c>
      <c r="B78" s="3">
        <v>19</v>
      </c>
      <c r="C78" s="3">
        <v>3</v>
      </c>
      <c r="D78" s="3">
        <v>70</v>
      </c>
      <c r="E78" s="3">
        <v>97</v>
      </c>
      <c r="F78" s="3">
        <v>2330</v>
      </c>
      <c r="G78" s="11">
        <f>IFERROR(E78/F78, "")</f>
      </c>
      <c r="H78" s="11">
        <v>13.5</v>
      </c>
      <c r="I78" s="3">
        <v>72</v>
      </c>
      <c r="J78" s="2" t="s">
        <v>28</v>
      </c>
      <c r="K78" s="2"/>
      <c r="L78" s="2"/>
      <c r="M78" s="2"/>
      <c r="N78" s="2"/>
      <c r="O78" s="2"/>
      <c r="P78" s="2"/>
      <c r="Q78" s="2"/>
      <c r="R78" s="2"/>
      <c r="S78" s="2"/>
      <c r="T78" s="2"/>
      <c r="U78" s="9"/>
      <c r="V78" s="9"/>
      <c r="W78" s="9"/>
      <c r="X78" s="9"/>
      <c r="Y78" s="9"/>
    </row>
    <row x14ac:dyDescent="0.25" r="79" customHeight="1" ht="18.75">
      <c r="A79" s="2" t="s">
        <v>105</v>
      </c>
      <c r="B79" s="3">
        <v>27</v>
      </c>
      <c r="C79" s="3">
        <v>4</v>
      </c>
      <c r="D79" s="3">
        <v>97</v>
      </c>
      <c r="E79" s="3">
        <v>88</v>
      </c>
      <c r="F79" s="3">
        <v>2100</v>
      </c>
      <c r="G79" s="11">
        <f>IFERROR(E79/F79, "")</f>
      </c>
      <c r="H79" s="11">
        <v>16.5</v>
      </c>
      <c r="I79" s="3">
        <v>72</v>
      </c>
      <c r="J79" s="2" t="s">
        <v>28</v>
      </c>
      <c r="K79" s="2"/>
      <c r="L79" s="2"/>
      <c r="M79" s="2"/>
      <c r="N79" s="2"/>
      <c r="O79" s="2"/>
      <c r="P79" s="2"/>
      <c r="Q79" s="2"/>
      <c r="R79" s="2"/>
      <c r="S79" s="2"/>
      <c r="T79" s="2"/>
      <c r="U79" s="9"/>
      <c r="V79" s="9"/>
      <c r="W79" s="9"/>
      <c r="X79" s="9"/>
      <c r="Y79" s="9"/>
    </row>
    <row x14ac:dyDescent="0.25" r="80" customHeight="1" ht="18.75">
      <c r="A80" s="2" t="s">
        <v>106</v>
      </c>
      <c r="B80" s="3">
        <v>24</v>
      </c>
      <c r="C80" s="3">
        <v>4</v>
      </c>
      <c r="D80" s="3">
        <v>113</v>
      </c>
      <c r="E80" s="3">
        <v>95</v>
      </c>
      <c r="F80" s="3">
        <v>2278</v>
      </c>
      <c r="G80" s="11">
        <f>IFERROR(E80/F80, "")</f>
      </c>
      <c r="H80" s="11">
        <v>15.5</v>
      </c>
      <c r="I80" s="3">
        <v>72</v>
      </c>
      <c r="J80" s="2" t="s">
        <v>28</v>
      </c>
      <c r="K80" s="2"/>
      <c r="L80" s="2"/>
      <c r="M80" s="2"/>
      <c r="N80" s="2"/>
      <c r="O80" s="2"/>
      <c r="P80" s="2"/>
      <c r="Q80" s="2"/>
      <c r="R80" s="2"/>
      <c r="S80" s="2"/>
      <c r="T80" s="2"/>
      <c r="U80" s="9"/>
      <c r="V80" s="9"/>
      <c r="W80" s="9"/>
      <c r="X80" s="9"/>
      <c r="Y80" s="9"/>
    </row>
    <row x14ac:dyDescent="0.25" r="81" customHeight="1" ht="18.75">
      <c r="A81" s="2" t="s">
        <v>107</v>
      </c>
      <c r="B81" s="3">
        <v>28</v>
      </c>
      <c r="C81" s="3">
        <v>4</v>
      </c>
      <c r="D81" s="3">
        <v>97</v>
      </c>
      <c r="E81" s="3">
        <v>92</v>
      </c>
      <c r="F81" s="3">
        <v>2288</v>
      </c>
      <c r="G81" s="11">
        <f>IFERROR(E81/F81, "")</f>
      </c>
      <c r="H81" s="3">
        <v>17</v>
      </c>
      <c r="I81" s="3">
        <v>72</v>
      </c>
      <c r="J81" s="2" t="s">
        <v>28</v>
      </c>
      <c r="K81" s="2"/>
      <c r="L81" s="2"/>
      <c r="M81" s="2"/>
      <c r="N81" s="2"/>
      <c r="O81" s="2"/>
      <c r="P81" s="2"/>
      <c r="Q81" s="2"/>
      <c r="R81" s="2"/>
      <c r="S81" s="2"/>
      <c r="T81" s="2"/>
      <c r="U81" s="9"/>
      <c r="V81" s="9"/>
      <c r="W81" s="9"/>
      <c r="X81" s="9"/>
      <c r="Y81" s="9"/>
    </row>
    <row x14ac:dyDescent="0.25" r="82" customHeight="1" ht="18.75">
      <c r="A82" s="2" t="s">
        <v>108</v>
      </c>
      <c r="B82" s="3">
        <v>23</v>
      </c>
      <c r="C82" s="3">
        <v>4</v>
      </c>
      <c r="D82" s="3">
        <v>120</v>
      </c>
      <c r="E82" s="3">
        <v>97</v>
      </c>
      <c r="F82" s="3">
        <v>2506</v>
      </c>
      <c r="G82" s="11">
        <f>IFERROR(E82/F82, "")</f>
      </c>
      <c r="H82" s="11">
        <v>14.5</v>
      </c>
      <c r="I82" s="3">
        <v>72</v>
      </c>
      <c r="J82" s="2" t="s">
        <v>28</v>
      </c>
      <c r="K82" s="2"/>
      <c r="L82" s="2"/>
      <c r="M82" s="2"/>
      <c r="N82" s="2"/>
      <c r="O82" s="2"/>
      <c r="P82" s="2"/>
      <c r="Q82" s="2"/>
      <c r="R82" s="2"/>
      <c r="S82" s="2"/>
      <c r="T82" s="2"/>
      <c r="U82" s="9"/>
      <c r="V82" s="9"/>
      <c r="W82" s="9"/>
      <c r="X82" s="9"/>
      <c r="Y82" s="9"/>
    </row>
    <row x14ac:dyDescent="0.25" r="83" customHeight="1" ht="18.75">
      <c r="A83" s="2" t="s">
        <v>109</v>
      </c>
      <c r="B83" s="3">
        <v>18</v>
      </c>
      <c r="C83" s="3">
        <v>3</v>
      </c>
      <c r="D83" s="3">
        <v>70</v>
      </c>
      <c r="E83" s="3">
        <v>90</v>
      </c>
      <c r="F83" s="3">
        <v>2124</v>
      </c>
      <c r="G83" s="11">
        <f>IFERROR(E83/F83, "")</f>
      </c>
      <c r="H83" s="11">
        <v>13.5</v>
      </c>
      <c r="I83" s="3">
        <v>73</v>
      </c>
      <c r="J83" s="2" t="s">
        <v>28</v>
      </c>
      <c r="K83" s="2"/>
      <c r="L83" s="2"/>
      <c r="M83" s="2"/>
      <c r="N83" s="2"/>
      <c r="O83" s="2"/>
      <c r="P83" s="2"/>
      <c r="Q83" s="2"/>
      <c r="R83" s="2"/>
      <c r="S83" s="2"/>
      <c r="T83" s="2"/>
      <c r="U83" s="9"/>
      <c r="V83" s="9"/>
      <c r="W83" s="9"/>
      <c r="X83" s="9"/>
      <c r="Y83" s="9"/>
    </row>
    <row x14ac:dyDescent="0.25" r="84" customHeight="1" ht="18.75">
      <c r="A84" s="2" t="s">
        <v>110</v>
      </c>
      <c r="B84" s="3">
        <v>22</v>
      </c>
      <c r="C84" s="3">
        <v>4</v>
      </c>
      <c r="D84" s="3">
        <v>108</v>
      </c>
      <c r="E84" s="3">
        <v>94</v>
      </c>
      <c r="F84" s="3">
        <v>2379</v>
      </c>
      <c r="G84" s="11">
        <f>IFERROR(E84/F84, "")</f>
      </c>
      <c r="H84" s="11">
        <v>16.5</v>
      </c>
      <c r="I84" s="3">
        <v>73</v>
      </c>
      <c r="J84" s="2" t="s">
        <v>28</v>
      </c>
      <c r="K84" s="2"/>
      <c r="L84" s="2"/>
      <c r="M84" s="2"/>
      <c r="N84" s="2"/>
      <c r="O84" s="2"/>
      <c r="P84" s="2"/>
      <c r="Q84" s="2"/>
      <c r="R84" s="2"/>
      <c r="S84" s="2"/>
      <c r="T84" s="2"/>
      <c r="U84" s="9"/>
      <c r="V84" s="9"/>
      <c r="W84" s="9"/>
      <c r="X84" s="9"/>
      <c r="Y84" s="9"/>
    </row>
    <row x14ac:dyDescent="0.25" r="85" customHeight="1" ht="18.75">
      <c r="A85" s="2" t="s">
        <v>111</v>
      </c>
      <c r="B85" s="3">
        <v>20</v>
      </c>
      <c r="C85" s="3">
        <v>4</v>
      </c>
      <c r="D85" s="3">
        <v>97</v>
      </c>
      <c r="E85" s="3">
        <v>88</v>
      </c>
      <c r="F85" s="3">
        <v>2279</v>
      </c>
      <c r="G85" s="11">
        <f>IFERROR(E85/F85, "")</f>
      </c>
      <c r="H85" s="3">
        <v>19</v>
      </c>
      <c r="I85" s="3">
        <v>73</v>
      </c>
      <c r="J85" s="2" t="s">
        <v>28</v>
      </c>
      <c r="K85" s="2"/>
      <c r="L85" s="2"/>
      <c r="M85" s="2"/>
      <c r="N85" s="2"/>
      <c r="O85" s="2"/>
      <c r="P85" s="2"/>
      <c r="Q85" s="2"/>
      <c r="R85" s="2"/>
      <c r="S85" s="2"/>
      <c r="T85" s="2"/>
      <c r="U85" s="9"/>
      <c r="V85" s="9"/>
      <c r="W85" s="9"/>
      <c r="X85" s="9"/>
      <c r="Y85" s="9"/>
    </row>
    <row x14ac:dyDescent="0.25" r="86" customHeight="1" ht="18.75">
      <c r="A86" s="2" t="s">
        <v>112</v>
      </c>
      <c r="B86" s="3">
        <v>20</v>
      </c>
      <c r="C86" s="3">
        <v>6</v>
      </c>
      <c r="D86" s="3">
        <v>156</v>
      </c>
      <c r="E86" s="3">
        <v>122</v>
      </c>
      <c r="F86" s="3">
        <v>2807</v>
      </c>
      <c r="G86" s="11">
        <f>IFERROR(E86/F86, "")</f>
      </c>
      <c r="H86" s="11">
        <v>13.5</v>
      </c>
      <c r="I86" s="3">
        <v>73</v>
      </c>
      <c r="J86" s="2" t="s">
        <v>28</v>
      </c>
      <c r="K86" s="2"/>
      <c r="L86" s="2"/>
      <c r="M86" s="2"/>
      <c r="N86" s="2"/>
      <c r="O86" s="2"/>
      <c r="P86" s="2"/>
      <c r="Q86" s="2"/>
      <c r="R86" s="2"/>
      <c r="S86" s="2"/>
      <c r="T86" s="2"/>
      <c r="U86" s="9"/>
      <c r="V86" s="9"/>
      <c r="W86" s="9"/>
      <c r="X86" s="9"/>
      <c r="Y86" s="9"/>
    </row>
    <row x14ac:dyDescent="0.25" r="87" customHeight="1" ht="18.75">
      <c r="A87" s="2" t="s">
        <v>113</v>
      </c>
      <c r="B87" s="3">
        <v>24</v>
      </c>
      <c r="C87" s="3">
        <v>4</v>
      </c>
      <c r="D87" s="3">
        <v>120</v>
      </c>
      <c r="E87" s="3">
        <v>97</v>
      </c>
      <c r="F87" s="3">
        <v>2489</v>
      </c>
      <c r="G87" s="11">
        <f>IFERROR(E87/F87, "")</f>
      </c>
      <c r="H87" s="3">
        <v>15</v>
      </c>
      <c r="I87" s="3">
        <v>74</v>
      </c>
      <c r="J87" s="2" t="s">
        <v>28</v>
      </c>
      <c r="K87" s="2"/>
      <c r="L87" s="2"/>
      <c r="M87" s="2"/>
      <c r="N87" s="2"/>
      <c r="O87" s="2"/>
      <c r="P87" s="2"/>
      <c r="Q87" s="2"/>
      <c r="R87" s="2"/>
      <c r="S87" s="2"/>
      <c r="T87" s="2"/>
      <c r="U87" s="9"/>
      <c r="V87" s="9"/>
      <c r="W87" s="9"/>
      <c r="X87" s="9"/>
      <c r="Y87" s="9"/>
    </row>
    <row x14ac:dyDescent="0.25" r="88" customHeight="1" ht="18.75">
      <c r="A88" s="2" t="s">
        <v>114</v>
      </c>
      <c r="B88" s="3">
        <v>26</v>
      </c>
      <c r="C88" s="3">
        <v>4</v>
      </c>
      <c r="D88" s="3">
        <v>108</v>
      </c>
      <c r="E88" s="3">
        <v>93</v>
      </c>
      <c r="F88" s="3">
        <v>2391</v>
      </c>
      <c r="G88" s="11">
        <f>IFERROR(E88/F88, "")</f>
      </c>
      <c r="H88" s="11">
        <v>15.5</v>
      </c>
      <c r="I88" s="3">
        <v>74</v>
      </c>
      <c r="J88" s="2" t="s">
        <v>28</v>
      </c>
      <c r="K88" s="2"/>
      <c r="L88" s="2"/>
      <c r="M88" s="2"/>
      <c r="N88" s="2"/>
      <c r="O88" s="2"/>
      <c r="P88" s="2"/>
      <c r="Q88" s="2"/>
      <c r="R88" s="2"/>
      <c r="S88" s="2"/>
      <c r="T88" s="2"/>
      <c r="U88" s="9"/>
      <c r="V88" s="9"/>
      <c r="W88" s="9"/>
      <c r="X88" s="9"/>
      <c r="Y88" s="9"/>
    </row>
    <row x14ac:dyDescent="0.25" r="89" customHeight="1" ht="18.75">
      <c r="A89" s="2" t="s">
        <v>103</v>
      </c>
      <c r="B89" s="3">
        <v>32</v>
      </c>
      <c r="C89" s="3">
        <v>4</v>
      </c>
      <c r="D89" s="3">
        <v>71</v>
      </c>
      <c r="E89" s="3">
        <v>65</v>
      </c>
      <c r="F89" s="3">
        <v>1836</v>
      </c>
      <c r="G89" s="11">
        <f>IFERROR(E89/F89, "")</f>
      </c>
      <c r="H89" s="3">
        <v>21</v>
      </c>
      <c r="I89" s="3">
        <v>74</v>
      </c>
      <c r="J89" s="2" t="s">
        <v>28</v>
      </c>
      <c r="K89" s="2"/>
      <c r="L89" s="2"/>
      <c r="M89" s="2"/>
      <c r="N89" s="2"/>
      <c r="O89" s="2"/>
      <c r="P89" s="2"/>
      <c r="Q89" s="2"/>
      <c r="R89" s="2"/>
      <c r="S89" s="2"/>
      <c r="T89" s="2"/>
      <c r="U89" s="9"/>
      <c r="V89" s="9"/>
      <c r="W89" s="9"/>
      <c r="X89" s="9"/>
      <c r="Y89" s="9"/>
    </row>
    <row x14ac:dyDescent="0.25" r="90" customHeight="1" ht="18.75">
      <c r="A90" s="2" t="s">
        <v>115</v>
      </c>
      <c r="B90" s="3">
        <v>31</v>
      </c>
      <c r="C90" s="3">
        <v>4</v>
      </c>
      <c r="D90" s="3">
        <v>79</v>
      </c>
      <c r="E90" s="3">
        <v>67</v>
      </c>
      <c r="F90" s="3">
        <v>1950</v>
      </c>
      <c r="G90" s="11">
        <f>IFERROR(E90/F90, "")</f>
      </c>
      <c r="H90" s="3">
        <v>19</v>
      </c>
      <c r="I90" s="3">
        <v>74</v>
      </c>
      <c r="J90" s="2" t="s">
        <v>28</v>
      </c>
      <c r="K90" s="2"/>
      <c r="L90" s="2"/>
      <c r="M90" s="2"/>
      <c r="N90" s="2"/>
      <c r="O90" s="2"/>
      <c r="P90" s="2"/>
      <c r="Q90" s="2"/>
      <c r="R90" s="2"/>
      <c r="S90" s="2"/>
      <c r="T90" s="2"/>
      <c r="U90" s="9"/>
      <c r="V90" s="9"/>
      <c r="W90" s="9"/>
      <c r="X90" s="9"/>
      <c r="Y90" s="9"/>
    </row>
    <row x14ac:dyDescent="0.25" r="91" customHeight="1" ht="18.75">
      <c r="A91" s="2" t="s">
        <v>102</v>
      </c>
      <c r="B91" s="3">
        <v>31</v>
      </c>
      <c r="C91" s="3">
        <v>4</v>
      </c>
      <c r="D91" s="3">
        <v>76</v>
      </c>
      <c r="E91" s="3">
        <v>52</v>
      </c>
      <c r="F91" s="3">
        <v>1649</v>
      </c>
      <c r="G91" s="11">
        <f>IFERROR(E91/F91, "")</f>
      </c>
      <c r="H91" s="11">
        <v>16.5</v>
      </c>
      <c r="I91" s="3">
        <v>74</v>
      </c>
      <c r="J91" s="2" t="s">
        <v>28</v>
      </c>
      <c r="K91" s="2"/>
      <c r="L91" s="2"/>
      <c r="M91" s="2"/>
      <c r="N91" s="2"/>
      <c r="O91" s="2"/>
      <c r="P91" s="2"/>
      <c r="Q91" s="2"/>
      <c r="R91" s="2"/>
      <c r="S91" s="2"/>
      <c r="T91" s="2"/>
      <c r="U91" s="9"/>
      <c r="V91" s="9"/>
      <c r="W91" s="9"/>
      <c r="X91" s="9"/>
      <c r="Y91" s="9"/>
    </row>
    <row x14ac:dyDescent="0.25" r="92" customHeight="1" ht="18.75">
      <c r="A92" s="2" t="s">
        <v>116</v>
      </c>
      <c r="B92" s="3">
        <v>32</v>
      </c>
      <c r="C92" s="3">
        <v>4</v>
      </c>
      <c r="D92" s="3">
        <v>83</v>
      </c>
      <c r="E92" s="3">
        <v>61</v>
      </c>
      <c r="F92" s="3">
        <v>2003</v>
      </c>
      <c r="G92" s="11">
        <f>IFERROR(E92/F92, "")</f>
      </c>
      <c r="H92" s="3">
        <v>19</v>
      </c>
      <c r="I92" s="3">
        <v>74</v>
      </c>
      <c r="J92" s="2" t="s">
        <v>28</v>
      </c>
      <c r="K92" s="2"/>
      <c r="L92" s="2"/>
      <c r="M92" s="2"/>
      <c r="N92" s="2"/>
      <c r="O92" s="2"/>
      <c r="P92" s="2"/>
      <c r="Q92" s="2"/>
      <c r="R92" s="2"/>
      <c r="S92" s="2"/>
      <c r="T92" s="2"/>
      <c r="U92" s="9"/>
      <c r="V92" s="9"/>
      <c r="W92" s="9"/>
      <c r="X92" s="9"/>
      <c r="Y92" s="9"/>
    </row>
    <row x14ac:dyDescent="0.25" r="93" customHeight="1" ht="18.75">
      <c r="A93" s="2" t="s">
        <v>116</v>
      </c>
      <c r="B93" s="3">
        <v>24</v>
      </c>
      <c r="C93" s="3">
        <v>4</v>
      </c>
      <c r="D93" s="3">
        <v>119</v>
      </c>
      <c r="E93" s="3">
        <v>97</v>
      </c>
      <c r="F93" s="3">
        <v>2545</v>
      </c>
      <c r="G93" s="11">
        <f>IFERROR(E93/F93, "")</f>
      </c>
      <c r="H93" s="3">
        <v>17</v>
      </c>
      <c r="I93" s="3">
        <v>75</v>
      </c>
      <c r="J93" s="2" t="s">
        <v>28</v>
      </c>
      <c r="K93" s="2"/>
      <c r="L93" s="2"/>
      <c r="M93" s="2"/>
      <c r="N93" s="2"/>
      <c r="O93" s="2"/>
      <c r="P93" s="2"/>
      <c r="Q93" s="2"/>
      <c r="R93" s="2"/>
      <c r="S93" s="2"/>
      <c r="T93" s="2"/>
      <c r="U93" s="9"/>
      <c r="V93" s="9"/>
      <c r="W93" s="9"/>
      <c r="X93" s="9"/>
      <c r="Y93" s="9"/>
    </row>
    <row x14ac:dyDescent="0.25" r="94" customHeight="1" ht="18.75">
      <c r="A94" s="2" t="s">
        <v>102</v>
      </c>
      <c r="B94" s="3">
        <v>24</v>
      </c>
      <c r="C94" s="3">
        <v>4</v>
      </c>
      <c r="D94" s="3">
        <v>134</v>
      </c>
      <c r="E94" s="3">
        <v>96</v>
      </c>
      <c r="F94" s="3">
        <v>2702</v>
      </c>
      <c r="G94" s="11">
        <f>IFERROR(E94/F94, "")</f>
      </c>
      <c r="H94" s="11">
        <v>13.5</v>
      </c>
      <c r="I94" s="3">
        <v>75</v>
      </c>
      <c r="J94" s="2" t="s">
        <v>28</v>
      </c>
      <c r="K94" s="2"/>
      <c r="L94" s="2"/>
      <c r="M94" s="2"/>
      <c r="N94" s="2"/>
      <c r="O94" s="2"/>
      <c r="P94" s="2"/>
      <c r="Q94" s="2"/>
      <c r="R94" s="2"/>
      <c r="S94" s="2"/>
      <c r="T94" s="2"/>
      <c r="U94" s="9"/>
      <c r="V94" s="9"/>
      <c r="W94" s="9"/>
      <c r="X94" s="9"/>
      <c r="Y94" s="9"/>
    </row>
    <row x14ac:dyDescent="0.25" r="95" customHeight="1" ht="18.75">
      <c r="A95" s="2" t="s">
        <v>117</v>
      </c>
      <c r="B95" s="3">
        <v>29</v>
      </c>
      <c r="C95" s="3">
        <v>4</v>
      </c>
      <c r="D95" s="3">
        <v>97</v>
      </c>
      <c r="E95" s="3">
        <v>75</v>
      </c>
      <c r="F95" s="3">
        <v>2171</v>
      </c>
      <c r="G95" s="11">
        <f>IFERROR(E95/F95, "")</f>
      </c>
      <c r="H95" s="3">
        <v>16</v>
      </c>
      <c r="I95" s="3">
        <v>75</v>
      </c>
      <c r="J95" s="2" t="s">
        <v>28</v>
      </c>
      <c r="K95" s="2"/>
      <c r="L95" s="2"/>
      <c r="M95" s="2"/>
      <c r="N95" s="2"/>
      <c r="O95" s="2"/>
      <c r="P95" s="2"/>
      <c r="Q95" s="2"/>
      <c r="R95" s="2"/>
      <c r="S95" s="2"/>
      <c r="T95" s="2"/>
      <c r="U95" s="9"/>
      <c r="V95" s="9"/>
      <c r="W95" s="9"/>
      <c r="X95" s="9"/>
      <c r="Y95" s="9"/>
    </row>
    <row x14ac:dyDescent="0.25" r="96" customHeight="1" ht="18.75">
      <c r="A96" s="2" t="s">
        <v>118</v>
      </c>
      <c r="B96" s="3">
        <v>33</v>
      </c>
      <c r="C96" s="3">
        <v>4</v>
      </c>
      <c r="D96" s="3">
        <v>91</v>
      </c>
      <c r="E96" s="3">
        <v>53</v>
      </c>
      <c r="F96" s="3">
        <v>1795</v>
      </c>
      <c r="G96" s="11">
        <f>IFERROR(E96/F96, "")</f>
      </c>
      <c r="H96" s="11">
        <v>17.5</v>
      </c>
      <c r="I96" s="3">
        <v>75</v>
      </c>
      <c r="J96" s="2" t="s">
        <v>28</v>
      </c>
      <c r="K96" s="2"/>
      <c r="L96" s="2"/>
      <c r="M96" s="2"/>
      <c r="N96" s="2"/>
      <c r="O96" s="2"/>
      <c r="P96" s="2"/>
      <c r="Q96" s="2"/>
      <c r="R96" s="2"/>
      <c r="S96" s="2"/>
      <c r="T96" s="2"/>
      <c r="U96" s="9"/>
      <c r="V96" s="9"/>
      <c r="W96" s="9"/>
      <c r="X96" s="9"/>
      <c r="Y96" s="9"/>
    </row>
    <row x14ac:dyDescent="0.25" r="97" customHeight="1" ht="18.75">
      <c r="A97" s="2" t="s">
        <v>119</v>
      </c>
      <c r="B97" s="3">
        <v>32</v>
      </c>
      <c r="C97" s="3">
        <v>4</v>
      </c>
      <c r="D97" s="3">
        <v>85</v>
      </c>
      <c r="E97" s="3">
        <v>70</v>
      </c>
      <c r="F97" s="3">
        <v>1990</v>
      </c>
      <c r="G97" s="11">
        <f>IFERROR(E97/F97, "")</f>
      </c>
      <c r="H97" s="3">
        <v>17</v>
      </c>
      <c r="I97" s="3">
        <v>76</v>
      </c>
      <c r="J97" s="2" t="s">
        <v>28</v>
      </c>
      <c r="K97" s="2"/>
      <c r="L97" s="2"/>
      <c r="M97" s="2"/>
      <c r="N97" s="2"/>
      <c r="O97" s="2"/>
      <c r="P97" s="2"/>
      <c r="Q97" s="2"/>
      <c r="R97" s="2"/>
      <c r="S97" s="2"/>
      <c r="T97" s="2"/>
      <c r="U97" s="9"/>
      <c r="V97" s="9"/>
      <c r="W97" s="9"/>
      <c r="X97" s="9"/>
      <c r="Y97" s="9"/>
    </row>
    <row x14ac:dyDescent="0.25" r="98" customHeight="1" ht="18.75">
      <c r="A98" s="2" t="s">
        <v>117</v>
      </c>
      <c r="B98" s="3">
        <v>28</v>
      </c>
      <c r="C98" s="3">
        <v>4</v>
      </c>
      <c r="D98" s="3">
        <v>97</v>
      </c>
      <c r="E98" s="3">
        <v>75</v>
      </c>
      <c r="F98" s="3">
        <v>2155</v>
      </c>
      <c r="G98" s="11">
        <f>IFERROR(E98/F98, "")</f>
      </c>
      <c r="H98" s="11">
        <v>16.4</v>
      </c>
      <c r="I98" s="3">
        <v>76</v>
      </c>
      <c r="J98" s="2" t="s">
        <v>28</v>
      </c>
      <c r="K98" s="2"/>
      <c r="L98" s="2"/>
      <c r="M98" s="2"/>
      <c r="N98" s="2"/>
      <c r="O98" s="2"/>
      <c r="P98" s="2"/>
      <c r="Q98" s="2"/>
      <c r="R98" s="2"/>
      <c r="S98" s="2"/>
      <c r="T98" s="2"/>
      <c r="U98" s="9"/>
      <c r="V98" s="9"/>
      <c r="W98" s="9"/>
      <c r="X98" s="9"/>
      <c r="Y98" s="9"/>
    </row>
    <row x14ac:dyDescent="0.25" r="99" customHeight="1" ht="18.75">
      <c r="A99" s="2" t="s">
        <v>113</v>
      </c>
      <c r="B99" s="3">
        <v>33</v>
      </c>
      <c r="C99" s="3">
        <v>4</v>
      </c>
      <c r="D99" s="3">
        <v>91</v>
      </c>
      <c r="E99" s="3">
        <v>53</v>
      </c>
      <c r="F99" s="3">
        <v>1795</v>
      </c>
      <c r="G99" s="11">
        <f>IFERROR(E99/F99, "")</f>
      </c>
      <c r="H99" s="11">
        <v>17.4</v>
      </c>
      <c r="I99" s="3">
        <v>76</v>
      </c>
      <c r="J99" s="2" t="s">
        <v>28</v>
      </c>
      <c r="K99" s="2"/>
      <c r="L99" s="2"/>
      <c r="M99" s="2"/>
      <c r="N99" s="2"/>
      <c r="O99" s="2"/>
      <c r="P99" s="2"/>
      <c r="Q99" s="2"/>
      <c r="R99" s="2"/>
      <c r="S99" s="2"/>
      <c r="T99" s="2"/>
      <c r="U99" s="9"/>
      <c r="V99" s="9"/>
      <c r="W99" s="9"/>
      <c r="X99" s="9"/>
      <c r="Y99" s="9"/>
    </row>
    <row x14ac:dyDescent="0.25" r="100" customHeight="1" ht="18.75">
      <c r="A100" s="2" t="s">
        <v>112</v>
      </c>
      <c r="B100" s="3">
        <v>19</v>
      </c>
      <c r="C100" s="3">
        <v>6</v>
      </c>
      <c r="D100" s="3">
        <v>156</v>
      </c>
      <c r="E100" s="3">
        <v>108</v>
      </c>
      <c r="F100" s="3">
        <v>2930</v>
      </c>
      <c r="G100" s="11">
        <f>IFERROR(E100/F100, "")</f>
      </c>
      <c r="H100" s="11">
        <v>15.5</v>
      </c>
      <c r="I100" s="3">
        <v>76</v>
      </c>
      <c r="J100" s="2" t="s">
        <v>28</v>
      </c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9"/>
      <c r="V100" s="9"/>
      <c r="W100" s="9"/>
      <c r="X100" s="9"/>
      <c r="Y100" s="9"/>
    </row>
    <row x14ac:dyDescent="0.25" r="101" customHeight="1" ht="18.75">
      <c r="A101" s="2" t="s">
        <v>120</v>
      </c>
      <c r="B101" s="11">
        <v>21.5</v>
      </c>
      <c r="C101" s="3">
        <v>3</v>
      </c>
      <c r="D101" s="3">
        <v>80</v>
      </c>
      <c r="E101" s="3">
        <v>110</v>
      </c>
      <c r="F101" s="3">
        <v>2720</v>
      </c>
      <c r="G101" s="11">
        <f>IFERROR(E101/F101, "")</f>
      </c>
      <c r="H101" s="11">
        <v>13.5</v>
      </c>
      <c r="I101" s="3">
        <v>77</v>
      </c>
      <c r="J101" s="2" t="s">
        <v>28</v>
      </c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9"/>
      <c r="V101" s="9"/>
      <c r="W101" s="9"/>
      <c r="X101" s="9"/>
      <c r="Y101" s="9"/>
    </row>
    <row x14ac:dyDescent="0.25" r="102" customHeight="1" ht="18.75">
      <c r="A102" s="2" t="s">
        <v>121</v>
      </c>
      <c r="B102" s="11">
        <v>33.5</v>
      </c>
      <c r="C102" s="3">
        <v>4</v>
      </c>
      <c r="D102" s="3">
        <v>85</v>
      </c>
      <c r="E102" s="3">
        <v>70</v>
      </c>
      <c r="F102" s="3">
        <v>1945</v>
      </c>
      <c r="G102" s="11">
        <f>IFERROR(E102/F102, "")</f>
      </c>
      <c r="H102" s="11">
        <v>16.8</v>
      </c>
      <c r="I102" s="3">
        <v>77</v>
      </c>
      <c r="J102" s="2" t="s">
        <v>28</v>
      </c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9"/>
      <c r="V102" s="9"/>
      <c r="W102" s="9"/>
      <c r="X102" s="9"/>
      <c r="Y102" s="9"/>
    </row>
    <row x14ac:dyDescent="0.25" r="103" customHeight="1" ht="18.75">
      <c r="A103" s="2" t="s">
        <v>122</v>
      </c>
      <c r="B103" s="3">
        <v>30</v>
      </c>
      <c r="C103" s="3">
        <v>4</v>
      </c>
      <c r="D103" s="3">
        <v>97</v>
      </c>
      <c r="E103" s="3">
        <v>67</v>
      </c>
      <c r="F103" s="3">
        <v>1985</v>
      </c>
      <c r="G103" s="11">
        <f>IFERROR(E103/F103, "")</f>
      </c>
      <c r="H103" s="11">
        <v>16.4</v>
      </c>
      <c r="I103" s="3">
        <v>77</v>
      </c>
      <c r="J103" s="2" t="s">
        <v>28</v>
      </c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9"/>
      <c r="V103" s="9"/>
      <c r="W103" s="9"/>
      <c r="X103" s="9"/>
      <c r="Y103" s="9"/>
    </row>
    <row x14ac:dyDescent="0.25" r="104" customHeight="1" ht="18.75">
      <c r="A104" s="2" t="s">
        <v>123</v>
      </c>
      <c r="B104" s="11">
        <v>31.5</v>
      </c>
      <c r="C104" s="3">
        <v>4</v>
      </c>
      <c r="D104" s="3">
        <v>98</v>
      </c>
      <c r="E104" s="3">
        <v>68</v>
      </c>
      <c r="F104" s="3">
        <v>2045</v>
      </c>
      <c r="G104" s="11">
        <f>IFERROR(E104/F104, "")</f>
      </c>
      <c r="H104" s="11">
        <v>18.5</v>
      </c>
      <c r="I104" s="3">
        <v>77</v>
      </c>
      <c r="J104" s="2" t="s">
        <v>28</v>
      </c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9"/>
      <c r="V104" s="9"/>
      <c r="W104" s="9"/>
      <c r="X104" s="9"/>
      <c r="Y104" s="9"/>
    </row>
    <row x14ac:dyDescent="0.25" r="105" customHeight="1" ht="18.75">
      <c r="A105" s="2" t="s">
        <v>124</v>
      </c>
      <c r="B105" s="3">
        <v>26</v>
      </c>
      <c r="C105" s="3">
        <v>4</v>
      </c>
      <c r="D105" s="3">
        <v>97</v>
      </c>
      <c r="E105" s="3">
        <v>75</v>
      </c>
      <c r="F105" s="3">
        <v>2265</v>
      </c>
      <c r="G105" s="11">
        <f>IFERROR(E105/F105, "")</f>
      </c>
      <c r="H105" s="11">
        <v>18.2</v>
      </c>
      <c r="I105" s="3">
        <v>77</v>
      </c>
      <c r="J105" s="2" t="s">
        <v>28</v>
      </c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9"/>
      <c r="V105" s="9"/>
      <c r="W105" s="9"/>
      <c r="X105" s="9"/>
      <c r="Y105" s="9"/>
    </row>
    <row x14ac:dyDescent="0.25" r="106" customHeight="1" ht="18.75">
      <c r="A106" s="2" t="s">
        <v>125</v>
      </c>
      <c r="B106" s="3">
        <v>22</v>
      </c>
      <c r="C106" s="3">
        <v>6</v>
      </c>
      <c r="D106" s="3">
        <v>146</v>
      </c>
      <c r="E106" s="3">
        <v>97</v>
      </c>
      <c r="F106" s="3">
        <v>2815</v>
      </c>
      <c r="G106" s="11">
        <f>IFERROR(E106/F106, "")</f>
      </c>
      <c r="H106" s="11">
        <v>14.5</v>
      </c>
      <c r="I106" s="3">
        <v>77</v>
      </c>
      <c r="J106" s="2" t="s">
        <v>28</v>
      </c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9"/>
      <c r="V106" s="9"/>
      <c r="W106" s="9"/>
      <c r="X106" s="9"/>
      <c r="Y106" s="9"/>
    </row>
    <row x14ac:dyDescent="0.25" r="107" customHeight="1" ht="18.75">
      <c r="A107" s="2" t="s">
        <v>126</v>
      </c>
      <c r="B107" s="11">
        <v>27.2</v>
      </c>
      <c r="C107" s="3">
        <v>4</v>
      </c>
      <c r="D107" s="3">
        <v>119</v>
      </c>
      <c r="E107" s="3">
        <v>97</v>
      </c>
      <c r="F107" s="3">
        <v>2300</v>
      </c>
      <c r="G107" s="11">
        <f>IFERROR(E107/F107, "")</f>
      </c>
      <c r="H107" s="11">
        <v>14.7</v>
      </c>
      <c r="I107" s="3">
        <v>78</v>
      </c>
      <c r="J107" s="2" t="s">
        <v>28</v>
      </c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9"/>
      <c r="V107" s="9"/>
      <c r="W107" s="9"/>
      <c r="X107" s="9"/>
      <c r="Y107" s="9"/>
    </row>
    <row x14ac:dyDescent="0.25" r="108" customHeight="1" ht="18.75">
      <c r="A108" s="2" t="s">
        <v>127</v>
      </c>
      <c r="B108" s="11">
        <v>23.9</v>
      </c>
      <c r="C108" s="3">
        <v>4</v>
      </c>
      <c r="D108" s="3">
        <v>119</v>
      </c>
      <c r="E108" s="3">
        <v>97</v>
      </c>
      <c r="F108" s="3">
        <v>2405</v>
      </c>
      <c r="G108" s="11">
        <f>IFERROR(E108/F108, "")</f>
      </c>
      <c r="H108" s="11">
        <v>14.9</v>
      </c>
      <c r="I108" s="3">
        <v>78</v>
      </c>
      <c r="J108" s="2" t="s">
        <v>28</v>
      </c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9"/>
      <c r="V108" s="9"/>
      <c r="W108" s="9"/>
      <c r="X108" s="9"/>
      <c r="Y108" s="9"/>
    </row>
    <row x14ac:dyDescent="0.25" r="109" customHeight="1" ht="18.75">
      <c r="A109" s="2" t="s">
        <v>128</v>
      </c>
      <c r="B109" s="11">
        <v>21.1</v>
      </c>
      <c r="C109" s="3">
        <v>4</v>
      </c>
      <c r="D109" s="3">
        <v>134</v>
      </c>
      <c r="E109" s="3">
        <v>95</v>
      </c>
      <c r="F109" s="3">
        <v>2515</v>
      </c>
      <c r="G109" s="11">
        <f>IFERROR(E109/F109, "")</f>
      </c>
      <c r="H109" s="11">
        <v>14.8</v>
      </c>
      <c r="I109" s="3">
        <v>78</v>
      </c>
      <c r="J109" s="2" t="s">
        <v>28</v>
      </c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9"/>
      <c r="V109" s="9"/>
      <c r="W109" s="9"/>
      <c r="X109" s="9"/>
      <c r="Y109" s="9"/>
    </row>
    <row x14ac:dyDescent="0.25" r="110" customHeight="1" ht="18.75">
      <c r="A110" s="2" t="s">
        <v>102</v>
      </c>
      <c r="B110" s="11">
        <v>27.5</v>
      </c>
      <c r="C110" s="3">
        <v>4</v>
      </c>
      <c r="D110" s="3">
        <v>134</v>
      </c>
      <c r="E110" s="3">
        <v>95</v>
      </c>
      <c r="F110" s="3">
        <v>2560</v>
      </c>
      <c r="G110" s="11">
        <f>IFERROR(E110/F110, "")</f>
      </c>
      <c r="H110" s="11">
        <v>14.2</v>
      </c>
      <c r="I110" s="3">
        <v>78</v>
      </c>
      <c r="J110" s="2" t="s">
        <v>28</v>
      </c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9"/>
      <c r="V110" s="9"/>
      <c r="W110" s="9"/>
      <c r="X110" s="9"/>
      <c r="Y110" s="9"/>
    </row>
    <row x14ac:dyDescent="0.25" r="111" customHeight="1" ht="18.75">
      <c r="A111" s="2" t="s">
        <v>129</v>
      </c>
      <c r="B111" s="11">
        <v>39.4</v>
      </c>
      <c r="C111" s="3">
        <v>4</v>
      </c>
      <c r="D111" s="3">
        <v>85</v>
      </c>
      <c r="E111" s="3">
        <v>70</v>
      </c>
      <c r="F111" s="3">
        <v>2070</v>
      </c>
      <c r="G111" s="11">
        <f>IFERROR(E111/F111, "")</f>
      </c>
      <c r="H111" s="11">
        <v>18.6</v>
      </c>
      <c r="I111" s="3">
        <v>78</v>
      </c>
      <c r="J111" s="2" t="s">
        <v>28</v>
      </c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9"/>
      <c r="V111" s="9"/>
      <c r="W111" s="9"/>
      <c r="X111" s="9"/>
      <c r="Y111" s="9"/>
    </row>
    <row x14ac:dyDescent="0.25" r="112" customHeight="1" ht="18.75">
      <c r="A112" s="2" t="s">
        <v>118</v>
      </c>
      <c r="B112" s="11">
        <v>36.1</v>
      </c>
      <c r="C112" s="3">
        <v>4</v>
      </c>
      <c r="D112" s="3">
        <v>91</v>
      </c>
      <c r="E112" s="3">
        <v>60</v>
      </c>
      <c r="F112" s="3">
        <v>1800</v>
      </c>
      <c r="G112" s="11">
        <f>IFERROR(E112/F112, "")</f>
      </c>
      <c r="H112" s="11">
        <v>16.4</v>
      </c>
      <c r="I112" s="3">
        <v>78</v>
      </c>
      <c r="J112" s="2" t="s">
        <v>28</v>
      </c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9"/>
      <c r="V112" s="9"/>
      <c r="W112" s="9"/>
      <c r="X112" s="9"/>
      <c r="Y112" s="9"/>
    </row>
    <row x14ac:dyDescent="0.25" r="113" customHeight="1" ht="18.75">
      <c r="A113" s="2" t="s">
        <v>130</v>
      </c>
      <c r="B113" s="11">
        <v>29.5</v>
      </c>
      <c r="C113" s="3">
        <v>4</v>
      </c>
      <c r="D113" s="3">
        <v>98</v>
      </c>
      <c r="E113" s="3">
        <v>68</v>
      </c>
      <c r="F113" s="3">
        <v>2135</v>
      </c>
      <c r="G113" s="11">
        <f>IFERROR(E113/F113, "")</f>
      </c>
      <c r="H113" s="11">
        <v>16.6</v>
      </c>
      <c r="I113" s="3">
        <v>78</v>
      </c>
      <c r="J113" s="2" t="s">
        <v>28</v>
      </c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9"/>
      <c r="V113" s="9"/>
      <c r="W113" s="9"/>
      <c r="X113" s="9"/>
      <c r="Y113" s="9"/>
    </row>
    <row x14ac:dyDescent="0.25" r="114" customHeight="1" ht="18.75">
      <c r="A114" s="2" t="s">
        <v>131</v>
      </c>
      <c r="B114" s="11">
        <v>32.8</v>
      </c>
      <c r="C114" s="3">
        <v>4</v>
      </c>
      <c r="D114" s="3">
        <v>78</v>
      </c>
      <c r="E114" s="3">
        <v>52</v>
      </c>
      <c r="F114" s="3">
        <v>1985</v>
      </c>
      <c r="G114" s="11">
        <f>IFERROR(E114/F114, "")</f>
      </c>
      <c r="H114" s="11">
        <v>19.4</v>
      </c>
      <c r="I114" s="3">
        <v>78</v>
      </c>
      <c r="J114" s="2" t="s">
        <v>28</v>
      </c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9"/>
      <c r="V114" s="9"/>
      <c r="W114" s="9"/>
      <c r="X114" s="9"/>
      <c r="Y114" s="9"/>
    </row>
    <row x14ac:dyDescent="0.25" r="115" customHeight="1" ht="18.75">
      <c r="A115" s="2" t="s">
        <v>132</v>
      </c>
      <c r="B115" s="11">
        <v>34.1</v>
      </c>
      <c r="C115" s="3">
        <v>4</v>
      </c>
      <c r="D115" s="3">
        <v>86</v>
      </c>
      <c r="E115" s="3">
        <v>65</v>
      </c>
      <c r="F115" s="3">
        <v>1975</v>
      </c>
      <c r="G115" s="11">
        <f>IFERROR(E115/F115, "")</f>
      </c>
      <c r="H115" s="11">
        <v>15.2</v>
      </c>
      <c r="I115" s="3">
        <v>79</v>
      </c>
      <c r="J115" s="2" t="s">
        <v>28</v>
      </c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9"/>
      <c r="V115" s="9"/>
      <c r="W115" s="9"/>
      <c r="X115" s="9"/>
      <c r="Y115" s="9"/>
    </row>
    <row x14ac:dyDescent="0.25" r="116" customHeight="1" ht="18.75">
      <c r="A116" s="2" t="s">
        <v>133</v>
      </c>
      <c r="B116" s="11">
        <v>31.8</v>
      </c>
      <c r="C116" s="3">
        <v>4</v>
      </c>
      <c r="D116" s="3">
        <v>85</v>
      </c>
      <c r="E116" s="3">
        <v>65</v>
      </c>
      <c r="F116" s="3">
        <v>2020</v>
      </c>
      <c r="G116" s="11">
        <f>IFERROR(E116/F116, "")</f>
      </c>
      <c r="H116" s="11">
        <v>19.2</v>
      </c>
      <c r="I116" s="3">
        <v>79</v>
      </c>
      <c r="J116" s="2" t="s">
        <v>28</v>
      </c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9"/>
      <c r="V116" s="9"/>
      <c r="W116" s="9"/>
      <c r="X116" s="9"/>
      <c r="Y116" s="9"/>
    </row>
    <row x14ac:dyDescent="0.25" r="117" customHeight="1" ht="18.75">
      <c r="A117" s="2" t="s">
        <v>134</v>
      </c>
      <c r="B117" s="11">
        <v>23.7</v>
      </c>
      <c r="C117" s="3">
        <v>3</v>
      </c>
      <c r="D117" s="3">
        <v>70</v>
      </c>
      <c r="E117" s="3">
        <v>100</v>
      </c>
      <c r="F117" s="3">
        <v>2420</v>
      </c>
      <c r="G117" s="11">
        <f>IFERROR(E117/F117, "")</f>
      </c>
      <c r="H117" s="11">
        <v>12.5</v>
      </c>
      <c r="I117" s="3">
        <v>80</v>
      </c>
      <c r="J117" s="2" t="s">
        <v>28</v>
      </c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9"/>
      <c r="V117" s="9"/>
      <c r="W117" s="9"/>
      <c r="X117" s="9"/>
      <c r="Y117" s="9"/>
    </row>
    <row x14ac:dyDescent="0.25" r="118" customHeight="1" ht="18.75">
      <c r="A118" s="2" t="s">
        <v>135</v>
      </c>
      <c r="B118" s="3">
        <v>37</v>
      </c>
      <c r="C118" s="3">
        <v>4</v>
      </c>
      <c r="D118" s="3">
        <v>119</v>
      </c>
      <c r="E118" s="3">
        <v>92</v>
      </c>
      <c r="F118" s="3">
        <v>2434</v>
      </c>
      <c r="G118" s="11">
        <f>IFERROR(E118/F118, "")</f>
      </c>
      <c r="H118" s="3">
        <v>15</v>
      </c>
      <c r="I118" s="3">
        <v>80</v>
      </c>
      <c r="J118" s="2" t="s">
        <v>28</v>
      </c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9"/>
      <c r="V118" s="9"/>
      <c r="W118" s="9"/>
      <c r="X118" s="9"/>
      <c r="Y118" s="9"/>
    </row>
    <row x14ac:dyDescent="0.25" r="119" customHeight="1" ht="18.75">
      <c r="A119" s="2" t="s">
        <v>136</v>
      </c>
      <c r="B119" s="11">
        <v>44.6</v>
      </c>
      <c r="C119" s="3">
        <v>4</v>
      </c>
      <c r="D119" s="3">
        <v>91</v>
      </c>
      <c r="E119" s="3">
        <v>67</v>
      </c>
      <c r="F119" s="3">
        <v>1850</v>
      </c>
      <c r="G119" s="11">
        <f>IFERROR(E119/F119, "")</f>
      </c>
      <c r="H119" s="11">
        <v>13.8</v>
      </c>
      <c r="I119" s="3">
        <v>80</v>
      </c>
      <c r="J119" s="2" t="s">
        <v>28</v>
      </c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9"/>
      <c r="V119" s="9"/>
      <c r="W119" s="9"/>
      <c r="X119" s="9"/>
      <c r="Y119" s="9"/>
    </row>
    <row x14ac:dyDescent="0.25" r="120" customHeight="1" ht="18.75">
      <c r="A120" s="2" t="s">
        <v>137</v>
      </c>
      <c r="B120" s="11">
        <v>29.8</v>
      </c>
      <c r="C120" s="3">
        <v>4</v>
      </c>
      <c r="D120" s="3">
        <v>134</v>
      </c>
      <c r="E120" s="3">
        <v>90</v>
      </c>
      <c r="F120" s="3">
        <v>2711</v>
      </c>
      <c r="G120" s="11">
        <f>IFERROR(E120/F120, "")</f>
      </c>
      <c r="H120" s="11">
        <v>15.5</v>
      </c>
      <c r="I120" s="3">
        <v>80</v>
      </c>
      <c r="J120" s="2" t="s">
        <v>28</v>
      </c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9"/>
      <c r="V120" s="9"/>
      <c r="W120" s="9"/>
      <c r="X120" s="9"/>
      <c r="Y120" s="9"/>
    </row>
    <row x14ac:dyDescent="0.25" r="121" customHeight="1" ht="18.75">
      <c r="A121" s="2" t="s">
        <v>117</v>
      </c>
      <c r="B121" s="11">
        <v>32.2</v>
      </c>
      <c r="C121" s="3">
        <v>4</v>
      </c>
      <c r="D121" s="3">
        <v>108</v>
      </c>
      <c r="E121" s="3">
        <v>75</v>
      </c>
      <c r="F121" s="3">
        <v>2265</v>
      </c>
      <c r="G121" s="11">
        <f>IFERROR(E121/F121, "")</f>
      </c>
      <c r="H121" s="11">
        <v>15.2</v>
      </c>
      <c r="I121" s="3">
        <v>80</v>
      </c>
      <c r="J121" s="2" t="s">
        <v>28</v>
      </c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9"/>
      <c r="V121" s="9"/>
      <c r="W121" s="9"/>
      <c r="X121" s="9"/>
      <c r="Y121" s="9"/>
    </row>
    <row x14ac:dyDescent="0.25" r="122" customHeight="1" ht="18.75">
      <c r="A122" s="2" t="s">
        <v>138</v>
      </c>
      <c r="B122" s="11">
        <v>37.2</v>
      </c>
      <c r="C122" s="3">
        <v>4</v>
      </c>
      <c r="D122" s="3">
        <v>86</v>
      </c>
      <c r="E122" s="3">
        <v>65</v>
      </c>
      <c r="F122" s="3">
        <v>2019</v>
      </c>
      <c r="G122" s="11">
        <f>IFERROR(E122/F122, "")</f>
      </c>
      <c r="H122" s="11">
        <v>16.4</v>
      </c>
      <c r="I122" s="3">
        <v>80</v>
      </c>
      <c r="J122" s="2" t="s">
        <v>28</v>
      </c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9"/>
      <c r="V122" s="9"/>
      <c r="W122" s="9"/>
      <c r="X122" s="9"/>
      <c r="Y122" s="9"/>
    </row>
    <row x14ac:dyDescent="0.25" r="123" customHeight="1" ht="18.75">
      <c r="A123" s="2" t="s">
        <v>139</v>
      </c>
      <c r="B123" s="11">
        <v>32.4</v>
      </c>
      <c r="C123" s="3">
        <v>4</v>
      </c>
      <c r="D123" s="3">
        <v>107</v>
      </c>
      <c r="E123" s="3">
        <v>72</v>
      </c>
      <c r="F123" s="3">
        <v>2290</v>
      </c>
      <c r="G123" s="11">
        <f>IFERROR(E123/F123, "")</f>
      </c>
      <c r="H123" s="3">
        <v>17</v>
      </c>
      <c r="I123" s="3">
        <v>80</v>
      </c>
      <c r="J123" s="2" t="s">
        <v>28</v>
      </c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9"/>
      <c r="V123" s="9"/>
      <c r="W123" s="9"/>
      <c r="X123" s="9"/>
      <c r="Y123" s="9"/>
    </row>
    <row x14ac:dyDescent="0.25" r="124" customHeight="1" ht="18.75">
      <c r="A124" s="2" t="s">
        <v>122</v>
      </c>
      <c r="B124" s="11">
        <v>33.8</v>
      </c>
      <c r="C124" s="3">
        <v>4</v>
      </c>
      <c r="D124" s="3">
        <v>97</v>
      </c>
      <c r="E124" s="3">
        <v>67</v>
      </c>
      <c r="F124" s="3">
        <v>2145</v>
      </c>
      <c r="G124" s="11">
        <f>IFERROR(E124/F124, "")</f>
      </c>
      <c r="H124" s="3">
        <v>18</v>
      </c>
      <c r="I124" s="3">
        <v>80</v>
      </c>
      <c r="J124" s="2" t="s">
        <v>28</v>
      </c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9"/>
      <c r="V124" s="9"/>
      <c r="W124" s="9"/>
      <c r="X124" s="9"/>
      <c r="Y124" s="9"/>
    </row>
    <row x14ac:dyDescent="0.25" r="125" customHeight="1" ht="18.75">
      <c r="A125" s="2" t="s">
        <v>133</v>
      </c>
      <c r="B125" s="11">
        <v>40.8</v>
      </c>
      <c r="C125" s="3">
        <v>4</v>
      </c>
      <c r="D125" s="3">
        <v>85</v>
      </c>
      <c r="E125" s="3">
        <v>65</v>
      </c>
      <c r="F125" s="3">
        <v>2110</v>
      </c>
      <c r="G125" s="11">
        <f>IFERROR(E125/F125, "")</f>
      </c>
      <c r="H125" s="11">
        <v>19.2</v>
      </c>
      <c r="I125" s="3">
        <v>80</v>
      </c>
      <c r="J125" s="2" t="s">
        <v>28</v>
      </c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9"/>
      <c r="V125" s="9"/>
      <c r="W125" s="9"/>
      <c r="X125" s="9"/>
      <c r="Y125" s="9"/>
    </row>
    <row x14ac:dyDescent="0.25" r="126" customHeight="1" ht="18.75">
      <c r="A126" s="2" t="s">
        <v>140</v>
      </c>
      <c r="B126" s="11">
        <v>46.6</v>
      </c>
      <c r="C126" s="3">
        <v>4</v>
      </c>
      <c r="D126" s="3">
        <v>86</v>
      </c>
      <c r="E126" s="3">
        <v>65</v>
      </c>
      <c r="F126" s="3">
        <v>2110</v>
      </c>
      <c r="G126" s="11">
        <f>IFERROR(E126/F126, "")</f>
      </c>
      <c r="H126" s="11">
        <v>17.9</v>
      </c>
      <c r="I126" s="3">
        <v>80</v>
      </c>
      <c r="J126" s="2" t="s">
        <v>28</v>
      </c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9"/>
      <c r="V126" s="9"/>
      <c r="W126" s="9"/>
      <c r="X126" s="9"/>
      <c r="Y126" s="9"/>
    </row>
    <row x14ac:dyDescent="0.25" r="127" customHeight="1" ht="18.75">
      <c r="A127" s="2" t="s">
        <v>141</v>
      </c>
      <c r="B127" s="11">
        <v>38.1</v>
      </c>
      <c r="C127" s="3">
        <v>4</v>
      </c>
      <c r="D127" s="3">
        <v>89</v>
      </c>
      <c r="E127" s="3">
        <v>60</v>
      </c>
      <c r="F127" s="3">
        <v>1968</v>
      </c>
      <c r="G127" s="11">
        <f>IFERROR(E127/F127, "")</f>
      </c>
      <c r="H127" s="11">
        <v>18.8</v>
      </c>
      <c r="I127" s="3">
        <v>80</v>
      </c>
      <c r="J127" s="2" t="s">
        <v>28</v>
      </c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9"/>
      <c r="V127" s="9"/>
      <c r="W127" s="9"/>
      <c r="X127" s="9"/>
      <c r="Y127" s="9"/>
    </row>
    <row x14ac:dyDescent="0.25" r="128" customHeight="1" ht="18.75">
      <c r="A128" s="2" t="s">
        <v>142</v>
      </c>
      <c r="B128" s="11">
        <v>31.3</v>
      </c>
      <c r="C128" s="3">
        <v>4</v>
      </c>
      <c r="D128" s="3">
        <v>120</v>
      </c>
      <c r="E128" s="3">
        <v>75</v>
      </c>
      <c r="F128" s="3">
        <v>2542</v>
      </c>
      <c r="G128" s="11">
        <f>IFERROR(E128/F128, "")</f>
      </c>
      <c r="H128" s="11">
        <v>17.5</v>
      </c>
      <c r="I128" s="3">
        <v>80</v>
      </c>
      <c r="J128" s="2" t="s">
        <v>28</v>
      </c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9"/>
      <c r="V128" s="9"/>
      <c r="W128" s="9"/>
      <c r="X128" s="9"/>
      <c r="Y128" s="9"/>
    </row>
    <row x14ac:dyDescent="0.25" r="129" customHeight="1" ht="18.75">
      <c r="A129" s="2" t="s">
        <v>143</v>
      </c>
      <c r="B129" s="11">
        <v>32.7</v>
      </c>
      <c r="C129" s="3">
        <v>6</v>
      </c>
      <c r="D129" s="3">
        <v>168</v>
      </c>
      <c r="E129" s="3">
        <v>132</v>
      </c>
      <c r="F129" s="3">
        <v>2910</v>
      </c>
      <c r="G129" s="11">
        <f>IFERROR(E129/F129, "")</f>
      </c>
      <c r="H129" s="11">
        <v>11.4</v>
      </c>
      <c r="I129" s="3">
        <v>80</v>
      </c>
      <c r="J129" s="2" t="s">
        <v>28</v>
      </c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9"/>
      <c r="V129" s="9"/>
      <c r="W129" s="9"/>
      <c r="X129" s="9"/>
      <c r="Y129" s="9"/>
    </row>
    <row x14ac:dyDescent="0.25" r="130" customHeight="1" ht="18.75">
      <c r="A130" s="2" t="s">
        <v>144</v>
      </c>
      <c r="B130" s="11">
        <v>32.9</v>
      </c>
      <c r="C130" s="3">
        <v>4</v>
      </c>
      <c r="D130" s="3">
        <v>119</v>
      </c>
      <c r="E130" s="3">
        <v>100</v>
      </c>
      <c r="F130" s="3">
        <v>2615</v>
      </c>
      <c r="G130" s="11">
        <f>IFERROR(E130/F130, "")</f>
      </c>
      <c r="H130" s="11">
        <v>14.8</v>
      </c>
      <c r="I130" s="3">
        <v>81</v>
      </c>
      <c r="J130" s="2" t="s">
        <v>28</v>
      </c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9"/>
      <c r="V130" s="9"/>
      <c r="W130" s="9"/>
      <c r="X130" s="9"/>
      <c r="Y130" s="9"/>
    </row>
    <row x14ac:dyDescent="0.25" r="131" customHeight="1" ht="18.75">
      <c r="A131" s="2" t="s">
        <v>145</v>
      </c>
      <c r="B131" s="11">
        <v>34.1</v>
      </c>
      <c r="C131" s="3">
        <v>4</v>
      </c>
      <c r="D131" s="3">
        <v>91</v>
      </c>
      <c r="E131" s="3">
        <v>68</v>
      </c>
      <c r="F131" s="3">
        <v>1985</v>
      </c>
      <c r="G131" s="11">
        <f>IFERROR(E131/F131, "")</f>
      </c>
      <c r="H131" s="3">
        <v>16</v>
      </c>
      <c r="I131" s="3">
        <v>81</v>
      </c>
      <c r="J131" s="2" t="s">
        <v>28</v>
      </c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9"/>
      <c r="V131" s="9"/>
      <c r="W131" s="9"/>
      <c r="X131" s="9"/>
      <c r="Y131" s="9"/>
    </row>
    <row x14ac:dyDescent="0.25" r="132" customHeight="1" ht="18.75">
      <c r="A132" s="2" t="s">
        <v>146</v>
      </c>
      <c r="B132" s="11">
        <v>35.1</v>
      </c>
      <c r="C132" s="3">
        <v>4</v>
      </c>
      <c r="D132" s="3">
        <v>81</v>
      </c>
      <c r="E132" s="3">
        <v>60</v>
      </c>
      <c r="F132" s="3">
        <v>1760</v>
      </c>
      <c r="G132" s="11">
        <f>IFERROR(E132/F132, "")</f>
      </c>
      <c r="H132" s="11">
        <v>16.1</v>
      </c>
      <c r="I132" s="3">
        <v>81</v>
      </c>
      <c r="J132" s="2" t="s">
        <v>28</v>
      </c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9"/>
      <c r="V132" s="9"/>
      <c r="W132" s="9"/>
      <c r="X132" s="9"/>
      <c r="Y132" s="9"/>
    </row>
    <row x14ac:dyDescent="0.25" r="133" customHeight="1" ht="18.75">
      <c r="A133" s="2" t="s">
        <v>147</v>
      </c>
      <c r="B133" s="11">
        <v>33.7</v>
      </c>
      <c r="C133" s="3">
        <v>4</v>
      </c>
      <c r="D133" s="3">
        <v>107</v>
      </c>
      <c r="E133" s="3">
        <v>75</v>
      </c>
      <c r="F133" s="3">
        <v>2210</v>
      </c>
      <c r="G133" s="11">
        <f>IFERROR(E133/F133, "")</f>
      </c>
      <c r="H133" s="11">
        <v>14.4</v>
      </c>
      <c r="I133" s="3">
        <v>81</v>
      </c>
      <c r="J133" s="2" t="s">
        <v>28</v>
      </c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9"/>
      <c r="V133" s="9"/>
      <c r="W133" s="9"/>
      <c r="X133" s="9"/>
      <c r="Y133" s="9"/>
    </row>
    <row x14ac:dyDescent="0.25" r="134" customHeight="1" ht="18.75">
      <c r="A134" s="2" t="s">
        <v>148</v>
      </c>
      <c r="B134" s="11">
        <v>39.1</v>
      </c>
      <c r="C134" s="3">
        <v>4</v>
      </c>
      <c r="D134" s="3">
        <v>79</v>
      </c>
      <c r="E134" s="3">
        <v>58</v>
      </c>
      <c r="F134" s="3">
        <v>1755</v>
      </c>
      <c r="G134" s="11">
        <f>IFERROR(E134/F134, "")</f>
      </c>
      <c r="H134" s="11">
        <v>16.9</v>
      </c>
      <c r="I134" s="3">
        <v>81</v>
      </c>
      <c r="J134" s="2" t="s">
        <v>28</v>
      </c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9"/>
      <c r="V134" s="9"/>
      <c r="W134" s="9"/>
      <c r="X134" s="9"/>
      <c r="Y134" s="9"/>
    </row>
    <row x14ac:dyDescent="0.25" r="135" customHeight="1" ht="18.75">
      <c r="A135" s="2" t="s">
        <v>149</v>
      </c>
      <c r="B135" s="3">
        <v>37</v>
      </c>
      <c r="C135" s="3">
        <v>4</v>
      </c>
      <c r="D135" s="3">
        <v>85</v>
      </c>
      <c r="E135" s="3">
        <v>65</v>
      </c>
      <c r="F135" s="3">
        <v>1975</v>
      </c>
      <c r="G135" s="11">
        <f>IFERROR(E135/F135, "")</f>
      </c>
      <c r="H135" s="11">
        <v>19.4</v>
      </c>
      <c r="I135" s="3">
        <v>81</v>
      </c>
      <c r="J135" s="2" t="s">
        <v>28</v>
      </c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9"/>
      <c r="V135" s="9"/>
      <c r="W135" s="9"/>
      <c r="X135" s="9"/>
      <c r="Y135" s="9"/>
    </row>
    <row x14ac:dyDescent="0.25" r="136" customHeight="1" ht="18.75">
      <c r="A136" s="2" t="s">
        <v>114</v>
      </c>
      <c r="B136" s="11">
        <v>32.3</v>
      </c>
      <c r="C136" s="3">
        <v>4</v>
      </c>
      <c r="D136" s="3">
        <v>97</v>
      </c>
      <c r="E136" s="3">
        <v>67</v>
      </c>
      <c r="F136" s="3">
        <v>2065</v>
      </c>
      <c r="G136" s="11">
        <f>IFERROR(E136/F136, "")</f>
      </c>
      <c r="H136" s="11">
        <v>17.8</v>
      </c>
      <c r="I136" s="3">
        <v>81</v>
      </c>
      <c r="J136" s="2" t="s">
        <v>28</v>
      </c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9"/>
      <c r="V136" s="9"/>
      <c r="W136" s="9"/>
      <c r="X136" s="9"/>
      <c r="Y136" s="9"/>
    </row>
    <row x14ac:dyDescent="0.25" r="137" customHeight="1" ht="18.75">
      <c r="A137" s="2" t="s">
        <v>117</v>
      </c>
      <c r="B137" s="11">
        <v>32.4</v>
      </c>
      <c r="C137" s="3">
        <v>4</v>
      </c>
      <c r="D137" s="3">
        <v>108</v>
      </c>
      <c r="E137" s="3">
        <v>75</v>
      </c>
      <c r="F137" s="3">
        <v>2350</v>
      </c>
      <c r="G137" s="11">
        <f>IFERROR(E137/F137, "")</f>
      </c>
      <c r="H137" s="11">
        <v>16.8</v>
      </c>
      <c r="I137" s="3">
        <v>81</v>
      </c>
      <c r="J137" s="2" t="s">
        <v>28</v>
      </c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9"/>
      <c r="V137" s="9"/>
      <c r="W137" s="9"/>
      <c r="X137" s="9"/>
      <c r="Y137" s="9"/>
    </row>
    <row x14ac:dyDescent="0.25" r="138" customHeight="1" ht="18.75">
      <c r="A138" s="2" t="s">
        <v>150</v>
      </c>
      <c r="B138" s="11">
        <v>37.7</v>
      </c>
      <c r="C138" s="3">
        <v>4</v>
      </c>
      <c r="D138" s="3">
        <v>89</v>
      </c>
      <c r="E138" s="3">
        <v>62</v>
      </c>
      <c r="F138" s="3">
        <v>2050</v>
      </c>
      <c r="G138" s="11">
        <f>IFERROR(E138/F138, "")</f>
      </c>
      <c r="H138" s="11">
        <v>17.3</v>
      </c>
      <c r="I138" s="3">
        <v>81</v>
      </c>
      <c r="J138" s="2" t="s">
        <v>28</v>
      </c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9"/>
      <c r="V138" s="9"/>
      <c r="W138" s="9"/>
      <c r="X138" s="9"/>
      <c r="Y138" s="9"/>
    </row>
    <row x14ac:dyDescent="0.25" r="139" customHeight="1" ht="18.75">
      <c r="A139" s="2" t="s">
        <v>142</v>
      </c>
      <c r="B139" s="11">
        <v>31.6</v>
      </c>
      <c r="C139" s="3">
        <v>4</v>
      </c>
      <c r="D139" s="3">
        <v>120</v>
      </c>
      <c r="E139" s="3">
        <v>74</v>
      </c>
      <c r="F139" s="3">
        <v>2635</v>
      </c>
      <c r="G139" s="11">
        <f>IFERROR(E139/F139, "")</f>
      </c>
      <c r="H139" s="11">
        <v>18.3</v>
      </c>
      <c r="I139" s="3">
        <v>81</v>
      </c>
      <c r="J139" s="2" t="s">
        <v>28</v>
      </c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9"/>
      <c r="V139" s="9"/>
      <c r="W139" s="9"/>
      <c r="X139" s="9"/>
      <c r="Y139" s="9"/>
    </row>
    <row x14ac:dyDescent="0.25" r="140" customHeight="1" ht="18.75">
      <c r="A140" s="2" t="s">
        <v>151</v>
      </c>
      <c r="B140" s="11">
        <v>24.2</v>
      </c>
      <c r="C140" s="3">
        <v>6</v>
      </c>
      <c r="D140" s="3">
        <v>146</v>
      </c>
      <c r="E140" s="3">
        <v>120</v>
      </c>
      <c r="F140" s="3">
        <v>2930</v>
      </c>
      <c r="G140" s="11">
        <f>IFERROR(E140/F140, "")</f>
      </c>
      <c r="H140" s="11">
        <v>13.8</v>
      </c>
      <c r="I140" s="3">
        <v>81</v>
      </c>
      <c r="J140" s="2" t="s">
        <v>28</v>
      </c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9"/>
      <c r="V140" s="9"/>
      <c r="W140" s="9"/>
      <c r="X140" s="9"/>
      <c r="Y140" s="9"/>
    </row>
    <row x14ac:dyDescent="0.25" r="141" customHeight="1" ht="18.75">
      <c r="A141" s="2" t="s">
        <v>152</v>
      </c>
      <c r="B141" s="11">
        <v>25.4</v>
      </c>
      <c r="C141" s="3">
        <v>6</v>
      </c>
      <c r="D141" s="3">
        <v>168</v>
      </c>
      <c r="E141" s="3">
        <v>116</v>
      </c>
      <c r="F141" s="3">
        <v>2900</v>
      </c>
      <c r="G141" s="11">
        <f>IFERROR(E141/F141, "")</f>
      </c>
      <c r="H141" s="11">
        <v>12.6</v>
      </c>
      <c r="I141" s="3">
        <v>81</v>
      </c>
      <c r="J141" s="2" t="s">
        <v>28</v>
      </c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9"/>
      <c r="V141" s="9"/>
      <c r="W141" s="9"/>
      <c r="X141" s="9"/>
      <c r="Y141" s="9"/>
    </row>
    <row x14ac:dyDescent="0.25" r="142" customHeight="1" ht="18.75">
      <c r="A142" s="2" t="s">
        <v>153</v>
      </c>
      <c r="B142" s="3">
        <v>36</v>
      </c>
      <c r="C142" s="3">
        <v>4</v>
      </c>
      <c r="D142" s="3">
        <v>120</v>
      </c>
      <c r="E142" s="3">
        <v>88</v>
      </c>
      <c r="F142" s="3">
        <v>2160</v>
      </c>
      <c r="G142" s="11">
        <f>IFERROR(E142/F142, "")</f>
      </c>
      <c r="H142" s="11">
        <v>14.5</v>
      </c>
      <c r="I142" s="3">
        <v>82</v>
      </c>
      <c r="J142" s="2" t="s">
        <v>28</v>
      </c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9"/>
      <c r="V142" s="9"/>
      <c r="W142" s="9"/>
      <c r="X142" s="9"/>
      <c r="Y142" s="9"/>
    </row>
    <row x14ac:dyDescent="0.25" r="143" customHeight="1" ht="18.75">
      <c r="A143" s="2" t="s">
        <v>154</v>
      </c>
      <c r="B143" s="3">
        <v>32</v>
      </c>
      <c r="C143" s="3">
        <v>4</v>
      </c>
      <c r="D143" s="3">
        <v>144</v>
      </c>
      <c r="E143" s="3">
        <v>96</v>
      </c>
      <c r="F143" s="3">
        <v>2665</v>
      </c>
      <c r="G143" s="11">
        <f>IFERROR(E143/F143, "")</f>
      </c>
      <c r="H143" s="11">
        <v>13.9</v>
      </c>
      <c r="I143" s="3">
        <v>82</v>
      </c>
      <c r="J143" s="2" t="s">
        <v>28</v>
      </c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9"/>
      <c r="V143" s="9"/>
      <c r="W143" s="9"/>
      <c r="X143" s="9"/>
      <c r="Y143" s="9"/>
    </row>
    <row x14ac:dyDescent="0.25" r="144" customHeight="1" ht="18.75">
      <c r="A144" s="2" t="s">
        <v>155</v>
      </c>
      <c r="B144" s="3">
        <v>31</v>
      </c>
      <c r="C144" s="3">
        <v>4</v>
      </c>
      <c r="D144" s="3">
        <v>91</v>
      </c>
      <c r="E144" s="3">
        <v>68</v>
      </c>
      <c r="F144" s="3">
        <v>1970</v>
      </c>
      <c r="G144" s="11">
        <f>IFERROR(E144/F144, "")</f>
      </c>
      <c r="H144" s="11">
        <v>17.6</v>
      </c>
      <c r="I144" s="3">
        <v>82</v>
      </c>
      <c r="J144" s="2" t="s">
        <v>28</v>
      </c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9"/>
      <c r="V144" s="9"/>
      <c r="W144" s="9"/>
      <c r="X144" s="9"/>
      <c r="Y144" s="9"/>
    </row>
    <row x14ac:dyDescent="0.25" r="145" customHeight="1" ht="18.75">
      <c r="A145" s="2" t="s">
        <v>113</v>
      </c>
      <c r="B145" s="3">
        <v>38</v>
      </c>
      <c r="C145" s="3">
        <v>4</v>
      </c>
      <c r="D145" s="3">
        <v>91</v>
      </c>
      <c r="E145" s="3">
        <v>67</v>
      </c>
      <c r="F145" s="3">
        <v>1965</v>
      </c>
      <c r="G145" s="11">
        <f>IFERROR(E145/F145, "")</f>
      </c>
      <c r="H145" s="3">
        <v>15</v>
      </c>
      <c r="I145" s="3">
        <v>82</v>
      </c>
      <c r="J145" s="2" t="s">
        <v>28</v>
      </c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9"/>
      <c r="V145" s="9"/>
      <c r="W145" s="9"/>
      <c r="X145" s="9"/>
      <c r="Y145" s="9"/>
    </row>
    <row x14ac:dyDescent="0.25" r="146" customHeight="1" ht="18.75">
      <c r="A146" s="2" t="s">
        <v>156</v>
      </c>
      <c r="B146" s="3">
        <v>32</v>
      </c>
      <c r="C146" s="3">
        <v>4</v>
      </c>
      <c r="D146" s="3">
        <v>91</v>
      </c>
      <c r="E146" s="3">
        <v>67</v>
      </c>
      <c r="F146" s="3">
        <v>1965</v>
      </c>
      <c r="G146" s="11">
        <f>IFERROR(E146/F146, "")</f>
      </c>
      <c r="H146" s="11">
        <v>15.7</v>
      </c>
      <c r="I146" s="3">
        <v>82</v>
      </c>
      <c r="J146" s="2" t="s">
        <v>28</v>
      </c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9"/>
      <c r="V146" s="9"/>
      <c r="W146" s="9"/>
      <c r="X146" s="9"/>
      <c r="Y146" s="9"/>
    </row>
    <row x14ac:dyDescent="0.25" r="147" customHeight="1" ht="18.75">
      <c r="A147" s="2" t="s">
        <v>139</v>
      </c>
      <c r="B147" s="3">
        <v>36</v>
      </c>
      <c r="C147" s="3">
        <v>4</v>
      </c>
      <c r="D147" s="3">
        <v>107</v>
      </c>
      <c r="E147" s="3">
        <v>75</v>
      </c>
      <c r="F147" s="3">
        <v>2205</v>
      </c>
      <c r="G147" s="11">
        <f>IFERROR(E147/F147, "")</f>
      </c>
      <c r="H147" s="11">
        <v>14.5</v>
      </c>
      <c r="I147" s="3">
        <v>82</v>
      </c>
      <c r="J147" s="2" t="s">
        <v>28</v>
      </c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9"/>
      <c r="V147" s="9"/>
      <c r="W147" s="9"/>
      <c r="X147" s="9"/>
      <c r="Y147" s="9"/>
    </row>
    <row x14ac:dyDescent="0.25" r="148" customHeight="1" ht="18.75">
      <c r="A148" s="2" t="s">
        <v>157</v>
      </c>
      <c r="B148" s="3">
        <v>38</v>
      </c>
      <c r="C148" s="3">
        <v>4</v>
      </c>
      <c r="D148" s="3">
        <v>91</v>
      </c>
      <c r="E148" s="3">
        <v>67</v>
      </c>
      <c r="F148" s="3">
        <v>1995</v>
      </c>
      <c r="G148" s="11">
        <f>IFERROR(E148/F148, "")</f>
      </c>
      <c r="H148" s="11">
        <v>16.2</v>
      </c>
      <c r="I148" s="3">
        <v>82</v>
      </c>
      <c r="J148" s="2" t="s">
        <v>28</v>
      </c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9"/>
      <c r="V148" s="9"/>
      <c r="W148" s="9"/>
      <c r="X148" s="9"/>
      <c r="Y148" s="9"/>
    </row>
    <row x14ac:dyDescent="0.25" r="149" customHeight="1" ht="18.75">
      <c r="A149" s="2" t="s">
        <v>158</v>
      </c>
      <c r="B149" s="3">
        <v>37</v>
      </c>
      <c r="C149" s="3">
        <v>4</v>
      </c>
      <c r="D149" s="3">
        <v>91</v>
      </c>
      <c r="E149" s="3">
        <v>68</v>
      </c>
      <c r="F149" s="3">
        <v>2025</v>
      </c>
      <c r="G149" s="11">
        <f>IFERROR(E149/F149, "")</f>
      </c>
      <c r="H149" s="11">
        <v>18.2</v>
      </c>
      <c r="I149" s="3">
        <v>82</v>
      </c>
      <c r="J149" s="2" t="s">
        <v>28</v>
      </c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9"/>
      <c r="V149" s="9"/>
      <c r="W149" s="9"/>
      <c r="X149" s="9"/>
      <c r="Y149" s="9"/>
    </row>
    <row x14ac:dyDescent="0.25" r="150" customHeight="1" ht="18.75">
      <c r="A150" s="2" t="s">
        <v>117</v>
      </c>
      <c r="B150" s="3">
        <v>34</v>
      </c>
      <c r="C150" s="3">
        <v>4</v>
      </c>
      <c r="D150" s="3">
        <v>108</v>
      </c>
      <c r="E150" s="3">
        <v>70</v>
      </c>
      <c r="F150" s="3">
        <v>2245</v>
      </c>
      <c r="G150" s="11">
        <f>IFERROR(E150/F150, "")</f>
      </c>
      <c r="H150" s="11">
        <v>16.9</v>
      </c>
      <c r="I150" s="3">
        <v>82</v>
      </c>
      <c r="J150" s="2" t="s">
        <v>28</v>
      </c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9"/>
      <c r="V150" s="9"/>
      <c r="W150" s="9"/>
      <c r="X150" s="9"/>
      <c r="Y150" s="9"/>
    </row>
    <row x14ac:dyDescent="0.25" r="151" customHeight="1" ht="18.75">
      <c r="A151" s="2" t="s">
        <v>159</v>
      </c>
      <c r="B151" s="3">
        <v>18</v>
      </c>
      <c r="C151" s="3">
        <v>6</v>
      </c>
      <c r="D151" s="3">
        <v>199</v>
      </c>
      <c r="E151" s="3">
        <v>97</v>
      </c>
      <c r="F151" s="3">
        <v>2774</v>
      </c>
      <c r="G151" s="11">
        <f>IFERROR(E151/F151, "")</f>
      </c>
      <c r="H151" s="11">
        <v>15.5</v>
      </c>
      <c r="I151" s="3">
        <v>70</v>
      </c>
      <c r="J151" s="2" t="s">
        <v>29</v>
      </c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9"/>
      <c r="V151" s="9"/>
      <c r="W151" s="9"/>
      <c r="X151" s="9"/>
      <c r="Y151" s="9"/>
    </row>
    <row x14ac:dyDescent="0.25" r="152" customHeight="1" ht="18.75">
      <c r="A152" s="2" t="s">
        <v>160</v>
      </c>
      <c r="B152" s="3">
        <v>21</v>
      </c>
      <c r="C152" s="3">
        <v>6</v>
      </c>
      <c r="D152" s="3">
        <v>199</v>
      </c>
      <c r="E152" s="3">
        <v>90</v>
      </c>
      <c r="F152" s="3">
        <v>2648</v>
      </c>
      <c r="G152" s="11">
        <f>IFERROR(E152/F152, "")</f>
      </c>
      <c r="H152" s="3">
        <v>15</v>
      </c>
      <c r="I152" s="3">
        <v>70</v>
      </c>
      <c r="J152" s="2" t="s">
        <v>29</v>
      </c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9"/>
      <c r="V152" s="9"/>
      <c r="W152" s="9"/>
      <c r="X152" s="9"/>
      <c r="Y152" s="9"/>
    </row>
    <row x14ac:dyDescent="0.25" r="153" customHeight="1" ht="18.75">
      <c r="A153" s="2" t="s">
        <v>161</v>
      </c>
      <c r="B153" s="3">
        <v>22</v>
      </c>
      <c r="C153" s="3">
        <v>6</v>
      </c>
      <c r="D153" s="3">
        <v>198</v>
      </c>
      <c r="E153" s="3">
        <v>95</v>
      </c>
      <c r="F153" s="3">
        <v>2833</v>
      </c>
      <c r="G153" s="11">
        <f>IFERROR(E153/F153, "")</f>
      </c>
      <c r="H153" s="11">
        <v>15.5</v>
      </c>
      <c r="I153" s="3">
        <v>70</v>
      </c>
      <c r="J153" s="2" t="s">
        <v>29</v>
      </c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9"/>
      <c r="V153" s="9"/>
      <c r="W153" s="9"/>
      <c r="X153" s="9"/>
      <c r="Y153" s="9"/>
    </row>
    <row x14ac:dyDescent="0.25" r="154" customHeight="1" ht="18.75">
      <c r="A154" s="2" t="s">
        <v>162</v>
      </c>
      <c r="B154" s="3">
        <v>21</v>
      </c>
      <c r="C154" s="3">
        <v>6</v>
      </c>
      <c r="D154" s="3">
        <v>200</v>
      </c>
      <c r="E154" s="3">
        <v>85</v>
      </c>
      <c r="F154" s="3">
        <v>2587</v>
      </c>
      <c r="G154" s="11">
        <f>IFERROR(E154/F154, "")</f>
      </c>
      <c r="H154" s="3">
        <v>16</v>
      </c>
      <c r="I154" s="3">
        <v>70</v>
      </c>
      <c r="J154" s="2" t="s">
        <v>29</v>
      </c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9"/>
      <c r="V154" s="9"/>
      <c r="W154" s="9"/>
      <c r="X154" s="9"/>
      <c r="Y154" s="9"/>
    </row>
    <row x14ac:dyDescent="0.25" r="155" customHeight="1" ht="18.75">
      <c r="A155" s="2" t="s">
        <v>163</v>
      </c>
      <c r="B155" s="3">
        <v>14</v>
      </c>
      <c r="C155" s="3">
        <v>8</v>
      </c>
      <c r="D155" s="3">
        <v>455</v>
      </c>
      <c r="E155" s="3">
        <v>225</v>
      </c>
      <c r="F155" s="3">
        <v>3086</v>
      </c>
      <c r="G155" s="11">
        <f>IFERROR(E155/F155, "")</f>
      </c>
      <c r="H155" s="3">
        <v>10</v>
      </c>
      <c r="I155" s="3">
        <v>70</v>
      </c>
      <c r="J155" s="2" t="s">
        <v>29</v>
      </c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9"/>
      <c r="V155" s="9"/>
      <c r="W155" s="9"/>
      <c r="X155" s="9"/>
      <c r="Y155" s="9"/>
    </row>
    <row x14ac:dyDescent="0.25" r="156" customHeight="1" ht="18.75">
      <c r="A156" s="2" t="s">
        <v>164</v>
      </c>
      <c r="B156" s="3">
        <v>14</v>
      </c>
      <c r="C156" s="3">
        <v>8</v>
      </c>
      <c r="D156" s="3">
        <v>455</v>
      </c>
      <c r="E156" s="3">
        <v>225</v>
      </c>
      <c r="F156" s="3">
        <v>4425</v>
      </c>
      <c r="G156" s="11">
        <f>IFERROR(E156/F156, "")</f>
      </c>
      <c r="H156" s="3">
        <v>10</v>
      </c>
      <c r="I156" s="3">
        <v>70</v>
      </c>
      <c r="J156" s="2" t="s">
        <v>29</v>
      </c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9"/>
      <c r="V156" s="9"/>
      <c r="W156" s="9"/>
      <c r="X156" s="9"/>
      <c r="Y156" s="9"/>
    </row>
    <row x14ac:dyDescent="0.25" r="157" customHeight="1" ht="18.75">
      <c r="A157" s="2" t="s">
        <v>165</v>
      </c>
      <c r="B157" s="3">
        <v>14</v>
      </c>
      <c r="C157" s="3">
        <v>8</v>
      </c>
      <c r="D157" s="3">
        <v>454</v>
      </c>
      <c r="E157" s="3">
        <v>220</v>
      </c>
      <c r="F157" s="3">
        <v>4354</v>
      </c>
      <c r="G157" s="11">
        <f>IFERROR(E157/F157, "")</f>
      </c>
      <c r="H157" s="3">
        <v>9</v>
      </c>
      <c r="I157" s="3">
        <v>70</v>
      </c>
      <c r="J157" s="2" t="s">
        <v>29</v>
      </c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9"/>
      <c r="V157" s="9"/>
      <c r="W157" s="9"/>
      <c r="X157" s="9"/>
      <c r="Y157" s="9"/>
    </row>
    <row x14ac:dyDescent="0.25" r="158" customHeight="1" ht="18.75">
      <c r="A158" s="2" t="s">
        <v>166</v>
      </c>
      <c r="B158" s="3">
        <v>14</v>
      </c>
      <c r="C158" s="3">
        <v>8</v>
      </c>
      <c r="D158" s="3">
        <v>440</v>
      </c>
      <c r="E158" s="3">
        <v>215</v>
      </c>
      <c r="F158" s="3">
        <v>4312</v>
      </c>
      <c r="G158" s="11">
        <f>IFERROR(E158/F158, "")</f>
      </c>
      <c r="H158" s="11">
        <v>8.5</v>
      </c>
      <c r="I158" s="3">
        <v>70</v>
      </c>
      <c r="J158" s="2" t="s">
        <v>29</v>
      </c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9"/>
      <c r="V158" s="9"/>
      <c r="W158" s="9"/>
      <c r="X158" s="9"/>
      <c r="Y158" s="9"/>
    </row>
    <row x14ac:dyDescent="0.25" r="159" customHeight="1" ht="18.75">
      <c r="A159" s="2" t="s">
        <v>167</v>
      </c>
      <c r="B159" s="3">
        <v>15</v>
      </c>
      <c r="C159" s="3">
        <v>8</v>
      </c>
      <c r="D159" s="3">
        <v>390</v>
      </c>
      <c r="E159" s="3">
        <v>190</v>
      </c>
      <c r="F159" s="3">
        <v>3850</v>
      </c>
      <c r="G159" s="11">
        <f>IFERROR(E159/F159, "")</f>
      </c>
      <c r="H159" s="11">
        <v>8.5</v>
      </c>
      <c r="I159" s="3">
        <v>70</v>
      </c>
      <c r="J159" s="2" t="s">
        <v>29</v>
      </c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9"/>
      <c r="V159" s="9"/>
      <c r="W159" s="9"/>
      <c r="X159" s="9"/>
      <c r="Y159" s="9"/>
    </row>
    <row x14ac:dyDescent="0.25" r="160" customHeight="1" ht="18.75">
      <c r="A160" s="2" t="s">
        <v>168</v>
      </c>
      <c r="B160" s="3">
        <v>11</v>
      </c>
      <c r="C160" s="3">
        <v>8</v>
      </c>
      <c r="D160" s="3">
        <v>318</v>
      </c>
      <c r="E160" s="3">
        <v>210</v>
      </c>
      <c r="F160" s="3">
        <v>4382</v>
      </c>
      <c r="G160" s="11">
        <f>IFERROR(E160/F160, "")</f>
      </c>
      <c r="H160" s="11">
        <v>13.5</v>
      </c>
      <c r="I160" s="3">
        <v>70</v>
      </c>
      <c r="J160" s="2" t="s">
        <v>29</v>
      </c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9"/>
      <c r="V160" s="9"/>
      <c r="W160" s="9"/>
      <c r="X160" s="9"/>
      <c r="Y160" s="9"/>
    </row>
    <row x14ac:dyDescent="0.25" r="161" customHeight="1" ht="18.75">
      <c r="A161" s="2" t="s">
        <v>169</v>
      </c>
      <c r="B161" s="3">
        <v>15</v>
      </c>
      <c r="C161" s="3">
        <v>8</v>
      </c>
      <c r="D161" s="3">
        <v>383</v>
      </c>
      <c r="E161" s="3">
        <v>170</v>
      </c>
      <c r="F161" s="3">
        <v>3563</v>
      </c>
      <c r="G161" s="11">
        <f>IFERROR(E161/F161, "")</f>
      </c>
      <c r="H161" s="3">
        <v>10</v>
      </c>
      <c r="I161" s="3">
        <v>70</v>
      </c>
      <c r="J161" s="2" t="s">
        <v>29</v>
      </c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9"/>
      <c r="V161" s="9"/>
      <c r="W161" s="9"/>
      <c r="X161" s="9"/>
      <c r="Y161" s="9"/>
    </row>
    <row x14ac:dyDescent="0.25" r="162" customHeight="1" ht="18.75">
      <c r="A162" s="2" t="s">
        <v>170</v>
      </c>
      <c r="B162" s="3">
        <v>10</v>
      </c>
      <c r="C162" s="3">
        <v>8</v>
      </c>
      <c r="D162" s="3">
        <v>360</v>
      </c>
      <c r="E162" s="3">
        <v>215</v>
      </c>
      <c r="F162" s="3">
        <v>4615</v>
      </c>
      <c r="G162" s="11">
        <f>IFERROR(E162/F162, "")</f>
      </c>
      <c r="H162" s="3">
        <v>14</v>
      </c>
      <c r="I162" s="3">
        <v>70</v>
      </c>
      <c r="J162" s="2" t="s">
        <v>29</v>
      </c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9"/>
      <c r="V162" s="9"/>
      <c r="W162" s="9"/>
      <c r="X162" s="9"/>
      <c r="Y162" s="9"/>
    </row>
    <row x14ac:dyDescent="0.25" r="163" customHeight="1" ht="18.75">
      <c r="A163" s="2" t="s">
        <v>171</v>
      </c>
      <c r="B163" s="3">
        <v>10</v>
      </c>
      <c r="C163" s="3">
        <v>8</v>
      </c>
      <c r="D163" s="3">
        <v>307</v>
      </c>
      <c r="E163" s="3">
        <v>200</v>
      </c>
      <c r="F163" s="3">
        <v>4376</v>
      </c>
      <c r="G163" s="11">
        <f>IFERROR(E163/F163, "")</f>
      </c>
      <c r="H163" s="3">
        <v>15</v>
      </c>
      <c r="I163" s="3">
        <v>70</v>
      </c>
      <c r="J163" s="2" t="s">
        <v>29</v>
      </c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9"/>
      <c r="V163" s="9"/>
      <c r="W163" s="9"/>
      <c r="X163" s="9"/>
      <c r="Y163" s="9"/>
    </row>
    <row x14ac:dyDescent="0.25" r="164" customHeight="1" ht="18.75">
      <c r="A164" s="2" t="s">
        <v>172</v>
      </c>
      <c r="B164" s="3">
        <v>15</v>
      </c>
      <c r="C164" s="3">
        <v>8</v>
      </c>
      <c r="D164" s="3">
        <v>429</v>
      </c>
      <c r="E164" s="3">
        <v>198</v>
      </c>
      <c r="F164" s="3">
        <v>4341</v>
      </c>
      <c r="G164" s="11">
        <f>IFERROR(E164/F164, "")</f>
      </c>
      <c r="H164" s="3">
        <v>10</v>
      </c>
      <c r="I164" s="3">
        <v>70</v>
      </c>
      <c r="J164" s="2" t="s">
        <v>29</v>
      </c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9"/>
      <c r="V164" s="9"/>
      <c r="W164" s="9"/>
      <c r="X164" s="9"/>
      <c r="Y164" s="9"/>
    </row>
    <row x14ac:dyDescent="0.25" r="165" customHeight="1" ht="18.75">
      <c r="A165" s="2" t="s">
        <v>173</v>
      </c>
      <c r="B165" s="3">
        <v>15</v>
      </c>
      <c r="C165" s="3">
        <v>8</v>
      </c>
      <c r="D165" s="3">
        <v>350</v>
      </c>
      <c r="E165" s="3">
        <v>165</v>
      </c>
      <c r="F165" s="3">
        <v>3693</v>
      </c>
      <c r="G165" s="11">
        <f>IFERROR(E165/F165, "")</f>
      </c>
      <c r="H165" s="11">
        <v>11.5</v>
      </c>
      <c r="I165" s="3">
        <v>70</v>
      </c>
      <c r="J165" s="2" t="s">
        <v>29</v>
      </c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9"/>
      <c r="V165" s="9"/>
      <c r="W165" s="9"/>
      <c r="X165" s="9"/>
      <c r="Y165" s="9"/>
    </row>
    <row x14ac:dyDescent="0.25" r="166" customHeight="1" ht="18.75">
      <c r="A166" s="2" t="s">
        <v>174</v>
      </c>
      <c r="B166" s="3">
        <v>14</v>
      </c>
      <c r="C166" s="3">
        <v>8</v>
      </c>
      <c r="D166" s="3">
        <v>340</v>
      </c>
      <c r="E166" s="3">
        <v>160</v>
      </c>
      <c r="F166" s="3">
        <v>3609</v>
      </c>
      <c r="G166" s="11">
        <f>IFERROR(E166/F166, "")</f>
      </c>
      <c r="H166" s="3">
        <v>8</v>
      </c>
      <c r="I166" s="3">
        <v>70</v>
      </c>
      <c r="J166" s="2" t="s">
        <v>29</v>
      </c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9"/>
      <c r="V166" s="9"/>
      <c r="W166" s="9"/>
      <c r="X166" s="9"/>
      <c r="Y166" s="9"/>
    </row>
    <row x14ac:dyDescent="0.25" r="167" customHeight="1" ht="18.75">
      <c r="A167" s="2" t="s">
        <v>175</v>
      </c>
      <c r="B167" s="3">
        <v>16</v>
      </c>
      <c r="C167" s="3">
        <v>8</v>
      </c>
      <c r="D167" s="3">
        <v>304</v>
      </c>
      <c r="E167" s="3">
        <v>150</v>
      </c>
      <c r="F167" s="3">
        <v>3433</v>
      </c>
      <c r="G167" s="11">
        <f>IFERROR(E167/F167, "")</f>
      </c>
      <c r="H167" s="3">
        <v>12</v>
      </c>
      <c r="I167" s="3">
        <v>70</v>
      </c>
      <c r="J167" s="2" t="s">
        <v>29</v>
      </c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9"/>
      <c r="V167" s="9"/>
      <c r="W167" s="9"/>
      <c r="X167" s="9"/>
      <c r="Y167" s="9"/>
    </row>
    <row x14ac:dyDescent="0.25" r="168" customHeight="1" ht="18.75">
      <c r="A168" s="2" t="s">
        <v>176</v>
      </c>
      <c r="B168" s="3">
        <v>18</v>
      </c>
      <c r="C168" s="3">
        <v>8</v>
      </c>
      <c r="D168" s="3">
        <v>318</v>
      </c>
      <c r="E168" s="3">
        <v>150</v>
      </c>
      <c r="F168" s="3">
        <v>3436</v>
      </c>
      <c r="G168" s="11">
        <f>IFERROR(E168/F168, "")</f>
      </c>
      <c r="H168" s="3">
        <v>11</v>
      </c>
      <c r="I168" s="3">
        <v>70</v>
      </c>
      <c r="J168" s="2" t="s">
        <v>29</v>
      </c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9"/>
      <c r="V168" s="9"/>
      <c r="W168" s="9"/>
      <c r="X168" s="9"/>
      <c r="Y168" s="9"/>
    </row>
    <row x14ac:dyDescent="0.25" r="169" customHeight="1" ht="18.75">
      <c r="A169" s="2" t="s">
        <v>177</v>
      </c>
      <c r="B169" s="3">
        <v>9</v>
      </c>
      <c r="C169" s="3">
        <v>8</v>
      </c>
      <c r="D169" s="3">
        <v>304</v>
      </c>
      <c r="E169" s="3">
        <v>193</v>
      </c>
      <c r="F169" s="3">
        <v>4732</v>
      </c>
      <c r="G169" s="11">
        <f>IFERROR(E169/F169, "")</f>
      </c>
      <c r="H169" s="11">
        <v>18.5</v>
      </c>
      <c r="I169" s="3">
        <v>70</v>
      </c>
      <c r="J169" s="2" t="s">
        <v>29</v>
      </c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9"/>
      <c r="V169" s="9"/>
      <c r="W169" s="9"/>
      <c r="X169" s="9"/>
      <c r="Y169" s="9"/>
    </row>
    <row x14ac:dyDescent="0.25" r="170" customHeight="1" ht="18.75">
      <c r="A170" s="2" t="s">
        <v>178</v>
      </c>
      <c r="B170" s="3">
        <v>17</v>
      </c>
      <c r="C170" s="3">
        <v>8</v>
      </c>
      <c r="D170" s="3">
        <v>302</v>
      </c>
      <c r="E170" s="3">
        <v>140</v>
      </c>
      <c r="F170" s="3">
        <v>3449</v>
      </c>
      <c r="G170" s="11">
        <f>IFERROR(E170/F170, "")</f>
      </c>
      <c r="H170" s="11">
        <v>10.5</v>
      </c>
      <c r="I170" s="3">
        <v>70</v>
      </c>
      <c r="J170" s="2" t="s">
        <v>29</v>
      </c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9"/>
      <c r="V170" s="9"/>
      <c r="W170" s="9"/>
      <c r="X170" s="9"/>
      <c r="Y170" s="9"/>
    </row>
    <row x14ac:dyDescent="0.25" r="171" customHeight="1" ht="18.75">
      <c r="A171" s="2" t="s">
        <v>179</v>
      </c>
      <c r="B171" s="3">
        <v>15</v>
      </c>
      <c r="C171" s="3">
        <v>8</v>
      </c>
      <c r="D171" s="3">
        <v>400</v>
      </c>
      <c r="E171" s="3">
        <v>150</v>
      </c>
      <c r="F171" s="3">
        <v>3761</v>
      </c>
      <c r="G171" s="11">
        <f>IFERROR(E171/F171, "")</f>
      </c>
      <c r="H171" s="11">
        <v>9.5</v>
      </c>
      <c r="I171" s="3">
        <v>70</v>
      </c>
      <c r="J171" s="2" t="s">
        <v>29</v>
      </c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9"/>
      <c r="V171" s="9"/>
      <c r="W171" s="9"/>
      <c r="X171" s="9"/>
      <c r="Y171" s="9"/>
    </row>
    <row x14ac:dyDescent="0.25" r="172" customHeight="1" ht="18.75">
      <c r="A172" s="2" t="s">
        <v>180</v>
      </c>
      <c r="B172" s="3">
        <v>18</v>
      </c>
      <c r="C172" s="3">
        <v>8</v>
      </c>
      <c r="D172" s="3">
        <v>307</v>
      </c>
      <c r="E172" s="3">
        <v>130</v>
      </c>
      <c r="F172" s="3">
        <v>3504</v>
      </c>
      <c r="G172" s="11">
        <f>IFERROR(E172/F172, "")</f>
      </c>
      <c r="H172" s="3">
        <v>12</v>
      </c>
      <c r="I172" s="3">
        <v>70</v>
      </c>
      <c r="J172" s="2" t="s">
        <v>29</v>
      </c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9"/>
      <c r="V172" s="9"/>
      <c r="W172" s="9"/>
      <c r="X172" s="9"/>
      <c r="Y172" s="9"/>
    </row>
    <row x14ac:dyDescent="0.25" r="173" customHeight="1" ht="18.75">
      <c r="A173" s="2" t="s">
        <v>181</v>
      </c>
      <c r="B173" s="3">
        <v>28</v>
      </c>
      <c r="C173" s="3">
        <v>4</v>
      </c>
      <c r="D173" s="3">
        <v>140</v>
      </c>
      <c r="E173" s="3">
        <v>90</v>
      </c>
      <c r="F173" s="3">
        <v>2264</v>
      </c>
      <c r="G173" s="11">
        <f>IFERROR(E173/F173, "")</f>
      </c>
      <c r="H173" s="11">
        <v>15.5</v>
      </c>
      <c r="I173" s="3">
        <v>71</v>
      </c>
      <c r="J173" s="2" t="s">
        <v>29</v>
      </c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9"/>
      <c r="V173" s="9"/>
      <c r="W173" s="9"/>
      <c r="X173" s="9"/>
      <c r="Y173" s="9"/>
    </row>
    <row x14ac:dyDescent="0.25" r="174" customHeight="1" ht="18.75">
      <c r="A174" s="2" t="s">
        <v>182</v>
      </c>
      <c r="B174" s="3">
        <v>23</v>
      </c>
      <c r="C174" s="3">
        <v>4</v>
      </c>
      <c r="D174" s="3">
        <v>122</v>
      </c>
      <c r="E174" s="3">
        <v>86</v>
      </c>
      <c r="F174" s="3">
        <v>2220</v>
      </c>
      <c r="G174" s="11">
        <f>IFERROR(E174/F174, "")</f>
      </c>
      <c r="H174" s="3">
        <v>14</v>
      </c>
      <c r="I174" s="3">
        <v>71</v>
      </c>
      <c r="J174" s="2" t="s">
        <v>29</v>
      </c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9"/>
      <c r="V174" s="9"/>
      <c r="W174" s="9"/>
      <c r="X174" s="9"/>
      <c r="Y174" s="9"/>
    </row>
    <row x14ac:dyDescent="0.25" r="175" customHeight="1" ht="18.75">
      <c r="A175" s="2" t="s">
        <v>183</v>
      </c>
      <c r="B175" s="3">
        <v>26</v>
      </c>
      <c r="C175" s="3">
        <v>4</v>
      </c>
      <c r="D175" s="3">
        <v>91</v>
      </c>
      <c r="E175" s="3">
        <v>70</v>
      </c>
      <c r="F175" s="3">
        <v>1955</v>
      </c>
      <c r="G175" s="11">
        <f>IFERROR(E175/F175, "")</f>
      </c>
      <c r="H175" s="11">
        <v>20.5</v>
      </c>
      <c r="I175" s="3">
        <v>71</v>
      </c>
      <c r="J175" s="2" t="s">
        <v>29</v>
      </c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9"/>
      <c r="V175" s="9"/>
      <c r="W175" s="9"/>
      <c r="X175" s="9"/>
      <c r="Y175" s="9"/>
    </row>
    <row x14ac:dyDescent="0.25" r="176" customHeight="1" ht="18.75">
      <c r="A176" s="2" t="s">
        <v>184</v>
      </c>
      <c r="B176" s="3">
        <v>22</v>
      </c>
      <c r="C176" s="3">
        <v>4</v>
      </c>
      <c r="D176" s="3">
        <v>140</v>
      </c>
      <c r="E176" s="3">
        <v>72</v>
      </c>
      <c r="F176" s="3">
        <v>2408</v>
      </c>
      <c r="G176" s="11">
        <f>IFERROR(E176/F176, "")</f>
      </c>
      <c r="H176" s="3">
        <v>19</v>
      </c>
      <c r="I176" s="3">
        <v>71</v>
      </c>
      <c r="J176" s="2" t="s">
        <v>29</v>
      </c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9"/>
      <c r="V176" s="9"/>
      <c r="W176" s="9"/>
      <c r="X176" s="9"/>
      <c r="Y176" s="9"/>
    </row>
    <row x14ac:dyDescent="0.25" r="177" customHeight="1" ht="18.75">
      <c r="A177" s="2" t="s">
        <v>185</v>
      </c>
      <c r="B177" s="3">
        <v>25</v>
      </c>
      <c r="C177" s="3">
        <v>4</v>
      </c>
      <c r="D177" s="3">
        <v>98</v>
      </c>
      <c r="E177" s="9"/>
      <c r="F177" s="3">
        <v>2046</v>
      </c>
      <c r="G177" s="3">
        <f>IFERROR(E177/F177, "")</f>
      </c>
      <c r="H177" s="3">
        <v>19</v>
      </c>
      <c r="I177" s="3">
        <v>71</v>
      </c>
      <c r="J177" s="2" t="s">
        <v>29</v>
      </c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9"/>
      <c r="V177" s="9"/>
      <c r="W177" s="9"/>
      <c r="X177" s="9"/>
      <c r="Y177" s="9"/>
    </row>
    <row x14ac:dyDescent="0.25" r="178" customHeight="1" ht="18.75">
      <c r="A178" s="2" t="s">
        <v>160</v>
      </c>
      <c r="B178" s="3">
        <v>19</v>
      </c>
      <c r="C178" s="3">
        <v>6</v>
      </c>
      <c r="D178" s="3">
        <v>232</v>
      </c>
      <c r="E178" s="3">
        <v>100</v>
      </c>
      <c r="F178" s="3">
        <v>2634</v>
      </c>
      <c r="G178" s="11">
        <f>IFERROR(E178/F178, "")</f>
      </c>
      <c r="H178" s="3">
        <v>13</v>
      </c>
      <c r="I178" s="3">
        <v>71</v>
      </c>
      <c r="J178" s="2" t="s">
        <v>29</v>
      </c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9"/>
      <c r="V178" s="9"/>
      <c r="W178" s="9"/>
      <c r="X178" s="9"/>
      <c r="Y178" s="9"/>
    </row>
    <row x14ac:dyDescent="0.25" r="179" customHeight="1" ht="18.75">
      <c r="A179" s="2" t="s">
        <v>186</v>
      </c>
      <c r="B179" s="3">
        <v>18</v>
      </c>
      <c r="C179" s="3">
        <v>6</v>
      </c>
      <c r="D179" s="3">
        <v>258</v>
      </c>
      <c r="E179" s="3">
        <v>110</v>
      </c>
      <c r="F179" s="3">
        <v>2962</v>
      </c>
      <c r="G179" s="11">
        <f>IFERROR(E179/F179, "")</f>
      </c>
      <c r="H179" s="11">
        <v>13.5</v>
      </c>
      <c r="I179" s="3">
        <v>71</v>
      </c>
      <c r="J179" s="2" t="s">
        <v>29</v>
      </c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9"/>
      <c r="V179" s="9"/>
      <c r="W179" s="9"/>
      <c r="X179" s="9"/>
      <c r="Y179" s="9"/>
    </row>
    <row x14ac:dyDescent="0.25" r="180" customHeight="1" ht="18.75">
      <c r="A180" s="2" t="s">
        <v>187</v>
      </c>
      <c r="B180" s="3">
        <v>16</v>
      </c>
      <c r="C180" s="3">
        <v>6</v>
      </c>
      <c r="D180" s="3">
        <v>225</v>
      </c>
      <c r="E180" s="3">
        <v>105</v>
      </c>
      <c r="F180" s="3">
        <v>3439</v>
      </c>
      <c r="G180" s="11">
        <f>IFERROR(E180/F180, "")</f>
      </c>
      <c r="H180" s="11">
        <v>15.5</v>
      </c>
      <c r="I180" s="3">
        <v>71</v>
      </c>
      <c r="J180" s="2" t="s">
        <v>29</v>
      </c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9"/>
      <c r="V180" s="9"/>
      <c r="W180" s="9"/>
      <c r="X180" s="9"/>
      <c r="Y180" s="9"/>
    </row>
    <row x14ac:dyDescent="0.25" r="181" customHeight="1" ht="18.75">
      <c r="A181" s="2" t="s">
        <v>188</v>
      </c>
      <c r="B181" s="3">
        <v>19</v>
      </c>
      <c r="C181" s="3">
        <v>6</v>
      </c>
      <c r="D181" s="3">
        <v>250</v>
      </c>
      <c r="E181" s="3">
        <v>100</v>
      </c>
      <c r="F181" s="3">
        <v>3282</v>
      </c>
      <c r="G181" s="11">
        <f>IFERROR(E181/F181, "")</f>
      </c>
      <c r="H181" s="3">
        <v>15</v>
      </c>
      <c r="I181" s="3">
        <v>71</v>
      </c>
      <c r="J181" s="2" t="s">
        <v>29</v>
      </c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9"/>
      <c r="V181" s="9"/>
      <c r="W181" s="9"/>
      <c r="X181" s="9"/>
      <c r="Y181" s="9"/>
    </row>
    <row x14ac:dyDescent="0.25" r="182" customHeight="1" ht="18.75">
      <c r="A182" s="2" t="s">
        <v>189</v>
      </c>
      <c r="B182" s="3">
        <v>18</v>
      </c>
      <c r="C182" s="3">
        <v>6</v>
      </c>
      <c r="D182" s="3">
        <v>232</v>
      </c>
      <c r="E182" s="3">
        <v>100</v>
      </c>
      <c r="F182" s="3">
        <v>3288</v>
      </c>
      <c r="G182" s="11">
        <f>IFERROR(E182/F182, "")</f>
      </c>
      <c r="H182" s="11">
        <v>15.5</v>
      </c>
      <c r="I182" s="3">
        <v>71</v>
      </c>
      <c r="J182" s="2" t="s">
        <v>29</v>
      </c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9"/>
      <c r="V182" s="9"/>
      <c r="W182" s="9"/>
      <c r="X182" s="9"/>
      <c r="Y182" s="9"/>
    </row>
    <row x14ac:dyDescent="0.25" r="183" customHeight="1" ht="18.75">
      <c r="A183" s="2" t="s">
        <v>180</v>
      </c>
      <c r="B183" s="3">
        <v>17</v>
      </c>
      <c r="C183" s="3">
        <v>6</v>
      </c>
      <c r="D183" s="3">
        <v>250</v>
      </c>
      <c r="E183" s="3">
        <v>100</v>
      </c>
      <c r="F183" s="3">
        <v>3329</v>
      </c>
      <c r="G183" s="11">
        <f>IFERROR(E183/F183, "")</f>
      </c>
      <c r="H183" s="11">
        <v>15.5</v>
      </c>
      <c r="I183" s="3">
        <v>71</v>
      </c>
      <c r="J183" s="2" t="s">
        <v>29</v>
      </c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9"/>
      <c r="V183" s="9"/>
      <c r="W183" s="9"/>
      <c r="X183" s="9"/>
      <c r="Y183" s="9"/>
    </row>
    <row x14ac:dyDescent="0.25" r="184" customHeight="1" ht="18.75">
      <c r="A184" s="2" t="s">
        <v>190</v>
      </c>
      <c r="B184" s="3">
        <v>18</v>
      </c>
      <c r="C184" s="3">
        <v>6</v>
      </c>
      <c r="D184" s="3">
        <v>250</v>
      </c>
      <c r="E184" s="3">
        <v>88</v>
      </c>
      <c r="F184" s="3">
        <v>3139</v>
      </c>
      <c r="G184" s="11">
        <f>IFERROR(E184/F184, "")</f>
      </c>
      <c r="H184" s="11">
        <v>14.5</v>
      </c>
      <c r="I184" s="3">
        <v>71</v>
      </c>
      <c r="J184" s="2" t="s">
        <v>29</v>
      </c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9"/>
      <c r="V184" s="9"/>
      <c r="W184" s="9"/>
      <c r="X184" s="9"/>
      <c r="Y184" s="9"/>
    </row>
    <row x14ac:dyDescent="0.25" r="185" customHeight="1" ht="18.75">
      <c r="A185" s="2" t="s">
        <v>191</v>
      </c>
      <c r="B185" s="3">
        <v>19</v>
      </c>
      <c r="C185" s="3">
        <v>6</v>
      </c>
      <c r="D185" s="3">
        <v>250</v>
      </c>
      <c r="E185" s="3">
        <v>88</v>
      </c>
      <c r="F185" s="3">
        <v>3302</v>
      </c>
      <c r="G185" s="11">
        <f>IFERROR(E185/F185, "")</f>
      </c>
      <c r="H185" s="11">
        <v>15.5</v>
      </c>
      <c r="I185" s="3">
        <v>71</v>
      </c>
      <c r="J185" s="2" t="s">
        <v>29</v>
      </c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9"/>
      <c r="V185" s="9"/>
      <c r="W185" s="9"/>
      <c r="X185" s="9"/>
      <c r="Y185" s="9"/>
    </row>
    <row x14ac:dyDescent="0.25" r="186" customHeight="1" ht="18.75">
      <c r="A186" s="2" t="s">
        <v>165</v>
      </c>
      <c r="B186" s="3">
        <v>14</v>
      </c>
      <c r="C186" s="3">
        <v>8</v>
      </c>
      <c r="D186" s="3">
        <v>350</v>
      </c>
      <c r="E186" s="3">
        <v>165</v>
      </c>
      <c r="F186" s="3">
        <v>4209</v>
      </c>
      <c r="G186" s="11">
        <f>IFERROR(E186/F186, "")</f>
      </c>
      <c r="H186" s="3">
        <v>12</v>
      </c>
      <c r="I186" s="3">
        <v>71</v>
      </c>
      <c r="J186" s="2" t="s">
        <v>29</v>
      </c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9"/>
      <c r="V186" s="9"/>
      <c r="W186" s="9"/>
      <c r="X186" s="9"/>
      <c r="Y186" s="9"/>
    </row>
    <row x14ac:dyDescent="0.25" r="187" customHeight="1" ht="18.75">
      <c r="A187" s="2" t="s">
        <v>192</v>
      </c>
      <c r="B187" s="3">
        <v>14</v>
      </c>
      <c r="C187" s="3">
        <v>8</v>
      </c>
      <c r="D187" s="3">
        <v>400</v>
      </c>
      <c r="E187" s="3">
        <v>175</v>
      </c>
      <c r="F187" s="3">
        <v>4464</v>
      </c>
      <c r="G187" s="11">
        <f>IFERROR(E187/F187, "")</f>
      </c>
      <c r="H187" s="11">
        <v>11.5</v>
      </c>
      <c r="I187" s="3">
        <v>71</v>
      </c>
      <c r="J187" s="2" t="s">
        <v>29</v>
      </c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9"/>
      <c r="V187" s="9"/>
      <c r="W187" s="9"/>
      <c r="X187" s="9"/>
      <c r="Y187" s="9"/>
    </row>
    <row x14ac:dyDescent="0.25" r="188" customHeight="1" ht="18.75">
      <c r="A188" s="2" t="s">
        <v>172</v>
      </c>
      <c r="B188" s="3">
        <v>14</v>
      </c>
      <c r="C188" s="3">
        <v>8</v>
      </c>
      <c r="D188" s="3">
        <v>351</v>
      </c>
      <c r="E188" s="3">
        <v>153</v>
      </c>
      <c r="F188" s="3">
        <v>4154</v>
      </c>
      <c r="G188" s="11">
        <f>IFERROR(E188/F188, "")</f>
      </c>
      <c r="H188" s="11">
        <v>13.5</v>
      </c>
      <c r="I188" s="3">
        <v>71</v>
      </c>
      <c r="J188" s="2" t="s">
        <v>29</v>
      </c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9"/>
      <c r="V188" s="9"/>
      <c r="W188" s="9"/>
      <c r="X188" s="9"/>
      <c r="Y188" s="9"/>
    </row>
    <row x14ac:dyDescent="0.25" r="189" customHeight="1" ht="18.75">
      <c r="A189" s="2" t="s">
        <v>166</v>
      </c>
      <c r="B189" s="3">
        <v>14</v>
      </c>
      <c r="C189" s="3">
        <v>8</v>
      </c>
      <c r="D189" s="3">
        <v>318</v>
      </c>
      <c r="E189" s="3">
        <v>150</v>
      </c>
      <c r="F189" s="3">
        <v>4096</v>
      </c>
      <c r="G189" s="11">
        <f>IFERROR(E189/F189, "")</f>
      </c>
      <c r="H189" s="3">
        <v>13</v>
      </c>
      <c r="I189" s="3">
        <v>71</v>
      </c>
      <c r="J189" s="2" t="s">
        <v>29</v>
      </c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9"/>
      <c r="V189" s="9"/>
      <c r="W189" s="9"/>
      <c r="X189" s="9"/>
      <c r="Y189" s="9"/>
    </row>
    <row x14ac:dyDescent="0.25" r="190" customHeight="1" ht="18.75">
      <c r="A190" s="2" t="s">
        <v>193</v>
      </c>
      <c r="B190" s="3">
        <v>12</v>
      </c>
      <c r="C190" s="3">
        <v>8</v>
      </c>
      <c r="D190" s="3">
        <v>383</v>
      </c>
      <c r="E190" s="3">
        <v>180</v>
      </c>
      <c r="F190" s="3">
        <v>4955</v>
      </c>
      <c r="G190" s="11">
        <f>IFERROR(E190/F190, "")</f>
      </c>
      <c r="H190" s="11">
        <v>11.5</v>
      </c>
      <c r="I190" s="3">
        <v>71</v>
      </c>
      <c r="J190" s="2" t="s">
        <v>29</v>
      </c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9"/>
      <c r="V190" s="9"/>
      <c r="W190" s="9"/>
      <c r="X190" s="9"/>
      <c r="Y190" s="9"/>
    </row>
    <row x14ac:dyDescent="0.25" r="191" customHeight="1" ht="18.75">
      <c r="A191" s="2" t="s">
        <v>194</v>
      </c>
      <c r="B191" s="3">
        <v>13</v>
      </c>
      <c r="C191" s="3">
        <v>8</v>
      </c>
      <c r="D191" s="3">
        <v>400</v>
      </c>
      <c r="E191" s="3">
        <v>170</v>
      </c>
      <c r="F191" s="3">
        <v>4746</v>
      </c>
      <c r="G191" s="11">
        <f>IFERROR(E191/F191, "")</f>
      </c>
      <c r="H191" s="3">
        <v>12</v>
      </c>
      <c r="I191" s="3">
        <v>71</v>
      </c>
      <c r="J191" s="2" t="s">
        <v>29</v>
      </c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9"/>
      <c r="V191" s="9"/>
      <c r="W191" s="9"/>
      <c r="X191" s="9"/>
      <c r="Y191" s="9"/>
    </row>
    <row x14ac:dyDescent="0.25" r="192" customHeight="1" ht="18.75">
      <c r="A192" s="2" t="s">
        <v>195</v>
      </c>
      <c r="B192" s="3">
        <v>13</v>
      </c>
      <c r="C192" s="3">
        <v>8</v>
      </c>
      <c r="D192" s="3">
        <v>400</v>
      </c>
      <c r="E192" s="3">
        <v>175</v>
      </c>
      <c r="F192" s="3">
        <v>5140</v>
      </c>
      <c r="G192" s="11">
        <f>IFERROR(E192/F192, "")</f>
      </c>
      <c r="H192" s="3">
        <v>12</v>
      </c>
      <c r="I192" s="3">
        <v>71</v>
      </c>
      <c r="J192" s="2" t="s">
        <v>29</v>
      </c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9"/>
      <c r="V192" s="9"/>
      <c r="W192" s="9"/>
      <c r="X192" s="9"/>
      <c r="Y192" s="9"/>
    </row>
    <row x14ac:dyDescent="0.25" r="193" customHeight="1" ht="18.75">
      <c r="A193" s="2" t="s">
        <v>196</v>
      </c>
      <c r="B193" s="3">
        <v>21</v>
      </c>
      <c r="C193" s="3">
        <v>4</v>
      </c>
      <c r="D193" s="3">
        <v>122</v>
      </c>
      <c r="E193" s="3">
        <v>86</v>
      </c>
      <c r="F193" s="3">
        <v>2226</v>
      </c>
      <c r="G193" s="11">
        <f>IFERROR(E193/F193, "")</f>
      </c>
      <c r="H193" s="11">
        <v>16.5</v>
      </c>
      <c r="I193" s="3">
        <v>72</v>
      </c>
      <c r="J193" s="2" t="s">
        <v>29</v>
      </c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9"/>
      <c r="V193" s="9"/>
      <c r="W193" s="9"/>
      <c r="X193" s="9"/>
      <c r="Y193" s="9"/>
    </row>
    <row x14ac:dyDescent="0.25" r="194" customHeight="1" ht="18.75">
      <c r="A194" s="2" t="s">
        <v>197</v>
      </c>
      <c r="B194" s="3">
        <v>25</v>
      </c>
      <c r="C194" s="3">
        <v>4</v>
      </c>
      <c r="D194" s="11">
        <v>97.5</v>
      </c>
      <c r="E194" s="3">
        <v>80</v>
      </c>
      <c r="F194" s="3">
        <v>2126</v>
      </c>
      <c r="G194" s="11">
        <f>IFERROR(E194/F194, "")</f>
      </c>
      <c r="H194" s="3">
        <v>17</v>
      </c>
      <c r="I194" s="3">
        <v>72</v>
      </c>
      <c r="J194" s="2" t="s">
        <v>29</v>
      </c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9"/>
      <c r="V194" s="9"/>
      <c r="W194" s="9"/>
      <c r="X194" s="9"/>
      <c r="Y194" s="9"/>
    </row>
    <row x14ac:dyDescent="0.25" r="195" customHeight="1" ht="18.75">
      <c r="A195" s="2" t="s">
        <v>198</v>
      </c>
      <c r="B195" s="3">
        <v>20</v>
      </c>
      <c r="C195" s="3">
        <v>4</v>
      </c>
      <c r="D195" s="3">
        <v>140</v>
      </c>
      <c r="E195" s="3">
        <v>90</v>
      </c>
      <c r="F195" s="3">
        <v>2408</v>
      </c>
      <c r="G195" s="11">
        <f>IFERROR(E195/F195, "")</f>
      </c>
      <c r="H195" s="11">
        <v>19.5</v>
      </c>
      <c r="I195" s="3">
        <v>72</v>
      </c>
      <c r="J195" s="2" t="s">
        <v>29</v>
      </c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9"/>
      <c r="V195" s="9"/>
      <c r="W195" s="9"/>
      <c r="X195" s="9"/>
      <c r="Y195" s="9"/>
    </row>
    <row x14ac:dyDescent="0.25" r="196" customHeight="1" ht="18.75">
      <c r="A196" s="2" t="s">
        <v>199</v>
      </c>
      <c r="B196" s="3">
        <v>28</v>
      </c>
      <c r="C196" s="3">
        <v>4</v>
      </c>
      <c r="D196" s="3">
        <v>98</v>
      </c>
      <c r="E196" s="3">
        <v>80</v>
      </c>
      <c r="F196" s="3">
        <v>2164</v>
      </c>
      <c r="G196" s="11">
        <f>IFERROR(E196/F196, "")</f>
      </c>
      <c r="H196" s="3">
        <v>15</v>
      </c>
      <c r="I196" s="3">
        <v>72</v>
      </c>
      <c r="J196" s="2" t="s">
        <v>29</v>
      </c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9"/>
      <c r="V196" s="9"/>
      <c r="W196" s="9"/>
      <c r="X196" s="9"/>
      <c r="Y196" s="9"/>
    </row>
    <row x14ac:dyDescent="0.25" r="197" customHeight="1" ht="18.75">
      <c r="A197" s="2" t="s">
        <v>200</v>
      </c>
      <c r="B197" s="3">
        <v>22</v>
      </c>
      <c r="C197" s="3">
        <v>4</v>
      </c>
      <c r="D197" s="3">
        <v>122</v>
      </c>
      <c r="E197" s="3">
        <v>86</v>
      </c>
      <c r="F197" s="3">
        <v>2395</v>
      </c>
      <c r="G197" s="11">
        <f>IFERROR(E197/F197, "")</f>
      </c>
      <c r="H197" s="3">
        <v>16</v>
      </c>
      <c r="I197" s="3">
        <v>72</v>
      </c>
      <c r="J197" s="2" t="s">
        <v>29</v>
      </c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9"/>
      <c r="V197" s="9"/>
      <c r="W197" s="9"/>
      <c r="X197" s="9"/>
      <c r="Y197" s="9"/>
    </row>
    <row x14ac:dyDescent="0.25" r="198" customHeight="1" ht="18.75">
      <c r="A198" s="2" t="s">
        <v>201</v>
      </c>
      <c r="B198" s="3">
        <v>11</v>
      </c>
      <c r="C198" s="3">
        <v>8</v>
      </c>
      <c r="D198" s="3">
        <v>429</v>
      </c>
      <c r="E198" s="3">
        <v>208</v>
      </c>
      <c r="F198" s="3">
        <v>4633</v>
      </c>
      <c r="G198" s="11">
        <f>IFERROR(E198/F198, "")</f>
      </c>
      <c r="H198" s="3">
        <v>11</v>
      </c>
      <c r="I198" s="3">
        <v>72</v>
      </c>
      <c r="J198" s="2" t="s">
        <v>29</v>
      </c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9"/>
      <c r="V198" s="9"/>
      <c r="W198" s="9"/>
      <c r="X198" s="9"/>
      <c r="Y198" s="9"/>
    </row>
    <row x14ac:dyDescent="0.25" r="199" customHeight="1" ht="18.75">
      <c r="A199" s="2" t="s">
        <v>202</v>
      </c>
      <c r="B199" s="3">
        <v>13</v>
      </c>
      <c r="C199" s="3">
        <v>8</v>
      </c>
      <c r="D199" s="3">
        <v>400</v>
      </c>
      <c r="E199" s="3">
        <v>190</v>
      </c>
      <c r="F199" s="3">
        <v>4422</v>
      </c>
      <c r="G199" s="11">
        <f>IFERROR(E199/F199, "")</f>
      </c>
      <c r="H199" s="11">
        <v>12.5</v>
      </c>
      <c r="I199" s="3">
        <v>72</v>
      </c>
      <c r="J199" s="2" t="s">
        <v>29</v>
      </c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9"/>
      <c r="V199" s="9"/>
      <c r="W199" s="9"/>
      <c r="X199" s="9"/>
      <c r="Y199" s="9"/>
    </row>
    <row x14ac:dyDescent="0.25" r="200" customHeight="1" ht="18.75">
      <c r="A200" s="2" t="s">
        <v>203</v>
      </c>
      <c r="B200" s="3">
        <v>17</v>
      </c>
      <c r="C200" s="3">
        <v>8</v>
      </c>
      <c r="D200" s="3">
        <v>304</v>
      </c>
      <c r="E200" s="3">
        <v>150</v>
      </c>
      <c r="F200" s="3">
        <v>3672</v>
      </c>
      <c r="G200" s="11">
        <f>IFERROR(E200/F200, "")</f>
      </c>
      <c r="H200" s="11">
        <v>11.5</v>
      </c>
      <c r="I200" s="3">
        <v>72</v>
      </c>
      <c r="J200" s="2" t="s">
        <v>29</v>
      </c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9"/>
      <c r="V200" s="9"/>
      <c r="W200" s="9"/>
      <c r="X200" s="9"/>
      <c r="Y200" s="9"/>
    </row>
    <row x14ac:dyDescent="0.25" r="201" customHeight="1" ht="18.75">
      <c r="A201" s="2" t="s">
        <v>164</v>
      </c>
      <c r="B201" s="3">
        <v>14</v>
      </c>
      <c r="C201" s="3">
        <v>8</v>
      </c>
      <c r="D201" s="3">
        <v>400</v>
      </c>
      <c r="E201" s="3">
        <v>175</v>
      </c>
      <c r="F201" s="3">
        <v>4385</v>
      </c>
      <c r="G201" s="11">
        <f>IFERROR(E201/F201, "")</f>
      </c>
      <c r="H201" s="3">
        <v>12</v>
      </c>
      <c r="I201" s="3">
        <v>72</v>
      </c>
      <c r="J201" s="2" t="s">
        <v>29</v>
      </c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9"/>
      <c r="V201" s="9"/>
      <c r="W201" s="9"/>
      <c r="X201" s="9"/>
      <c r="Y201" s="9"/>
    </row>
    <row x14ac:dyDescent="0.25" r="202" customHeight="1" ht="18.75">
      <c r="A202" s="2" t="s">
        <v>165</v>
      </c>
      <c r="B202" s="3">
        <v>13</v>
      </c>
      <c r="C202" s="3">
        <v>8</v>
      </c>
      <c r="D202" s="3">
        <v>350</v>
      </c>
      <c r="E202" s="3">
        <v>165</v>
      </c>
      <c r="F202" s="3">
        <v>4274</v>
      </c>
      <c r="G202" s="11">
        <f>IFERROR(E202/F202, "")</f>
      </c>
      <c r="H202" s="3">
        <v>12</v>
      </c>
      <c r="I202" s="3">
        <v>72</v>
      </c>
      <c r="J202" s="2" t="s">
        <v>29</v>
      </c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9"/>
      <c r="V202" s="9"/>
      <c r="W202" s="9"/>
      <c r="X202" s="9"/>
      <c r="Y202" s="9"/>
    </row>
    <row x14ac:dyDescent="0.25" r="203" customHeight="1" ht="18.75">
      <c r="A203" s="2" t="s">
        <v>204</v>
      </c>
      <c r="B203" s="3">
        <v>15</v>
      </c>
      <c r="C203" s="3">
        <v>8</v>
      </c>
      <c r="D203" s="3">
        <v>304</v>
      </c>
      <c r="E203" s="3">
        <v>150</v>
      </c>
      <c r="F203" s="3">
        <v>3892</v>
      </c>
      <c r="G203" s="11">
        <f>IFERROR(E203/F203, "")</f>
      </c>
      <c r="H203" s="11">
        <v>12.5</v>
      </c>
      <c r="I203" s="3">
        <v>72</v>
      </c>
      <c r="J203" s="2" t="s">
        <v>29</v>
      </c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9"/>
      <c r="V203" s="9"/>
      <c r="W203" s="9"/>
      <c r="X203" s="9"/>
      <c r="Y203" s="9"/>
    </row>
    <row x14ac:dyDescent="0.25" r="204" customHeight="1" ht="18.75">
      <c r="A204" s="2" t="s">
        <v>172</v>
      </c>
      <c r="B204" s="3">
        <v>14</v>
      </c>
      <c r="C204" s="3">
        <v>8</v>
      </c>
      <c r="D204" s="3">
        <v>351</v>
      </c>
      <c r="E204" s="3">
        <v>153</v>
      </c>
      <c r="F204" s="3">
        <v>4129</v>
      </c>
      <c r="G204" s="11">
        <f>IFERROR(E204/F204, "")</f>
      </c>
      <c r="H204" s="3">
        <v>13</v>
      </c>
      <c r="I204" s="3">
        <v>72</v>
      </c>
      <c r="J204" s="2" t="s">
        <v>29</v>
      </c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9"/>
      <c r="V204" s="9"/>
      <c r="W204" s="9"/>
      <c r="X204" s="9"/>
      <c r="Y204" s="9"/>
    </row>
    <row x14ac:dyDescent="0.25" r="205" customHeight="1" ht="18.75">
      <c r="A205" s="2" t="s">
        <v>205</v>
      </c>
      <c r="B205" s="3">
        <v>14</v>
      </c>
      <c r="C205" s="3">
        <v>8</v>
      </c>
      <c r="D205" s="3">
        <v>318</v>
      </c>
      <c r="E205" s="3">
        <v>150</v>
      </c>
      <c r="F205" s="3">
        <v>4077</v>
      </c>
      <c r="G205" s="11">
        <f>IFERROR(E205/F205, "")</f>
      </c>
      <c r="H205" s="3">
        <v>14</v>
      </c>
      <c r="I205" s="3">
        <v>72</v>
      </c>
      <c r="J205" s="2" t="s">
        <v>29</v>
      </c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9"/>
      <c r="V205" s="9"/>
      <c r="W205" s="9"/>
      <c r="X205" s="9"/>
      <c r="Y205" s="9"/>
    </row>
    <row x14ac:dyDescent="0.25" r="206" customHeight="1" ht="18.75">
      <c r="A206" s="2" t="s">
        <v>166</v>
      </c>
      <c r="B206" s="3">
        <v>15</v>
      </c>
      <c r="C206" s="3">
        <v>8</v>
      </c>
      <c r="D206" s="3">
        <v>318</v>
      </c>
      <c r="E206" s="3">
        <v>150</v>
      </c>
      <c r="F206" s="3">
        <v>4135</v>
      </c>
      <c r="G206" s="11">
        <f>IFERROR(E206/F206, "")</f>
      </c>
      <c r="H206" s="11">
        <v>13.5</v>
      </c>
      <c r="I206" s="3">
        <v>72</v>
      </c>
      <c r="J206" s="2" t="s">
        <v>29</v>
      </c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9"/>
      <c r="V206" s="9"/>
      <c r="W206" s="9"/>
      <c r="X206" s="9"/>
      <c r="Y206" s="9"/>
    </row>
    <row x14ac:dyDescent="0.25" r="207" customHeight="1" ht="18.75">
      <c r="A207" s="2" t="s">
        <v>206</v>
      </c>
      <c r="B207" s="3">
        <v>12</v>
      </c>
      <c r="C207" s="3">
        <v>8</v>
      </c>
      <c r="D207" s="3">
        <v>350</v>
      </c>
      <c r="E207" s="3">
        <v>160</v>
      </c>
      <c r="F207" s="3">
        <v>4456</v>
      </c>
      <c r="G207" s="11">
        <f>IFERROR(E207/F207, "")</f>
      </c>
      <c r="H207" s="11">
        <v>13.5</v>
      </c>
      <c r="I207" s="3">
        <v>72</v>
      </c>
      <c r="J207" s="2" t="s">
        <v>29</v>
      </c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9"/>
      <c r="V207" s="9"/>
      <c r="W207" s="9"/>
      <c r="X207" s="9"/>
      <c r="Y207" s="9"/>
    </row>
    <row x14ac:dyDescent="0.25" r="208" customHeight="1" ht="18.75">
      <c r="A208" s="2" t="s">
        <v>207</v>
      </c>
      <c r="B208" s="3">
        <v>13</v>
      </c>
      <c r="C208" s="3">
        <v>8</v>
      </c>
      <c r="D208" s="3">
        <v>350</v>
      </c>
      <c r="E208" s="3">
        <v>155</v>
      </c>
      <c r="F208" s="3">
        <v>4502</v>
      </c>
      <c r="G208" s="11">
        <f>IFERROR(E208/F208, "")</f>
      </c>
      <c r="H208" s="11">
        <v>13.5</v>
      </c>
      <c r="I208" s="3">
        <v>72</v>
      </c>
      <c r="J208" s="2" t="s">
        <v>29</v>
      </c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9"/>
      <c r="V208" s="9"/>
      <c r="W208" s="9"/>
      <c r="X208" s="9"/>
      <c r="Y208" s="9"/>
    </row>
    <row x14ac:dyDescent="0.25" r="209" customHeight="1" ht="18.75">
      <c r="A209" s="2" t="s">
        <v>208</v>
      </c>
      <c r="B209" s="3">
        <v>13</v>
      </c>
      <c r="C209" s="3">
        <v>8</v>
      </c>
      <c r="D209" s="3">
        <v>302</v>
      </c>
      <c r="E209" s="3">
        <v>140</v>
      </c>
      <c r="F209" s="3">
        <v>4294</v>
      </c>
      <c r="G209" s="11">
        <f>IFERROR(E209/F209, "")</f>
      </c>
      <c r="H209" s="3">
        <v>16</v>
      </c>
      <c r="I209" s="3">
        <v>72</v>
      </c>
      <c r="J209" s="2" t="s">
        <v>29</v>
      </c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9"/>
      <c r="V209" s="9"/>
      <c r="W209" s="9"/>
      <c r="X209" s="9"/>
      <c r="Y209" s="9"/>
    </row>
    <row x14ac:dyDescent="0.25" r="210" customHeight="1" ht="18.75">
      <c r="A210" s="2" t="s">
        <v>209</v>
      </c>
      <c r="B210" s="3">
        <v>13</v>
      </c>
      <c r="C210" s="3">
        <v>8</v>
      </c>
      <c r="D210" s="3">
        <v>307</v>
      </c>
      <c r="E210" s="3">
        <v>130</v>
      </c>
      <c r="F210" s="3">
        <v>4098</v>
      </c>
      <c r="G210" s="11">
        <f>IFERROR(E210/F210, "")</f>
      </c>
      <c r="H210" s="3">
        <v>14</v>
      </c>
      <c r="I210" s="3">
        <v>72</v>
      </c>
      <c r="J210" s="2" t="s">
        <v>29</v>
      </c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9"/>
      <c r="V210" s="9"/>
      <c r="W210" s="9"/>
      <c r="X210" s="9"/>
      <c r="Y210" s="9"/>
    </row>
    <row x14ac:dyDescent="0.25" r="211" customHeight="1" ht="18.75">
      <c r="A211" s="2" t="s">
        <v>185</v>
      </c>
      <c r="B211" s="3">
        <v>19</v>
      </c>
      <c r="C211" s="3">
        <v>4</v>
      </c>
      <c r="D211" s="3">
        <v>122</v>
      </c>
      <c r="E211" s="3">
        <v>85</v>
      </c>
      <c r="F211" s="3">
        <v>2310</v>
      </c>
      <c r="G211" s="11">
        <f>IFERROR(E211/F211, "")</f>
      </c>
      <c r="H211" s="11">
        <v>18.5</v>
      </c>
      <c r="I211" s="3">
        <v>73</v>
      </c>
      <c r="J211" s="2" t="s">
        <v>29</v>
      </c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9"/>
      <c r="V211" s="9"/>
      <c r="W211" s="9"/>
      <c r="X211" s="9"/>
      <c r="Y211" s="9"/>
    </row>
    <row x14ac:dyDescent="0.25" r="212" customHeight="1" ht="18.75">
      <c r="A212" s="2" t="s">
        <v>198</v>
      </c>
      <c r="B212" s="3">
        <v>21</v>
      </c>
      <c r="C212" s="3">
        <v>4</v>
      </c>
      <c r="D212" s="3">
        <v>140</v>
      </c>
      <c r="E212" s="3">
        <v>72</v>
      </c>
      <c r="F212" s="3">
        <v>2401</v>
      </c>
      <c r="G212" s="11">
        <f>IFERROR(E212/F212, "")</f>
      </c>
      <c r="H212" s="11">
        <v>19.5</v>
      </c>
      <c r="I212" s="3">
        <v>73</v>
      </c>
      <c r="J212" s="2" t="s">
        <v>29</v>
      </c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9"/>
      <c r="V212" s="9"/>
      <c r="W212" s="9"/>
      <c r="X212" s="9"/>
      <c r="Y212" s="9"/>
    </row>
    <row x14ac:dyDescent="0.25" r="213" customHeight="1" ht="18.75">
      <c r="A213" s="2" t="s">
        <v>210</v>
      </c>
      <c r="B213" s="3">
        <v>21</v>
      </c>
      <c r="C213" s="3">
        <v>6</v>
      </c>
      <c r="D213" s="3">
        <v>155</v>
      </c>
      <c r="E213" s="3">
        <v>107</v>
      </c>
      <c r="F213" s="3">
        <v>2472</v>
      </c>
      <c r="G213" s="11">
        <f>IFERROR(E213/F213, "")</f>
      </c>
      <c r="H213" s="3">
        <v>14</v>
      </c>
      <c r="I213" s="3">
        <v>73</v>
      </c>
      <c r="J213" s="2" t="s">
        <v>29</v>
      </c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9"/>
      <c r="V213" s="9"/>
      <c r="W213" s="9"/>
      <c r="X213" s="9"/>
      <c r="Y213" s="9"/>
    </row>
    <row x14ac:dyDescent="0.25" r="214" customHeight="1" ht="18.75">
      <c r="A214" s="2" t="s">
        <v>160</v>
      </c>
      <c r="B214" s="3">
        <v>18</v>
      </c>
      <c r="C214" s="3">
        <v>6</v>
      </c>
      <c r="D214" s="3">
        <v>232</v>
      </c>
      <c r="E214" s="3">
        <v>100</v>
      </c>
      <c r="F214" s="3">
        <v>2789</v>
      </c>
      <c r="G214" s="11">
        <f>IFERROR(E214/F214, "")</f>
      </c>
      <c r="H214" s="3">
        <v>15</v>
      </c>
      <c r="I214" s="3">
        <v>73</v>
      </c>
      <c r="J214" s="2" t="s">
        <v>29</v>
      </c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9"/>
      <c r="V214" s="9"/>
      <c r="W214" s="9"/>
      <c r="X214" s="9"/>
      <c r="Y214" s="9"/>
    </row>
    <row x14ac:dyDescent="0.25" r="215" customHeight="1" ht="18.75">
      <c r="A215" s="2" t="s">
        <v>159</v>
      </c>
      <c r="B215" s="3">
        <v>18</v>
      </c>
      <c r="C215" s="3">
        <v>6</v>
      </c>
      <c r="D215" s="3">
        <v>232</v>
      </c>
      <c r="E215" s="3">
        <v>100</v>
      </c>
      <c r="F215" s="3">
        <v>2945</v>
      </c>
      <c r="G215" s="11">
        <f>IFERROR(E215/F215, "")</f>
      </c>
      <c r="H215" s="3">
        <v>16</v>
      </c>
      <c r="I215" s="3">
        <v>73</v>
      </c>
      <c r="J215" s="2" t="s">
        <v>29</v>
      </c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9"/>
      <c r="V215" s="9"/>
      <c r="W215" s="9"/>
      <c r="X215" s="9"/>
      <c r="Y215" s="9"/>
    </row>
    <row x14ac:dyDescent="0.25" r="216" customHeight="1" ht="18.75">
      <c r="A216" s="2" t="s">
        <v>211</v>
      </c>
      <c r="B216" s="3">
        <v>18</v>
      </c>
      <c r="C216" s="3">
        <v>6</v>
      </c>
      <c r="D216" s="3">
        <v>225</v>
      </c>
      <c r="E216" s="3">
        <v>105</v>
      </c>
      <c r="F216" s="3">
        <v>3121</v>
      </c>
      <c r="G216" s="11">
        <f>IFERROR(E216/F216, "")</f>
      </c>
      <c r="H216" s="11">
        <v>16.5</v>
      </c>
      <c r="I216" s="3">
        <v>73</v>
      </c>
      <c r="J216" s="2" t="s">
        <v>29</v>
      </c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9"/>
      <c r="V216" s="9"/>
      <c r="W216" s="9"/>
      <c r="X216" s="9"/>
      <c r="Y216" s="9"/>
    </row>
    <row x14ac:dyDescent="0.25" r="217" customHeight="1" ht="18.75">
      <c r="A217" s="2" t="s">
        <v>161</v>
      </c>
      <c r="B217" s="3">
        <v>23</v>
      </c>
      <c r="C217" s="3">
        <v>6</v>
      </c>
      <c r="D217" s="3">
        <v>198</v>
      </c>
      <c r="E217" s="3">
        <v>95</v>
      </c>
      <c r="F217" s="3">
        <v>2904</v>
      </c>
      <c r="G217" s="11">
        <f>IFERROR(E217/F217, "")</f>
      </c>
      <c r="H217" s="3">
        <v>16</v>
      </c>
      <c r="I217" s="3">
        <v>73</v>
      </c>
      <c r="J217" s="2" t="s">
        <v>29</v>
      </c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9"/>
      <c r="V217" s="9"/>
      <c r="W217" s="9"/>
      <c r="X217" s="9"/>
      <c r="Y217" s="9"/>
    </row>
    <row x14ac:dyDescent="0.25" r="218" customHeight="1" ht="18.75">
      <c r="A218" s="2" t="s">
        <v>212</v>
      </c>
      <c r="B218" s="3">
        <v>16</v>
      </c>
      <c r="C218" s="3">
        <v>6</v>
      </c>
      <c r="D218" s="3">
        <v>250</v>
      </c>
      <c r="E218" s="3">
        <v>100</v>
      </c>
      <c r="F218" s="3">
        <v>3278</v>
      </c>
      <c r="G218" s="11">
        <f>IFERROR(E218/F218, "")</f>
      </c>
      <c r="H218" s="3">
        <v>18</v>
      </c>
      <c r="I218" s="3">
        <v>73</v>
      </c>
      <c r="J218" s="2" t="s">
        <v>29</v>
      </c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9"/>
      <c r="V218" s="9"/>
      <c r="W218" s="9"/>
      <c r="X218" s="9"/>
      <c r="Y218" s="9"/>
    </row>
    <row x14ac:dyDescent="0.25" r="219" customHeight="1" ht="18.75">
      <c r="A219" s="2" t="s">
        <v>162</v>
      </c>
      <c r="B219" s="3">
        <v>18</v>
      </c>
      <c r="C219" s="3">
        <v>6</v>
      </c>
      <c r="D219" s="3">
        <v>250</v>
      </c>
      <c r="E219" s="3">
        <v>88</v>
      </c>
      <c r="F219" s="3">
        <v>3021</v>
      </c>
      <c r="G219" s="11">
        <f>IFERROR(E219/F219, "")</f>
      </c>
      <c r="H219" s="11">
        <v>16.5</v>
      </c>
      <c r="I219" s="3">
        <v>73</v>
      </c>
      <c r="J219" s="2" t="s">
        <v>29</v>
      </c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9"/>
      <c r="V219" s="9"/>
      <c r="W219" s="9"/>
      <c r="X219" s="9"/>
      <c r="Y219" s="9"/>
    </row>
    <row x14ac:dyDescent="0.25" r="220" customHeight="1" ht="18.75">
      <c r="A220" s="2" t="s">
        <v>213</v>
      </c>
      <c r="B220" s="3">
        <v>16</v>
      </c>
      <c r="C220" s="3">
        <v>8</v>
      </c>
      <c r="D220" s="3">
        <v>400</v>
      </c>
      <c r="E220" s="3">
        <v>230</v>
      </c>
      <c r="F220" s="3">
        <v>4278</v>
      </c>
      <c r="G220" s="11">
        <f>IFERROR(E220/F220, "")</f>
      </c>
      <c r="H220" s="11">
        <v>9.5</v>
      </c>
      <c r="I220" s="3">
        <v>73</v>
      </c>
      <c r="J220" s="2" t="s">
        <v>29</v>
      </c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9"/>
      <c r="V220" s="9"/>
      <c r="W220" s="9"/>
      <c r="X220" s="9"/>
      <c r="Y220" s="9"/>
    </row>
    <row x14ac:dyDescent="0.25" r="221" customHeight="1" ht="18.75">
      <c r="A221" s="2" t="s">
        <v>214</v>
      </c>
      <c r="B221" s="3">
        <v>11</v>
      </c>
      <c r="C221" s="3">
        <v>8</v>
      </c>
      <c r="D221" s="3">
        <v>350</v>
      </c>
      <c r="E221" s="3">
        <v>180</v>
      </c>
      <c r="F221" s="3">
        <v>3664</v>
      </c>
      <c r="G221" s="11">
        <f>IFERROR(E221/F221, "")</f>
      </c>
      <c r="H221" s="3">
        <v>11</v>
      </c>
      <c r="I221" s="3">
        <v>73</v>
      </c>
      <c r="J221" s="2" t="s">
        <v>29</v>
      </c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9"/>
      <c r="V221" s="9"/>
      <c r="W221" s="9"/>
      <c r="X221" s="9"/>
      <c r="Y221" s="9"/>
    </row>
    <row x14ac:dyDescent="0.25" r="222" customHeight="1" ht="18.75">
      <c r="A222" s="2" t="s">
        <v>215</v>
      </c>
      <c r="B222" s="3">
        <v>13</v>
      </c>
      <c r="C222" s="3">
        <v>8</v>
      </c>
      <c r="D222" s="3">
        <v>360</v>
      </c>
      <c r="E222" s="3">
        <v>175</v>
      </c>
      <c r="F222" s="3">
        <v>3821</v>
      </c>
      <c r="G222" s="11">
        <f>IFERROR(E222/F222, "")</f>
      </c>
      <c r="H222" s="3">
        <v>11</v>
      </c>
      <c r="I222" s="3">
        <v>73</v>
      </c>
      <c r="J222" s="2" t="s">
        <v>29</v>
      </c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9"/>
      <c r="V222" s="9"/>
      <c r="W222" s="9"/>
      <c r="X222" s="9"/>
      <c r="Y222" s="9"/>
    </row>
    <row x14ac:dyDescent="0.25" r="223" customHeight="1" ht="18.75">
      <c r="A223" s="2" t="s">
        <v>216</v>
      </c>
      <c r="B223" s="3">
        <v>12</v>
      </c>
      <c r="C223" s="3">
        <v>8</v>
      </c>
      <c r="D223" s="3">
        <v>455</v>
      </c>
      <c r="E223" s="3">
        <v>225</v>
      </c>
      <c r="F223" s="3">
        <v>4951</v>
      </c>
      <c r="G223" s="11">
        <f>IFERROR(E223/F223, "")</f>
      </c>
      <c r="H223" s="3">
        <v>11</v>
      </c>
      <c r="I223" s="3">
        <v>73</v>
      </c>
      <c r="J223" s="2" t="s">
        <v>29</v>
      </c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9"/>
      <c r="V223" s="9"/>
      <c r="W223" s="9"/>
      <c r="X223" s="9"/>
      <c r="Y223" s="9"/>
    </row>
    <row x14ac:dyDescent="0.25" r="224" customHeight="1" ht="18.75">
      <c r="A224" s="2" t="s">
        <v>217</v>
      </c>
      <c r="B224" s="3">
        <v>13</v>
      </c>
      <c r="C224" s="3">
        <v>8</v>
      </c>
      <c r="D224" s="3">
        <v>440</v>
      </c>
      <c r="E224" s="3">
        <v>215</v>
      </c>
      <c r="F224" s="3">
        <v>4735</v>
      </c>
      <c r="G224" s="11">
        <f>IFERROR(E224/F224, "")</f>
      </c>
      <c r="H224" s="3">
        <v>11</v>
      </c>
      <c r="I224" s="3">
        <v>73</v>
      </c>
      <c r="J224" s="2" t="s">
        <v>29</v>
      </c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9"/>
      <c r="V224" s="9"/>
      <c r="W224" s="9"/>
      <c r="X224" s="9"/>
      <c r="Y224" s="9"/>
    </row>
    <row x14ac:dyDescent="0.25" r="225" customHeight="1" ht="18.75">
      <c r="A225" s="2" t="s">
        <v>218</v>
      </c>
      <c r="B225" s="3">
        <v>15</v>
      </c>
      <c r="C225" s="3">
        <v>8</v>
      </c>
      <c r="D225" s="3">
        <v>318</v>
      </c>
      <c r="E225" s="3">
        <v>150</v>
      </c>
      <c r="F225" s="3">
        <v>3399</v>
      </c>
      <c r="G225" s="11">
        <f>IFERROR(E225/F225, "")</f>
      </c>
      <c r="H225" s="3">
        <v>11</v>
      </c>
      <c r="I225" s="3">
        <v>73</v>
      </c>
      <c r="J225" s="2" t="s">
        <v>29</v>
      </c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9"/>
      <c r="V225" s="9"/>
      <c r="W225" s="9"/>
      <c r="X225" s="9"/>
      <c r="Y225" s="9"/>
    </row>
    <row x14ac:dyDescent="0.25" r="226" customHeight="1" ht="18.75">
      <c r="A226" s="2" t="s">
        <v>219</v>
      </c>
      <c r="B226" s="3">
        <v>13</v>
      </c>
      <c r="C226" s="3">
        <v>8</v>
      </c>
      <c r="D226" s="3">
        <v>350</v>
      </c>
      <c r="E226" s="3">
        <v>175</v>
      </c>
      <c r="F226" s="3">
        <v>4100</v>
      </c>
      <c r="G226" s="11">
        <f>IFERROR(E226/F226, "")</f>
      </c>
      <c r="H226" s="3">
        <v>13</v>
      </c>
      <c r="I226" s="3">
        <v>73</v>
      </c>
      <c r="J226" s="2" t="s">
        <v>29</v>
      </c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9"/>
      <c r="V226" s="9"/>
      <c r="W226" s="9"/>
      <c r="X226" s="9"/>
      <c r="Y226" s="9"/>
    </row>
    <row x14ac:dyDescent="0.25" r="227" customHeight="1" ht="18.75">
      <c r="A227" s="2" t="s">
        <v>189</v>
      </c>
      <c r="B227" s="3">
        <v>14</v>
      </c>
      <c r="C227" s="3">
        <v>8</v>
      </c>
      <c r="D227" s="3">
        <v>304</v>
      </c>
      <c r="E227" s="3">
        <v>150</v>
      </c>
      <c r="F227" s="3">
        <v>3672</v>
      </c>
      <c r="G227" s="11">
        <f>IFERROR(E227/F227, "")</f>
      </c>
      <c r="H227" s="11">
        <v>11.5</v>
      </c>
      <c r="I227" s="3">
        <v>73</v>
      </c>
      <c r="J227" s="2" t="s">
        <v>29</v>
      </c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9"/>
      <c r="V227" s="9"/>
      <c r="W227" s="9"/>
      <c r="X227" s="9"/>
      <c r="Y227" s="9"/>
    </row>
    <row x14ac:dyDescent="0.25" r="228" customHeight="1" ht="18.75">
      <c r="A228" s="2" t="s">
        <v>220</v>
      </c>
      <c r="B228" s="3">
        <v>12</v>
      </c>
      <c r="C228" s="3">
        <v>8</v>
      </c>
      <c r="D228" s="3">
        <v>429</v>
      </c>
      <c r="E228" s="3">
        <v>198</v>
      </c>
      <c r="F228" s="3">
        <v>4952</v>
      </c>
      <c r="G228" s="11">
        <f>IFERROR(E228/F228, "")</f>
      </c>
      <c r="H228" s="11">
        <v>11.5</v>
      </c>
      <c r="I228" s="3">
        <v>73</v>
      </c>
      <c r="J228" s="2" t="s">
        <v>29</v>
      </c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9"/>
      <c r="V228" s="9"/>
      <c r="W228" s="9"/>
      <c r="X228" s="9"/>
      <c r="Y228" s="9"/>
    </row>
    <row x14ac:dyDescent="0.25" r="229" customHeight="1" ht="18.75">
      <c r="A229" s="2" t="s">
        <v>221</v>
      </c>
      <c r="B229" s="3">
        <v>12</v>
      </c>
      <c r="C229" s="3">
        <v>8</v>
      </c>
      <c r="D229" s="3">
        <v>350</v>
      </c>
      <c r="E229" s="3">
        <v>180</v>
      </c>
      <c r="F229" s="3">
        <v>4499</v>
      </c>
      <c r="G229" s="11">
        <f>IFERROR(E229/F229, "")</f>
      </c>
      <c r="H229" s="11">
        <v>12.5</v>
      </c>
      <c r="I229" s="3">
        <v>73</v>
      </c>
      <c r="J229" s="2" t="s">
        <v>29</v>
      </c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9"/>
      <c r="V229" s="9"/>
      <c r="W229" s="9"/>
      <c r="X229" s="9"/>
      <c r="Y229" s="9"/>
    </row>
    <row x14ac:dyDescent="0.25" r="230" customHeight="1" ht="18.75">
      <c r="A230" s="2" t="s">
        <v>222</v>
      </c>
      <c r="B230" s="3">
        <v>15</v>
      </c>
      <c r="C230" s="3">
        <v>8</v>
      </c>
      <c r="D230" s="3">
        <v>318</v>
      </c>
      <c r="E230" s="3">
        <v>150</v>
      </c>
      <c r="F230" s="3">
        <v>3777</v>
      </c>
      <c r="G230" s="11">
        <f>IFERROR(E230/F230, "")</f>
      </c>
      <c r="H230" s="11">
        <v>12.5</v>
      </c>
      <c r="I230" s="3">
        <v>73</v>
      </c>
      <c r="J230" s="2" t="s">
        <v>29</v>
      </c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9"/>
      <c r="V230" s="9"/>
      <c r="W230" s="9"/>
      <c r="X230" s="9"/>
      <c r="Y230" s="9"/>
    </row>
    <row x14ac:dyDescent="0.25" r="231" customHeight="1" ht="18.75">
      <c r="A231" s="2" t="s">
        <v>223</v>
      </c>
      <c r="B231" s="3">
        <v>13</v>
      </c>
      <c r="C231" s="3">
        <v>8</v>
      </c>
      <c r="D231" s="3">
        <v>360</v>
      </c>
      <c r="E231" s="3">
        <v>170</v>
      </c>
      <c r="F231" s="3">
        <v>4654</v>
      </c>
      <c r="G231" s="11">
        <f>IFERROR(E231/F231, "")</f>
      </c>
      <c r="H231" s="3">
        <v>13</v>
      </c>
      <c r="I231" s="3">
        <v>73</v>
      </c>
      <c r="J231" s="2" t="s">
        <v>29</v>
      </c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9"/>
      <c r="V231" s="9"/>
      <c r="W231" s="9"/>
      <c r="X231" s="9"/>
      <c r="Y231" s="9"/>
    </row>
    <row x14ac:dyDescent="0.25" r="232" customHeight="1" ht="18.75">
      <c r="A232" s="2" t="s">
        <v>224</v>
      </c>
      <c r="B232" s="3">
        <v>13</v>
      </c>
      <c r="C232" s="3">
        <v>8</v>
      </c>
      <c r="D232" s="3">
        <v>350</v>
      </c>
      <c r="E232" s="3">
        <v>145</v>
      </c>
      <c r="F232" s="3">
        <v>3988</v>
      </c>
      <c r="G232" s="11">
        <f>IFERROR(E232/F232, "")</f>
      </c>
      <c r="H232" s="3">
        <v>13</v>
      </c>
      <c r="I232" s="3">
        <v>73</v>
      </c>
      <c r="J232" s="2" t="s">
        <v>29</v>
      </c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9"/>
      <c r="V232" s="9"/>
      <c r="W232" s="9"/>
      <c r="X232" s="9"/>
      <c r="Y232" s="9"/>
    </row>
    <row x14ac:dyDescent="0.25" r="233" customHeight="1" ht="18.75">
      <c r="A233" s="2" t="s">
        <v>225</v>
      </c>
      <c r="B233" s="3">
        <v>13</v>
      </c>
      <c r="C233" s="3">
        <v>8</v>
      </c>
      <c r="D233" s="3">
        <v>351</v>
      </c>
      <c r="E233" s="3">
        <v>158</v>
      </c>
      <c r="F233" s="3">
        <v>4363</v>
      </c>
      <c r="G233" s="11">
        <f>IFERROR(E233/F233, "")</f>
      </c>
      <c r="H233" s="3">
        <v>13</v>
      </c>
      <c r="I233" s="3">
        <v>73</v>
      </c>
      <c r="J233" s="2" t="s">
        <v>29</v>
      </c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9"/>
      <c r="V233" s="9"/>
      <c r="W233" s="9"/>
      <c r="X233" s="9"/>
      <c r="Y233" s="9"/>
    </row>
    <row x14ac:dyDescent="0.25" r="234" customHeight="1" ht="18.75">
      <c r="A234" s="2" t="s">
        <v>226</v>
      </c>
      <c r="B234" s="3">
        <v>15</v>
      </c>
      <c r="C234" s="3">
        <v>8</v>
      </c>
      <c r="D234" s="3">
        <v>350</v>
      </c>
      <c r="E234" s="3">
        <v>145</v>
      </c>
      <c r="F234" s="3">
        <v>4082</v>
      </c>
      <c r="G234" s="11">
        <f>IFERROR(E234/F234, "")</f>
      </c>
      <c r="H234" s="3">
        <v>13</v>
      </c>
      <c r="I234" s="3">
        <v>73</v>
      </c>
      <c r="J234" s="2" t="s">
        <v>29</v>
      </c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9"/>
      <c r="V234" s="9"/>
      <c r="W234" s="9"/>
      <c r="X234" s="9"/>
      <c r="Y234" s="9"/>
    </row>
    <row x14ac:dyDescent="0.25" r="235" customHeight="1" ht="18.75">
      <c r="A235" s="2" t="s">
        <v>227</v>
      </c>
      <c r="B235" s="3">
        <v>14</v>
      </c>
      <c r="C235" s="3">
        <v>8</v>
      </c>
      <c r="D235" s="3">
        <v>318</v>
      </c>
      <c r="E235" s="3">
        <v>150</v>
      </c>
      <c r="F235" s="3">
        <v>4237</v>
      </c>
      <c r="G235" s="11">
        <f>IFERROR(E235/F235, "")</f>
      </c>
      <c r="H235" s="11">
        <v>14.5</v>
      </c>
      <c r="I235" s="3">
        <v>73</v>
      </c>
      <c r="J235" s="2" t="s">
        <v>29</v>
      </c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9"/>
      <c r="V235" s="9"/>
      <c r="W235" s="9"/>
      <c r="X235" s="9"/>
      <c r="Y235" s="9"/>
    </row>
    <row x14ac:dyDescent="0.25" r="236" customHeight="1" ht="18.75">
      <c r="A236" s="2" t="s">
        <v>228</v>
      </c>
      <c r="B236" s="3">
        <v>12</v>
      </c>
      <c r="C236" s="3">
        <v>8</v>
      </c>
      <c r="D236" s="3">
        <v>400</v>
      </c>
      <c r="E236" s="3">
        <v>167</v>
      </c>
      <c r="F236" s="3">
        <v>4906</v>
      </c>
      <c r="G236" s="11">
        <f>IFERROR(E236/F236, "")</f>
      </c>
      <c r="H236" s="11">
        <v>12.5</v>
      </c>
      <c r="I236" s="3">
        <v>73</v>
      </c>
      <c r="J236" s="2" t="s">
        <v>29</v>
      </c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9"/>
      <c r="V236" s="9"/>
      <c r="W236" s="9"/>
      <c r="X236" s="9"/>
      <c r="Y236" s="9"/>
    </row>
    <row x14ac:dyDescent="0.25" r="237" customHeight="1" ht="18.75">
      <c r="A237" s="2" t="s">
        <v>229</v>
      </c>
      <c r="B237" s="3">
        <v>14</v>
      </c>
      <c r="C237" s="3">
        <v>8</v>
      </c>
      <c r="D237" s="3">
        <v>302</v>
      </c>
      <c r="E237" s="3">
        <v>137</v>
      </c>
      <c r="F237" s="3">
        <v>4042</v>
      </c>
      <c r="G237" s="11">
        <f>IFERROR(E237/F237, "")</f>
      </c>
      <c r="H237" s="11">
        <v>14.5</v>
      </c>
      <c r="I237" s="3">
        <v>73</v>
      </c>
      <c r="J237" s="2" t="s">
        <v>29</v>
      </c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9"/>
      <c r="V237" s="9"/>
      <c r="W237" s="9"/>
      <c r="X237" s="9"/>
      <c r="Y237" s="9"/>
    </row>
    <row x14ac:dyDescent="0.25" r="238" customHeight="1" ht="18.75">
      <c r="A238" s="2" t="s">
        <v>230</v>
      </c>
      <c r="B238" s="3">
        <v>13</v>
      </c>
      <c r="C238" s="3">
        <v>8</v>
      </c>
      <c r="D238" s="3">
        <v>400</v>
      </c>
      <c r="E238" s="3">
        <v>150</v>
      </c>
      <c r="F238" s="3">
        <v>4464</v>
      </c>
      <c r="G238" s="11">
        <f>IFERROR(E238/F238, "")</f>
      </c>
      <c r="H238" s="3">
        <v>12</v>
      </c>
      <c r="I238" s="3">
        <v>73</v>
      </c>
      <c r="J238" s="2" t="s">
        <v>29</v>
      </c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9"/>
      <c r="V238" s="9"/>
      <c r="W238" s="9"/>
      <c r="X238" s="9"/>
      <c r="Y238" s="9"/>
    </row>
    <row x14ac:dyDescent="0.25" r="239" customHeight="1" ht="18.75">
      <c r="A239" s="2" t="s">
        <v>165</v>
      </c>
      <c r="B239" s="3">
        <v>11</v>
      </c>
      <c r="C239" s="3">
        <v>8</v>
      </c>
      <c r="D239" s="3">
        <v>400</v>
      </c>
      <c r="E239" s="3">
        <v>150</v>
      </c>
      <c r="F239" s="3">
        <v>4997</v>
      </c>
      <c r="G239" s="11">
        <f>IFERROR(E239/F239, "")</f>
      </c>
      <c r="H239" s="3">
        <v>14</v>
      </c>
      <c r="I239" s="3">
        <v>73</v>
      </c>
      <c r="J239" s="2" t="s">
        <v>29</v>
      </c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9"/>
      <c r="V239" s="9"/>
      <c r="W239" s="9"/>
      <c r="X239" s="9"/>
      <c r="Y239" s="9"/>
    </row>
    <row x14ac:dyDescent="0.25" r="240" customHeight="1" ht="18.75">
      <c r="A240" s="2" t="s">
        <v>231</v>
      </c>
      <c r="B240" s="3">
        <v>28</v>
      </c>
      <c r="C240" s="3">
        <v>4</v>
      </c>
      <c r="D240" s="3">
        <v>90</v>
      </c>
      <c r="E240" s="3">
        <v>75</v>
      </c>
      <c r="F240" s="3">
        <v>2125</v>
      </c>
      <c r="G240" s="11">
        <f>IFERROR(E240/F240, "")</f>
      </c>
      <c r="H240" s="11">
        <v>14.5</v>
      </c>
      <c r="I240" s="3">
        <v>74</v>
      </c>
      <c r="J240" s="2" t="s">
        <v>29</v>
      </c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9"/>
      <c r="V240" s="9"/>
      <c r="W240" s="9"/>
      <c r="X240" s="9"/>
      <c r="Y240" s="9"/>
    </row>
    <row x14ac:dyDescent="0.25" r="241" customHeight="1" ht="18.75">
      <c r="A241" s="2" t="s">
        <v>185</v>
      </c>
      <c r="B241" s="3">
        <v>26</v>
      </c>
      <c r="C241" s="3">
        <v>4</v>
      </c>
      <c r="D241" s="3">
        <v>122</v>
      </c>
      <c r="E241" s="3">
        <v>80</v>
      </c>
      <c r="F241" s="3">
        <v>2451</v>
      </c>
      <c r="G241" s="11">
        <f>IFERROR(E241/F241, "")</f>
      </c>
      <c r="H241" s="11">
        <v>16.5</v>
      </c>
      <c r="I241" s="3">
        <v>74</v>
      </c>
      <c r="J241" s="2" t="s">
        <v>29</v>
      </c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9"/>
      <c r="V241" s="9"/>
      <c r="W241" s="9"/>
      <c r="X241" s="9"/>
      <c r="Y241" s="9"/>
    </row>
    <row x14ac:dyDescent="0.25" r="242" customHeight="1" ht="18.75">
      <c r="A242" s="2" t="s">
        <v>198</v>
      </c>
      <c r="B242" s="3">
        <v>25</v>
      </c>
      <c r="C242" s="3">
        <v>4</v>
      </c>
      <c r="D242" s="3">
        <v>140</v>
      </c>
      <c r="E242" s="3">
        <v>75</v>
      </c>
      <c r="F242" s="3">
        <v>2542</v>
      </c>
      <c r="G242" s="11">
        <f>IFERROR(E242/F242, "")</f>
      </c>
      <c r="H242" s="3">
        <v>17</v>
      </c>
      <c r="I242" s="3">
        <v>74</v>
      </c>
      <c r="J242" s="2" t="s">
        <v>29</v>
      </c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9"/>
      <c r="V242" s="9"/>
      <c r="W242" s="9"/>
      <c r="X242" s="9"/>
      <c r="Y242" s="9"/>
    </row>
    <row x14ac:dyDescent="0.25" r="243" customHeight="1" ht="18.75">
      <c r="A243" s="2" t="s">
        <v>159</v>
      </c>
      <c r="B243" s="3">
        <v>19</v>
      </c>
      <c r="C243" s="3">
        <v>6</v>
      </c>
      <c r="D243" s="3">
        <v>232</v>
      </c>
      <c r="E243" s="3">
        <v>100</v>
      </c>
      <c r="F243" s="3">
        <v>2901</v>
      </c>
      <c r="G243" s="11">
        <f>IFERROR(E243/F243, "")</f>
      </c>
      <c r="H243" s="3">
        <v>16</v>
      </c>
      <c r="I243" s="3">
        <v>74</v>
      </c>
      <c r="J243" s="2" t="s">
        <v>29</v>
      </c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9"/>
      <c r="V243" s="9"/>
      <c r="W243" s="9"/>
      <c r="X243" s="9"/>
      <c r="Y243" s="9"/>
    </row>
    <row x14ac:dyDescent="0.25" r="244" customHeight="1" ht="18.75">
      <c r="A244" s="2" t="s">
        <v>161</v>
      </c>
      <c r="B244" s="3">
        <v>20</v>
      </c>
      <c r="C244" s="3">
        <v>6</v>
      </c>
      <c r="D244" s="3">
        <v>198</v>
      </c>
      <c r="E244" s="3">
        <v>95</v>
      </c>
      <c r="F244" s="3">
        <v>3102</v>
      </c>
      <c r="G244" s="11">
        <f>IFERROR(E244/F244, "")</f>
      </c>
      <c r="H244" s="11">
        <v>16.5</v>
      </c>
      <c r="I244" s="3">
        <v>74</v>
      </c>
      <c r="J244" s="2" t="s">
        <v>29</v>
      </c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9"/>
      <c r="V244" s="9"/>
      <c r="W244" s="9"/>
      <c r="X244" s="9"/>
      <c r="Y244" s="9"/>
    </row>
    <row x14ac:dyDescent="0.25" r="245" customHeight="1" ht="18.75">
      <c r="A245" s="2" t="s">
        <v>189</v>
      </c>
      <c r="B245" s="3">
        <v>16</v>
      </c>
      <c r="C245" s="3">
        <v>6</v>
      </c>
      <c r="D245" s="3">
        <v>258</v>
      </c>
      <c r="E245" s="3">
        <v>110</v>
      </c>
      <c r="F245" s="3">
        <v>3632</v>
      </c>
      <c r="G245" s="11">
        <f>IFERROR(E245/F245, "")</f>
      </c>
      <c r="H245" s="3">
        <v>18</v>
      </c>
      <c r="I245" s="3">
        <v>74</v>
      </c>
      <c r="J245" s="2" t="s">
        <v>29</v>
      </c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9"/>
      <c r="V245" s="9"/>
      <c r="W245" s="9"/>
      <c r="X245" s="9"/>
      <c r="Y245" s="9"/>
    </row>
    <row x14ac:dyDescent="0.25" r="246" customHeight="1" ht="18.75">
      <c r="A246" s="2" t="s">
        <v>232</v>
      </c>
      <c r="B246" s="3">
        <v>15</v>
      </c>
      <c r="C246" s="3">
        <v>6</v>
      </c>
      <c r="D246" s="3">
        <v>250</v>
      </c>
      <c r="E246" s="3">
        <v>100</v>
      </c>
      <c r="F246" s="3">
        <v>3336</v>
      </c>
      <c r="G246" s="11">
        <f>IFERROR(E246/F246, "")</f>
      </c>
      <c r="H246" s="3">
        <v>17</v>
      </c>
      <c r="I246" s="3">
        <v>74</v>
      </c>
      <c r="J246" s="2" t="s">
        <v>29</v>
      </c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9"/>
      <c r="V246" s="9"/>
      <c r="W246" s="9"/>
      <c r="X246" s="9"/>
      <c r="Y246" s="9"/>
    </row>
    <row x14ac:dyDescent="0.25" r="247" customHeight="1" ht="18.75">
      <c r="A247" s="2" t="s">
        <v>233</v>
      </c>
      <c r="B247" s="3">
        <v>18</v>
      </c>
      <c r="C247" s="3">
        <v>6</v>
      </c>
      <c r="D247" s="3">
        <v>225</v>
      </c>
      <c r="E247" s="3">
        <v>105</v>
      </c>
      <c r="F247" s="3">
        <v>3613</v>
      </c>
      <c r="G247" s="11">
        <f>IFERROR(E247/F247, "")</f>
      </c>
      <c r="H247" s="11">
        <v>16.5</v>
      </c>
      <c r="I247" s="3">
        <v>74</v>
      </c>
      <c r="J247" s="2" t="s">
        <v>29</v>
      </c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9"/>
      <c r="V247" s="9"/>
      <c r="W247" s="9"/>
      <c r="X247" s="9"/>
      <c r="Y247" s="9"/>
    </row>
    <row x14ac:dyDescent="0.25" r="248" customHeight="1" ht="18.75">
      <c r="A248" s="2" t="s">
        <v>234</v>
      </c>
      <c r="B248" s="3">
        <v>16</v>
      </c>
      <c r="C248" s="3">
        <v>6</v>
      </c>
      <c r="D248" s="3">
        <v>250</v>
      </c>
      <c r="E248" s="3">
        <v>100</v>
      </c>
      <c r="F248" s="3">
        <v>3781</v>
      </c>
      <c r="G248" s="11">
        <f>IFERROR(E248/F248, "")</f>
      </c>
      <c r="H248" s="3">
        <v>17</v>
      </c>
      <c r="I248" s="3">
        <v>74</v>
      </c>
      <c r="J248" s="2" t="s">
        <v>29</v>
      </c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9"/>
      <c r="V248" s="9"/>
      <c r="W248" s="9"/>
      <c r="X248" s="9"/>
      <c r="Y248" s="9"/>
    </row>
    <row x14ac:dyDescent="0.25" r="249" customHeight="1" ht="18.75">
      <c r="A249" s="2" t="s">
        <v>162</v>
      </c>
      <c r="B249" s="3">
        <v>21</v>
      </c>
      <c r="C249" s="3">
        <v>6</v>
      </c>
      <c r="D249" s="3">
        <v>200</v>
      </c>
      <c r="E249" s="9"/>
      <c r="F249" s="3">
        <v>2875</v>
      </c>
      <c r="G249" s="3">
        <f>IFERROR(E249/F249, "")</f>
      </c>
      <c r="H249" s="3">
        <v>17</v>
      </c>
      <c r="I249" s="3">
        <v>74</v>
      </c>
      <c r="J249" s="2" t="s">
        <v>29</v>
      </c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9"/>
      <c r="V249" s="9"/>
      <c r="W249" s="9"/>
      <c r="X249" s="9"/>
      <c r="Y249" s="9"/>
    </row>
    <row x14ac:dyDescent="0.25" r="250" customHeight="1" ht="18.75">
      <c r="A250" s="2" t="s">
        <v>204</v>
      </c>
      <c r="B250" s="3">
        <v>14</v>
      </c>
      <c r="C250" s="3">
        <v>8</v>
      </c>
      <c r="D250" s="3">
        <v>304</v>
      </c>
      <c r="E250" s="3">
        <v>150</v>
      </c>
      <c r="F250" s="3">
        <v>4257</v>
      </c>
      <c r="G250" s="11">
        <f>IFERROR(E250/F250, "")</f>
      </c>
      <c r="H250" s="11">
        <v>15.5</v>
      </c>
      <c r="I250" s="3">
        <v>74</v>
      </c>
      <c r="J250" s="2" t="s">
        <v>29</v>
      </c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9"/>
      <c r="V250" s="9"/>
      <c r="W250" s="9"/>
      <c r="X250" s="9"/>
      <c r="Y250" s="9"/>
    </row>
    <row x14ac:dyDescent="0.25" r="251" customHeight="1" ht="18.75">
      <c r="A251" s="2" t="s">
        <v>229</v>
      </c>
      <c r="B251" s="3">
        <v>16</v>
      </c>
      <c r="C251" s="3">
        <v>8</v>
      </c>
      <c r="D251" s="3">
        <v>302</v>
      </c>
      <c r="E251" s="3">
        <v>140</v>
      </c>
      <c r="F251" s="3">
        <v>4141</v>
      </c>
      <c r="G251" s="11">
        <f>IFERROR(E251/F251, "")</f>
      </c>
      <c r="H251" s="3">
        <v>14</v>
      </c>
      <c r="I251" s="3">
        <v>74</v>
      </c>
      <c r="J251" s="2" t="s">
        <v>29</v>
      </c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9"/>
      <c r="V251" s="9"/>
      <c r="W251" s="9"/>
      <c r="X251" s="9"/>
      <c r="Y251" s="9"/>
    </row>
    <row x14ac:dyDescent="0.25" r="252" customHeight="1" ht="18.75">
      <c r="A252" s="2" t="s">
        <v>235</v>
      </c>
      <c r="B252" s="3">
        <v>14</v>
      </c>
      <c r="C252" s="3">
        <v>8</v>
      </c>
      <c r="D252" s="3">
        <v>318</v>
      </c>
      <c r="E252" s="3">
        <v>150</v>
      </c>
      <c r="F252" s="3">
        <v>4457</v>
      </c>
      <c r="G252" s="11">
        <f>IFERROR(E252/F252, "")</f>
      </c>
      <c r="H252" s="11">
        <v>13.5</v>
      </c>
      <c r="I252" s="3">
        <v>74</v>
      </c>
      <c r="J252" s="2" t="s">
        <v>29</v>
      </c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9"/>
      <c r="V252" s="9"/>
      <c r="W252" s="9"/>
      <c r="X252" s="9"/>
      <c r="Y252" s="9"/>
    </row>
    <row x14ac:dyDescent="0.25" r="253" customHeight="1" ht="18.75">
      <c r="A253" s="2" t="s">
        <v>236</v>
      </c>
      <c r="B253" s="3">
        <v>13</v>
      </c>
      <c r="C253" s="3">
        <v>8</v>
      </c>
      <c r="D253" s="3">
        <v>350</v>
      </c>
      <c r="E253" s="3">
        <v>150</v>
      </c>
      <c r="F253" s="3">
        <v>4699</v>
      </c>
      <c r="G253" s="11">
        <f>IFERROR(E253/F253, "")</f>
      </c>
      <c r="H253" s="11">
        <v>14.5</v>
      </c>
      <c r="I253" s="3">
        <v>74</v>
      </c>
      <c r="J253" s="2" t="s">
        <v>29</v>
      </c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9"/>
      <c r="V253" s="9"/>
      <c r="W253" s="9"/>
      <c r="X253" s="9"/>
      <c r="Y253" s="9"/>
    </row>
    <row x14ac:dyDescent="0.25" r="254" customHeight="1" ht="18.75">
      <c r="A254" s="2" t="s">
        <v>208</v>
      </c>
      <c r="B254" s="3">
        <v>14</v>
      </c>
      <c r="C254" s="3">
        <v>8</v>
      </c>
      <c r="D254" s="3">
        <v>302</v>
      </c>
      <c r="E254" s="3">
        <v>140</v>
      </c>
      <c r="F254" s="3">
        <v>4638</v>
      </c>
      <c r="G254" s="11">
        <f>IFERROR(E254/F254, "")</f>
      </c>
      <c r="H254" s="3">
        <v>16</v>
      </c>
      <c r="I254" s="3">
        <v>74</v>
      </c>
      <c r="J254" s="2" t="s">
        <v>29</v>
      </c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9"/>
      <c r="V254" s="9"/>
      <c r="W254" s="9"/>
      <c r="X254" s="9"/>
      <c r="Y254" s="9"/>
    </row>
    <row x14ac:dyDescent="0.25" r="255" customHeight="1" ht="18.75">
      <c r="A255" s="2" t="s">
        <v>185</v>
      </c>
      <c r="B255" s="3">
        <v>23</v>
      </c>
      <c r="C255" s="3">
        <v>4</v>
      </c>
      <c r="D255" s="3">
        <v>140</v>
      </c>
      <c r="E255" s="3">
        <v>83</v>
      </c>
      <c r="F255" s="3">
        <v>2639</v>
      </c>
      <c r="G255" s="11">
        <f>IFERROR(E255/F255, "")</f>
      </c>
      <c r="H255" s="3">
        <v>17</v>
      </c>
      <c r="I255" s="3">
        <v>75</v>
      </c>
      <c r="J255" s="2" t="s">
        <v>29</v>
      </c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9"/>
      <c r="V255" s="9"/>
      <c r="W255" s="9"/>
      <c r="X255" s="9"/>
      <c r="Y255" s="9"/>
    </row>
    <row x14ac:dyDescent="0.25" r="256" customHeight="1" ht="18.75">
      <c r="A256" s="2" t="s">
        <v>237</v>
      </c>
      <c r="B256" s="3">
        <v>23</v>
      </c>
      <c r="C256" s="3">
        <v>4</v>
      </c>
      <c r="D256" s="3">
        <v>140</v>
      </c>
      <c r="E256" s="3">
        <v>78</v>
      </c>
      <c r="F256" s="3">
        <v>2592</v>
      </c>
      <c r="G256" s="11">
        <f>IFERROR(E256/F256, "")</f>
      </c>
      <c r="H256" s="11">
        <v>18.5</v>
      </c>
      <c r="I256" s="3">
        <v>75</v>
      </c>
      <c r="J256" s="2" t="s">
        <v>29</v>
      </c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9"/>
      <c r="V256" s="9"/>
      <c r="W256" s="9"/>
      <c r="X256" s="9"/>
      <c r="Y256" s="9"/>
    </row>
    <row x14ac:dyDescent="0.25" r="257" customHeight="1" ht="18.75">
      <c r="A257" s="2" t="s">
        <v>238</v>
      </c>
      <c r="B257" s="3">
        <v>21</v>
      </c>
      <c r="C257" s="3">
        <v>6</v>
      </c>
      <c r="D257" s="3">
        <v>231</v>
      </c>
      <c r="E257" s="3">
        <v>110</v>
      </c>
      <c r="F257" s="3">
        <v>3039</v>
      </c>
      <c r="G257" s="11">
        <f>IFERROR(E257/F257, "")</f>
      </c>
      <c r="H257" s="3">
        <v>15</v>
      </c>
      <c r="I257" s="3">
        <v>75</v>
      </c>
      <c r="J257" s="2" t="s">
        <v>29</v>
      </c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9"/>
      <c r="V257" s="9"/>
      <c r="W257" s="9"/>
      <c r="X257" s="9"/>
      <c r="Y257" s="9"/>
    </row>
    <row x14ac:dyDescent="0.25" r="258" customHeight="1" ht="18.75">
      <c r="A258" s="2" t="s">
        <v>160</v>
      </c>
      <c r="B258" s="3">
        <v>20</v>
      </c>
      <c r="C258" s="3">
        <v>6</v>
      </c>
      <c r="D258" s="3">
        <v>232</v>
      </c>
      <c r="E258" s="3">
        <v>100</v>
      </c>
      <c r="F258" s="3">
        <v>2914</v>
      </c>
      <c r="G258" s="11">
        <f>IFERROR(E258/F258, "")</f>
      </c>
      <c r="H258" s="3">
        <v>16</v>
      </c>
      <c r="I258" s="3">
        <v>75</v>
      </c>
      <c r="J258" s="2" t="s">
        <v>29</v>
      </c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9"/>
      <c r="V258" s="9"/>
      <c r="W258" s="9"/>
      <c r="X258" s="9"/>
      <c r="Y258" s="9"/>
    </row>
    <row x14ac:dyDescent="0.25" r="259" customHeight="1" ht="18.75">
      <c r="A259" s="2" t="s">
        <v>185</v>
      </c>
      <c r="B259" s="3">
        <v>18</v>
      </c>
      <c r="C259" s="3">
        <v>6</v>
      </c>
      <c r="D259" s="3">
        <v>171</v>
      </c>
      <c r="E259" s="3">
        <v>97</v>
      </c>
      <c r="F259" s="3">
        <v>2984</v>
      </c>
      <c r="G259" s="11">
        <f>IFERROR(E259/F259, "")</f>
      </c>
      <c r="H259" s="11">
        <v>14.5</v>
      </c>
      <c r="I259" s="3">
        <v>75</v>
      </c>
      <c r="J259" s="2" t="s">
        <v>29</v>
      </c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9"/>
      <c r="V259" s="9"/>
      <c r="W259" s="9"/>
      <c r="X259" s="9"/>
      <c r="Y259" s="9"/>
    </row>
    <row x14ac:dyDescent="0.25" r="260" customHeight="1" ht="18.75">
      <c r="A260" s="2" t="s">
        <v>232</v>
      </c>
      <c r="B260" s="3">
        <v>18</v>
      </c>
      <c r="C260" s="3">
        <v>6</v>
      </c>
      <c r="D260" s="3">
        <v>250</v>
      </c>
      <c r="E260" s="3">
        <v>105</v>
      </c>
      <c r="F260" s="3">
        <v>3459</v>
      </c>
      <c r="G260" s="11">
        <f>IFERROR(E260/F260, "")</f>
      </c>
      <c r="H260" s="3">
        <v>16</v>
      </c>
      <c r="I260" s="3">
        <v>75</v>
      </c>
      <c r="J260" s="2" t="s">
        <v>29</v>
      </c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9"/>
      <c r="V260" s="9"/>
      <c r="W260" s="9"/>
      <c r="X260" s="9"/>
      <c r="Y260" s="9"/>
    </row>
    <row x14ac:dyDescent="0.25" r="261" customHeight="1" ht="18.75">
      <c r="A261" s="2" t="s">
        <v>189</v>
      </c>
      <c r="B261" s="3">
        <v>15</v>
      </c>
      <c r="C261" s="3">
        <v>6</v>
      </c>
      <c r="D261" s="3">
        <v>258</v>
      </c>
      <c r="E261" s="3">
        <v>110</v>
      </c>
      <c r="F261" s="3">
        <v>3730</v>
      </c>
      <c r="G261" s="11">
        <f>IFERROR(E261/F261, "")</f>
      </c>
      <c r="H261" s="3">
        <v>19</v>
      </c>
      <c r="I261" s="3">
        <v>75</v>
      </c>
      <c r="J261" s="2" t="s">
        <v>29</v>
      </c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9"/>
      <c r="V261" s="9"/>
      <c r="W261" s="9"/>
      <c r="X261" s="9"/>
      <c r="Y261" s="9"/>
    </row>
    <row x14ac:dyDescent="0.25" r="262" customHeight="1" ht="18.75">
      <c r="A262" s="2" t="s">
        <v>239</v>
      </c>
      <c r="B262" s="3">
        <v>19</v>
      </c>
      <c r="C262" s="3">
        <v>6</v>
      </c>
      <c r="D262" s="3">
        <v>225</v>
      </c>
      <c r="E262" s="3">
        <v>95</v>
      </c>
      <c r="F262" s="3">
        <v>3264</v>
      </c>
      <c r="G262" s="11">
        <f>IFERROR(E262/F262, "")</f>
      </c>
      <c r="H262" s="3">
        <v>16</v>
      </c>
      <c r="I262" s="3">
        <v>75</v>
      </c>
      <c r="J262" s="2" t="s">
        <v>29</v>
      </c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9"/>
      <c r="V262" s="9"/>
      <c r="W262" s="9"/>
      <c r="X262" s="9"/>
      <c r="Y262" s="9"/>
    </row>
    <row x14ac:dyDescent="0.25" r="263" customHeight="1" ht="18.75">
      <c r="A263" s="2" t="s">
        <v>240</v>
      </c>
      <c r="B263" s="3">
        <v>17</v>
      </c>
      <c r="C263" s="3">
        <v>6</v>
      </c>
      <c r="D263" s="3">
        <v>231</v>
      </c>
      <c r="E263" s="3">
        <v>110</v>
      </c>
      <c r="F263" s="3">
        <v>3907</v>
      </c>
      <c r="G263" s="11">
        <f>IFERROR(E263/F263, "")</f>
      </c>
      <c r="H263" s="3">
        <v>21</v>
      </c>
      <c r="I263" s="3">
        <v>75</v>
      </c>
      <c r="J263" s="2" t="s">
        <v>29</v>
      </c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9"/>
      <c r="V263" s="9"/>
      <c r="W263" s="9"/>
      <c r="X263" s="9"/>
      <c r="Y263" s="9"/>
    </row>
    <row x14ac:dyDescent="0.25" r="264" customHeight="1" ht="18.75">
      <c r="A264" s="2" t="s">
        <v>241</v>
      </c>
      <c r="B264" s="3">
        <v>19</v>
      </c>
      <c r="C264" s="3">
        <v>6</v>
      </c>
      <c r="D264" s="3">
        <v>232</v>
      </c>
      <c r="E264" s="3">
        <v>90</v>
      </c>
      <c r="F264" s="3">
        <v>3211</v>
      </c>
      <c r="G264" s="11">
        <f>IFERROR(E264/F264, "")</f>
      </c>
      <c r="H264" s="3">
        <v>17</v>
      </c>
      <c r="I264" s="3">
        <v>75</v>
      </c>
      <c r="J264" s="2" t="s">
        <v>29</v>
      </c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9"/>
      <c r="V264" s="9"/>
      <c r="W264" s="9"/>
      <c r="X264" s="9"/>
      <c r="Y264" s="9"/>
    </row>
    <row x14ac:dyDescent="0.25" r="265" customHeight="1" ht="18.75">
      <c r="A265" s="2" t="s">
        <v>242</v>
      </c>
      <c r="B265" s="3">
        <v>16</v>
      </c>
      <c r="C265" s="3">
        <v>6</v>
      </c>
      <c r="D265" s="3">
        <v>250</v>
      </c>
      <c r="E265" s="3">
        <v>105</v>
      </c>
      <c r="F265" s="3">
        <v>3897</v>
      </c>
      <c r="G265" s="11">
        <f>IFERROR(E265/F265, "")</f>
      </c>
      <c r="H265" s="11">
        <v>18.5</v>
      </c>
      <c r="I265" s="3">
        <v>75</v>
      </c>
      <c r="J265" s="2" t="s">
        <v>29</v>
      </c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9"/>
      <c r="V265" s="9"/>
      <c r="W265" s="9"/>
      <c r="X265" s="9"/>
      <c r="Y265" s="9"/>
    </row>
    <row x14ac:dyDescent="0.25" r="266" customHeight="1" ht="18.75">
      <c r="A266" s="2" t="s">
        <v>243</v>
      </c>
      <c r="B266" s="3">
        <v>18</v>
      </c>
      <c r="C266" s="3">
        <v>6</v>
      </c>
      <c r="D266" s="3">
        <v>225</v>
      </c>
      <c r="E266" s="3">
        <v>95</v>
      </c>
      <c r="F266" s="3">
        <v>3785</v>
      </c>
      <c r="G266" s="11">
        <f>IFERROR(E266/F266, "")</f>
      </c>
      <c r="H266" s="3">
        <v>19</v>
      </c>
      <c r="I266" s="3">
        <v>75</v>
      </c>
      <c r="J266" s="2" t="s">
        <v>29</v>
      </c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9"/>
      <c r="V266" s="9"/>
      <c r="W266" s="9"/>
      <c r="X266" s="9"/>
      <c r="Y266" s="9"/>
    </row>
    <row x14ac:dyDescent="0.25" r="267" customHeight="1" ht="18.75">
      <c r="A267" s="2" t="s">
        <v>162</v>
      </c>
      <c r="B267" s="3">
        <v>15</v>
      </c>
      <c r="C267" s="3">
        <v>6</v>
      </c>
      <c r="D267" s="3">
        <v>250</v>
      </c>
      <c r="E267" s="3">
        <v>72</v>
      </c>
      <c r="F267" s="3">
        <v>3158</v>
      </c>
      <c r="G267" s="11">
        <f>IFERROR(E267/F267, "")</f>
      </c>
      <c r="H267" s="11">
        <v>19.5</v>
      </c>
      <c r="I267" s="3">
        <v>75</v>
      </c>
      <c r="J267" s="2" t="s">
        <v>29</v>
      </c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9"/>
      <c r="V267" s="9"/>
      <c r="W267" s="9"/>
      <c r="X267" s="9"/>
      <c r="Y267" s="9"/>
    </row>
    <row x14ac:dyDescent="0.25" r="268" customHeight="1" ht="18.75">
      <c r="A268" s="2" t="s">
        <v>244</v>
      </c>
      <c r="B268" s="3">
        <v>15</v>
      </c>
      <c r="C268" s="3">
        <v>6</v>
      </c>
      <c r="D268" s="3">
        <v>250</v>
      </c>
      <c r="E268" s="3">
        <v>72</v>
      </c>
      <c r="F268" s="3">
        <v>3432</v>
      </c>
      <c r="G268" s="11">
        <f>IFERROR(E268/F268, "")</f>
      </c>
      <c r="H268" s="3">
        <v>21</v>
      </c>
      <c r="I268" s="3">
        <v>75</v>
      </c>
      <c r="J268" s="2" t="s">
        <v>29</v>
      </c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9"/>
      <c r="V268" s="9"/>
      <c r="W268" s="9"/>
      <c r="X268" s="9"/>
      <c r="Y268" s="9"/>
    </row>
    <row x14ac:dyDescent="0.25" r="269" customHeight="1" ht="18.75">
      <c r="A269" s="2" t="s">
        <v>245</v>
      </c>
      <c r="B269" s="3">
        <v>13</v>
      </c>
      <c r="C269" s="3">
        <v>8</v>
      </c>
      <c r="D269" s="3">
        <v>302</v>
      </c>
      <c r="E269" s="3">
        <v>129</v>
      </c>
      <c r="F269" s="3">
        <v>3169</v>
      </c>
      <c r="G269" s="11">
        <f>IFERROR(E269/F269, "")</f>
      </c>
      <c r="H269" s="3">
        <v>12</v>
      </c>
      <c r="I269" s="3">
        <v>75</v>
      </c>
      <c r="J269" s="2" t="s">
        <v>29</v>
      </c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9"/>
      <c r="V269" s="9"/>
      <c r="W269" s="9"/>
      <c r="X269" s="9"/>
      <c r="Y269" s="9"/>
    </row>
    <row x14ac:dyDescent="0.25" r="270" customHeight="1" ht="18.75">
      <c r="A270" s="2" t="s">
        <v>164</v>
      </c>
      <c r="B270" s="3">
        <v>16</v>
      </c>
      <c r="C270" s="3">
        <v>8</v>
      </c>
      <c r="D270" s="3">
        <v>400</v>
      </c>
      <c r="E270" s="3">
        <v>170</v>
      </c>
      <c r="F270" s="3">
        <v>4668</v>
      </c>
      <c r="G270" s="11">
        <f>IFERROR(E270/F270, "")</f>
      </c>
      <c r="H270" s="11">
        <v>11.5</v>
      </c>
      <c r="I270" s="3">
        <v>75</v>
      </c>
      <c r="J270" s="2" t="s">
        <v>29</v>
      </c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9"/>
      <c r="V270" s="9"/>
      <c r="W270" s="9"/>
      <c r="X270" s="9"/>
      <c r="Y270" s="9"/>
    </row>
    <row x14ac:dyDescent="0.25" r="271" customHeight="1" ht="18.75">
      <c r="A271" s="2" t="s">
        <v>246</v>
      </c>
      <c r="B271" s="3">
        <v>20</v>
      </c>
      <c r="C271" s="3">
        <v>8</v>
      </c>
      <c r="D271" s="3">
        <v>262</v>
      </c>
      <c r="E271" s="3">
        <v>110</v>
      </c>
      <c r="F271" s="3">
        <v>3221</v>
      </c>
      <c r="G271" s="11">
        <f>IFERROR(E271/F271, "")</f>
      </c>
      <c r="H271" s="11">
        <v>13.5</v>
      </c>
      <c r="I271" s="3">
        <v>75</v>
      </c>
      <c r="J271" s="2" t="s">
        <v>29</v>
      </c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9"/>
      <c r="V271" s="9"/>
      <c r="W271" s="9"/>
      <c r="X271" s="9"/>
      <c r="Y271" s="9"/>
    </row>
    <row x14ac:dyDescent="0.25" r="272" customHeight="1" ht="18.75">
      <c r="A272" s="2" t="s">
        <v>247</v>
      </c>
      <c r="B272" s="3">
        <v>16</v>
      </c>
      <c r="C272" s="3">
        <v>8</v>
      </c>
      <c r="D272" s="3">
        <v>318</v>
      </c>
      <c r="E272" s="3">
        <v>150</v>
      </c>
      <c r="F272" s="3">
        <v>4498</v>
      </c>
      <c r="G272" s="11">
        <f>IFERROR(E272/F272, "")</f>
      </c>
      <c r="H272" s="11">
        <v>14.5</v>
      </c>
      <c r="I272" s="3">
        <v>75</v>
      </c>
      <c r="J272" s="2" t="s">
        <v>29</v>
      </c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9"/>
      <c r="V272" s="9"/>
      <c r="W272" s="9"/>
      <c r="X272" s="9"/>
      <c r="Y272" s="9"/>
    </row>
    <row x14ac:dyDescent="0.25" r="273" customHeight="1" ht="18.75">
      <c r="A273" s="2" t="s">
        <v>248</v>
      </c>
      <c r="B273" s="3">
        <v>15</v>
      </c>
      <c r="C273" s="3">
        <v>8</v>
      </c>
      <c r="D273" s="3">
        <v>350</v>
      </c>
      <c r="E273" s="3">
        <v>145</v>
      </c>
      <c r="F273" s="3">
        <v>4440</v>
      </c>
      <c r="G273" s="11">
        <f>IFERROR(E273/F273, "")</f>
      </c>
      <c r="H273" s="3">
        <v>14</v>
      </c>
      <c r="I273" s="3">
        <v>75</v>
      </c>
      <c r="J273" s="2" t="s">
        <v>29</v>
      </c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9"/>
      <c r="V273" s="9"/>
      <c r="W273" s="9"/>
      <c r="X273" s="9"/>
      <c r="Y273" s="9"/>
    </row>
    <row x14ac:dyDescent="0.25" r="274" customHeight="1" ht="18.75">
      <c r="A274" s="2" t="s">
        <v>225</v>
      </c>
      <c r="B274" s="3">
        <v>14</v>
      </c>
      <c r="C274" s="3">
        <v>8</v>
      </c>
      <c r="D274" s="3">
        <v>351</v>
      </c>
      <c r="E274" s="3">
        <v>148</v>
      </c>
      <c r="F274" s="3">
        <v>4657</v>
      </c>
      <c r="G274" s="11">
        <f>IFERROR(E274/F274, "")</f>
      </c>
      <c r="H274" s="11">
        <v>13.5</v>
      </c>
      <c r="I274" s="3">
        <v>75</v>
      </c>
      <c r="J274" s="2" t="s">
        <v>29</v>
      </c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9"/>
      <c r="V274" s="9"/>
      <c r="W274" s="9"/>
      <c r="X274" s="9"/>
      <c r="Y274" s="9"/>
    </row>
    <row x14ac:dyDescent="0.25" r="275" customHeight="1" ht="18.75">
      <c r="A275" s="2" t="s">
        <v>249</v>
      </c>
      <c r="B275" s="3">
        <v>25</v>
      </c>
      <c r="C275" s="3">
        <v>4</v>
      </c>
      <c r="D275" s="3">
        <v>140</v>
      </c>
      <c r="E275" s="3">
        <v>92</v>
      </c>
      <c r="F275" s="3">
        <v>2572</v>
      </c>
      <c r="G275" s="11">
        <f>IFERROR(E275/F275, "")</f>
      </c>
      <c r="H275" s="11">
        <v>14.9</v>
      </c>
      <c r="I275" s="3">
        <v>76</v>
      </c>
      <c r="J275" s="2" t="s">
        <v>29</v>
      </c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9"/>
      <c r="V275" s="9"/>
      <c r="W275" s="9"/>
      <c r="X275" s="9"/>
      <c r="Y275" s="9"/>
    </row>
    <row x14ac:dyDescent="0.25" r="276" customHeight="1" ht="18.75">
      <c r="A276" s="2" t="s">
        <v>231</v>
      </c>
      <c r="B276" s="3">
        <v>26</v>
      </c>
      <c r="C276" s="3">
        <v>4</v>
      </c>
      <c r="D276" s="3">
        <v>98</v>
      </c>
      <c r="E276" s="3">
        <v>79</v>
      </c>
      <c r="F276" s="3">
        <v>2255</v>
      </c>
      <c r="G276" s="11">
        <f>IFERROR(E276/F276, "")</f>
      </c>
      <c r="H276" s="11">
        <v>17.7</v>
      </c>
      <c r="I276" s="3">
        <v>76</v>
      </c>
      <c r="J276" s="2" t="s">
        <v>29</v>
      </c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9"/>
      <c r="V276" s="9"/>
      <c r="W276" s="9"/>
      <c r="X276" s="9"/>
      <c r="Y276" s="9"/>
    </row>
    <row x14ac:dyDescent="0.25" r="277" customHeight="1" ht="18.75">
      <c r="A277" s="2" t="s">
        <v>185</v>
      </c>
      <c r="B277" s="11">
        <v>26.5</v>
      </c>
      <c r="C277" s="3">
        <v>4</v>
      </c>
      <c r="D277" s="3">
        <v>140</v>
      </c>
      <c r="E277" s="3">
        <v>72</v>
      </c>
      <c r="F277" s="3">
        <v>2565</v>
      </c>
      <c r="G277" s="11">
        <f>IFERROR(E277/F277, "")</f>
      </c>
      <c r="H277" s="11">
        <v>13.6</v>
      </c>
      <c r="I277" s="3">
        <v>76</v>
      </c>
      <c r="J277" s="2" t="s">
        <v>29</v>
      </c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9"/>
      <c r="V277" s="9"/>
      <c r="W277" s="9"/>
      <c r="X277" s="9"/>
      <c r="Y277" s="9"/>
    </row>
    <row x14ac:dyDescent="0.25" r="278" customHeight="1" ht="18.75">
      <c r="A278" s="2" t="s">
        <v>250</v>
      </c>
      <c r="B278" s="11">
        <v>24.5</v>
      </c>
      <c r="C278" s="3">
        <v>4</v>
      </c>
      <c r="D278" s="3">
        <v>98</v>
      </c>
      <c r="E278" s="3">
        <v>60</v>
      </c>
      <c r="F278" s="3">
        <v>2164</v>
      </c>
      <c r="G278" s="11">
        <f>IFERROR(E278/F278, "")</f>
      </c>
      <c r="H278" s="11">
        <v>22.1</v>
      </c>
      <c r="I278" s="3">
        <v>76</v>
      </c>
      <c r="J278" s="2" t="s">
        <v>29</v>
      </c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9"/>
      <c r="V278" s="9"/>
      <c r="W278" s="9"/>
      <c r="X278" s="9"/>
      <c r="Y278" s="9"/>
    </row>
    <row x14ac:dyDescent="0.25" r="279" customHeight="1" ht="18.75">
      <c r="A279" s="2" t="s">
        <v>251</v>
      </c>
      <c r="B279" s="3">
        <v>29</v>
      </c>
      <c r="C279" s="3">
        <v>4</v>
      </c>
      <c r="D279" s="3">
        <v>85</v>
      </c>
      <c r="E279" s="3">
        <v>52</v>
      </c>
      <c r="F279" s="3">
        <v>2035</v>
      </c>
      <c r="G279" s="11">
        <f>IFERROR(E279/F279, "")</f>
      </c>
      <c r="H279" s="11">
        <v>22.2</v>
      </c>
      <c r="I279" s="3">
        <v>76</v>
      </c>
      <c r="J279" s="2" t="s">
        <v>29</v>
      </c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9"/>
      <c r="V279" s="9"/>
      <c r="W279" s="9"/>
      <c r="X279" s="9"/>
      <c r="Y279" s="9"/>
    </row>
    <row x14ac:dyDescent="0.25" r="280" customHeight="1" ht="18.75">
      <c r="A280" s="2" t="s">
        <v>232</v>
      </c>
      <c r="B280" s="3">
        <v>22</v>
      </c>
      <c r="C280" s="3">
        <v>6</v>
      </c>
      <c r="D280" s="3">
        <v>250</v>
      </c>
      <c r="E280" s="3">
        <v>105</v>
      </c>
      <c r="F280" s="3">
        <v>3353</v>
      </c>
      <c r="G280" s="11">
        <f>IFERROR(E280/F280, "")</f>
      </c>
      <c r="H280" s="11">
        <v>14.5</v>
      </c>
      <c r="I280" s="3">
        <v>76</v>
      </c>
      <c r="J280" s="2" t="s">
        <v>29</v>
      </c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9"/>
      <c r="V280" s="9"/>
      <c r="W280" s="9"/>
      <c r="X280" s="9"/>
      <c r="Y280" s="9"/>
    </row>
    <row x14ac:dyDescent="0.25" r="281" customHeight="1" ht="18.75">
      <c r="A281" s="2" t="s">
        <v>211</v>
      </c>
      <c r="B281" s="3">
        <v>22</v>
      </c>
      <c r="C281" s="3">
        <v>6</v>
      </c>
      <c r="D281" s="3">
        <v>225</v>
      </c>
      <c r="E281" s="3">
        <v>100</v>
      </c>
      <c r="F281" s="3">
        <v>3233</v>
      </c>
      <c r="G281" s="11">
        <f>IFERROR(E281/F281, "")</f>
      </c>
      <c r="H281" s="11">
        <v>15.4</v>
      </c>
      <c r="I281" s="3">
        <v>76</v>
      </c>
      <c r="J281" s="2" t="s">
        <v>29</v>
      </c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9"/>
      <c r="V281" s="9"/>
      <c r="W281" s="9"/>
      <c r="X281" s="9"/>
      <c r="Y281" s="9"/>
    </row>
    <row x14ac:dyDescent="0.25" r="282" customHeight="1" ht="18.75">
      <c r="A282" s="2" t="s">
        <v>252</v>
      </c>
      <c r="B282" s="11">
        <v>18.5</v>
      </c>
      <c r="C282" s="3">
        <v>6</v>
      </c>
      <c r="D282" s="3">
        <v>250</v>
      </c>
      <c r="E282" s="3">
        <v>110</v>
      </c>
      <c r="F282" s="3">
        <v>3645</v>
      </c>
      <c r="G282" s="11">
        <f>IFERROR(E282/F282, "")</f>
      </c>
      <c r="H282" s="11">
        <v>16.2</v>
      </c>
      <c r="I282" s="3">
        <v>76</v>
      </c>
      <c r="J282" s="2" t="s">
        <v>29</v>
      </c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9"/>
      <c r="V282" s="9"/>
      <c r="W282" s="9"/>
      <c r="X282" s="9"/>
      <c r="Y282" s="9"/>
    </row>
    <row x14ac:dyDescent="0.25" r="283" customHeight="1" ht="18.75">
      <c r="A283" s="2" t="s">
        <v>253</v>
      </c>
      <c r="B283" s="11">
        <v>17.5</v>
      </c>
      <c r="C283" s="3">
        <v>6</v>
      </c>
      <c r="D283" s="3">
        <v>258</v>
      </c>
      <c r="E283" s="3">
        <v>95</v>
      </c>
      <c r="F283" s="3">
        <v>3193</v>
      </c>
      <c r="G283" s="11">
        <f>IFERROR(E283/F283, "")</f>
      </c>
      <c r="H283" s="11">
        <v>17.8</v>
      </c>
      <c r="I283" s="3">
        <v>76</v>
      </c>
      <c r="J283" s="2" t="s">
        <v>29</v>
      </c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9"/>
      <c r="V283" s="9"/>
      <c r="W283" s="9"/>
      <c r="X283" s="9"/>
      <c r="Y283" s="9"/>
    </row>
    <row x14ac:dyDescent="0.25" r="284" customHeight="1" ht="18.75">
      <c r="A284" s="2" t="s">
        <v>159</v>
      </c>
      <c r="B284" s="11">
        <v>22.5</v>
      </c>
      <c r="C284" s="3">
        <v>6</v>
      </c>
      <c r="D284" s="3">
        <v>232</v>
      </c>
      <c r="E284" s="3">
        <v>90</v>
      </c>
      <c r="F284" s="3">
        <v>3085</v>
      </c>
      <c r="G284" s="11">
        <f>IFERROR(E284/F284, "")</f>
      </c>
      <c r="H284" s="11">
        <v>17.6</v>
      </c>
      <c r="I284" s="3">
        <v>76</v>
      </c>
      <c r="J284" s="2" t="s">
        <v>29</v>
      </c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9"/>
      <c r="V284" s="9"/>
      <c r="W284" s="9"/>
      <c r="X284" s="9"/>
      <c r="Y284" s="9"/>
    </row>
    <row x14ac:dyDescent="0.25" r="285" customHeight="1" ht="18.75">
      <c r="A285" s="2" t="s">
        <v>254</v>
      </c>
      <c r="B285" s="3">
        <v>20</v>
      </c>
      <c r="C285" s="3">
        <v>6</v>
      </c>
      <c r="D285" s="3">
        <v>225</v>
      </c>
      <c r="E285" s="3">
        <v>100</v>
      </c>
      <c r="F285" s="3">
        <v>3651</v>
      </c>
      <c r="G285" s="11">
        <f>IFERROR(E285/F285, "")</f>
      </c>
      <c r="H285" s="11">
        <v>17.7</v>
      </c>
      <c r="I285" s="3">
        <v>76</v>
      </c>
      <c r="J285" s="2" t="s">
        <v>29</v>
      </c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9"/>
      <c r="V285" s="9"/>
      <c r="W285" s="9"/>
      <c r="X285" s="9"/>
      <c r="Y285" s="9"/>
    </row>
    <row x14ac:dyDescent="0.25" r="286" customHeight="1" ht="18.75">
      <c r="A286" s="2" t="s">
        <v>162</v>
      </c>
      <c r="B286" s="3">
        <v>24</v>
      </c>
      <c r="C286" s="3">
        <v>6</v>
      </c>
      <c r="D286" s="3">
        <v>200</v>
      </c>
      <c r="E286" s="3">
        <v>81</v>
      </c>
      <c r="F286" s="3">
        <v>3012</v>
      </c>
      <c r="G286" s="11">
        <f>IFERROR(E286/F286, "")</f>
      </c>
      <c r="H286" s="11">
        <v>17.6</v>
      </c>
      <c r="I286" s="3">
        <v>76</v>
      </c>
      <c r="J286" s="2" t="s">
        <v>29</v>
      </c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9"/>
      <c r="V286" s="9"/>
      <c r="W286" s="9"/>
      <c r="X286" s="9"/>
      <c r="Y286" s="9"/>
    </row>
    <row x14ac:dyDescent="0.25" r="287" customHeight="1" ht="18.75">
      <c r="A287" s="2" t="s">
        <v>255</v>
      </c>
      <c r="B287" s="3">
        <v>18</v>
      </c>
      <c r="C287" s="3">
        <v>6</v>
      </c>
      <c r="D287" s="3">
        <v>250</v>
      </c>
      <c r="E287" s="3">
        <v>78</v>
      </c>
      <c r="F287" s="3">
        <v>3574</v>
      </c>
      <c r="G287" s="11">
        <f>IFERROR(E287/F287, "")</f>
      </c>
      <c r="H287" s="3">
        <v>21</v>
      </c>
      <c r="I287" s="3">
        <v>76</v>
      </c>
      <c r="J287" s="2" t="s">
        <v>29</v>
      </c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9"/>
      <c r="V287" s="9"/>
      <c r="W287" s="9"/>
      <c r="X287" s="9"/>
      <c r="Y287" s="9"/>
    </row>
    <row x14ac:dyDescent="0.25" r="288" customHeight="1" ht="18.75">
      <c r="A288" s="2" t="s">
        <v>256</v>
      </c>
      <c r="B288" s="11">
        <v>16.5</v>
      </c>
      <c r="C288" s="3">
        <v>8</v>
      </c>
      <c r="D288" s="3">
        <v>350</v>
      </c>
      <c r="E288" s="3">
        <v>180</v>
      </c>
      <c r="F288" s="3">
        <v>4380</v>
      </c>
      <c r="G288" s="11">
        <f>IFERROR(E288/F288, "")</f>
      </c>
      <c r="H288" s="11">
        <v>12.1</v>
      </c>
      <c r="I288" s="3">
        <v>76</v>
      </c>
      <c r="J288" s="2" t="s">
        <v>29</v>
      </c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9"/>
      <c r="V288" s="9"/>
      <c r="W288" s="9"/>
      <c r="X288" s="9"/>
      <c r="Y288" s="9"/>
    </row>
    <row x14ac:dyDescent="0.25" r="289" customHeight="1" ht="18.75">
      <c r="A289" s="2" t="s">
        <v>257</v>
      </c>
      <c r="B289" s="3">
        <v>13</v>
      </c>
      <c r="C289" s="3">
        <v>8</v>
      </c>
      <c r="D289" s="3">
        <v>318</v>
      </c>
      <c r="E289" s="3">
        <v>150</v>
      </c>
      <c r="F289" s="3">
        <v>3755</v>
      </c>
      <c r="G289" s="11">
        <f>IFERROR(E289/F289, "")</f>
      </c>
      <c r="H289" s="3">
        <v>14</v>
      </c>
      <c r="I289" s="3">
        <v>76</v>
      </c>
      <c r="J289" s="2" t="s">
        <v>29</v>
      </c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9"/>
      <c r="V289" s="9"/>
      <c r="W289" s="9"/>
      <c r="X289" s="9"/>
      <c r="Y289" s="9"/>
    </row>
    <row x14ac:dyDescent="0.25" r="290" customHeight="1" ht="18.75">
      <c r="A290" s="2" t="s">
        <v>258</v>
      </c>
      <c r="B290" s="3">
        <v>13</v>
      </c>
      <c r="C290" s="3">
        <v>8</v>
      </c>
      <c r="D290" s="3">
        <v>318</v>
      </c>
      <c r="E290" s="3">
        <v>150</v>
      </c>
      <c r="F290" s="3">
        <v>3940</v>
      </c>
      <c r="G290" s="11">
        <f>IFERROR(E290/F290, "")</f>
      </c>
      <c r="H290" s="11">
        <v>13.2</v>
      </c>
      <c r="I290" s="3">
        <v>76</v>
      </c>
      <c r="J290" s="2" t="s">
        <v>29</v>
      </c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9"/>
      <c r="V290" s="9"/>
      <c r="W290" s="9"/>
      <c r="X290" s="9"/>
      <c r="Y290" s="9"/>
    </row>
    <row x14ac:dyDescent="0.25" r="291" customHeight="1" ht="18.75">
      <c r="A291" s="2" t="s">
        <v>229</v>
      </c>
      <c r="B291" s="11">
        <v>14.5</v>
      </c>
      <c r="C291" s="3">
        <v>8</v>
      </c>
      <c r="D291" s="3">
        <v>351</v>
      </c>
      <c r="E291" s="3">
        <v>152</v>
      </c>
      <c r="F291" s="3">
        <v>4215</v>
      </c>
      <c r="G291" s="11">
        <f>IFERROR(E291/F291, "")</f>
      </c>
      <c r="H291" s="11">
        <v>12.8</v>
      </c>
      <c r="I291" s="3">
        <v>76</v>
      </c>
      <c r="J291" s="2" t="s">
        <v>29</v>
      </c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9"/>
      <c r="V291" s="9"/>
      <c r="W291" s="9"/>
      <c r="X291" s="9"/>
      <c r="Y291" s="9"/>
    </row>
    <row x14ac:dyDescent="0.25" r="292" customHeight="1" ht="18.75">
      <c r="A292" s="2" t="s">
        <v>259</v>
      </c>
      <c r="B292" s="3">
        <v>13</v>
      </c>
      <c r="C292" s="3">
        <v>8</v>
      </c>
      <c r="D292" s="3">
        <v>350</v>
      </c>
      <c r="E292" s="3">
        <v>145</v>
      </c>
      <c r="F292" s="3">
        <v>4055</v>
      </c>
      <c r="G292" s="11">
        <f>IFERROR(E292/F292, "")</f>
      </c>
      <c r="H292" s="3">
        <v>12</v>
      </c>
      <c r="I292" s="3">
        <v>76</v>
      </c>
      <c r="J292" s="2" t="s">
        <v>29</v>
      </c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9"/>
      <c r="V292" s="9"/>
      <c r="W292" s="9"/>
      <c r="X292" s="9"/>
      <c r="Y292" s="9"/>
    </row>
    <row x14ac:dyDescent="0.25" r="293" customHeight="1" ht="18.75">
      <c r="A293" s="2" t="s">
        <v>260</v>
      </c>
      <c r="B293" s="3">
        <v>16</v>
      </c>
      <c r="C293" s="3">
        <v>8</v>
      </c>
      <c r="D293" s="3">
        <v>318</v>
      </c>
      <c r="E293" s="3">
        <v>150</v>
      </c>
      <c r="F293" s="3">
        <v>4190</v>
      </c>
      <c r="G293" s="11">
        <f>IFERROR(E293/F293, "")</f>
      </c>
      <c r="H293" s="3">
        <v>13</v>
      </c>
      <c r="I293" s="3">
        <v>76</v>
      </c>
      <c r="J293" s="2" t="s">
        <v>29</v>
      </c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9"/>
      <c r="V293" s="9"/>
      <c r="W293" s="9"/>
      <c r="X293" s="9"/>
      <c r="Y293" s="9"/>
    </row>
    <row x14ac:dyDescent="0.25" r="294" customHeight="1" ht="18.75">
      <c r="A294" s="2" t="s">
        <v>261</v>
      </c>
      <c r="B294" s="3">
        <v>13</v>
      </c>
      <c r="C294" s="3">
        <v>8</v>
      </c>
      <c r="D294" s="3">
        <v>302</v>
      </c>
      <c r="E294" s="3">
        <v>130</v>
      </c>
      <c r="F294" s="3">
        <v>3870</v>
      </c>
      <c r="G294" s="11">
        <f>IFERROR(E294/F294, "")</f>
      </c>
      <c r="H294" s="3">
        <v>15</v>
      </c>
      <c r="I294" s="3">
        <v>76</v>
      </c>
      <c r="J294" s="2" t="s">
        <v>29</v>
      </c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9"/>
      <c r="V294" s="9"/>
      <c r="W294" s="9"/>
      <c r="X294" s="9"/>
      <c r="Y294" s="9"/>
    </row>
    <row x14ac:dyDescent="0.25" r="295" customHeight="1" ht="18.75">
      <c r="A295" s="2" t="s">
        <v>234</v>
      </c>
      <c r="B295" s="11">
        <v>17.5</v>
      </c>
      <c r="C295" s="3">
        <v>8</v>
      </c>
      <c r="D295" s="3">
        <v>305</v>
      </c>
      <c r="E295" s="3">
        <v>140</v>
      </c>
      <c r="F295" s="3">
        <v>4215</v>
      </c>
      <c r="G295" s="11">
        <f>IFERROR(E295/F295, "")</f>
      </c>
      <c r="H295" s="3">
        <v>13</v>
      </c>
      <c r="I295" s="3">
        <v>76</v>
      </c>
      <c r="J295" s="2" t="s">
        <v>29</v>
      </c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9"/>
      <c r="V295" s="9"/>
      <c r="W295" s="9"/>
      <c r="X295" s="9"/>
      <c r="Y295" s="9"/>
    </row>
    <row x14ac:dyDescent="0.25" r="296" customHeight="1" ht="18.75">
      <c r="A296" s="2" t="s">
        <v>189</v>
      </c>
      <c r="B296" s="11">
        <v>15.5</v>
      </c>
      <c r="C296" s="3">
        <v>8</v>
      </c>
      <c r="D296" s="3">
        <v>304</v>
      </c>
      <c r="E296" s="3">
        <v>120</v>
      </c>
      <c r="F296" s="3">
        <v>3962</v>
      </c>
      <c r="G296" s="11">
        <f>IFERROR(E296/F296, "")</f>
      </c>
      <c r="H296" s="11">
        <v>13.9</v>
      </c>
      <c r="I296" s="3">
        <v>76</v>
      </c>
      <c r="J296" s="2" t="s">
        <v>29</v>
      </c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9"/>
      <c r="V296" s="9"/>
      <c r="W296" s="9"/>
      <c r="X296" s="9"/>
      <c r="Y296" s="9"/>
    </row>
    <row x14ac:dyDescent="0.25" r="297" customHeight="1" ht="18.75">
      <c r="A297" s="2" t="s">
        <v>262</v>
      </c>
      <c r="B297" s="11">
        <v>25.5</v>
      </c>
      <c r="C297" s="3">
        <v>4</v>
      </c>
      <c r="D297" s="3">
        <v>122</v>
      </c>
      <c r="E297" s="3">
        <v>96</v>
      </c>
      <c r="F297" s="3">
        <v>2300</v>
      </c>
      <c r="G297" s="11">
        <f>IFERROR(E297/F297, "")</f>
      </c>
      <c r="H297" s="11">
        <v>15.5</v>
      </c>
      <c r="I297" s="3">
        <v>77</v>
      </c>
      <c r="J297" s="2" t="s">
        <v>29</v>
      </c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9"/>
      <c r="V297" s="9"/>
      <c r="W297" s="9"/>
      <c r="X297" s="9"/>
      <c r="Y297" s="9"/>
    </row>
    <row x14ac:dyDescent="0.25" r="298" customHeight="1" ht="18.75">
      <c r="A298" s="2" t="s">
        <v>263</v>
      </c>
      <c r="B298" s="11">
        <v>33.5</v>
      </c>
      <c r="C298" s="3">
        <v>4</v>
      </c>
      <c r="D298" s="3">
        <v>98</v>
      </c>
      <c r="E298" s="3">
        <v>83</v>
      </c>
      <c r="F298" s="3">
        <v>2075</v>
      </c>
      <c r="G298" s="11">
        <f>IFERROR(E298/F298, "")</f>
      </c>
      <c r="H298" s="11">
        <v>15.9</v>
      </c>
      <c r="I298" s="3">
        <v>77</v>
      </c>
      <c r="J298" s="2" t="s">
        <v>29</v>
      </c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9"/>
      <c r="V298" s="9"/>
      <c r="W298" s="9"/>
      <c r="X298" s="9"/>
      <c r="Y298" s="9"/>
    </row>
    <row x14ac:dyDescent="0.25" r="299" customHeight="1" ht="18.75">
      <c r="A299" s="2" t="s">
        <v>264</v>
      </c>
      <c r="B299" s="3">
        <v>30</v>
      </c>
      <c r="C299" s="3">
        <v>4</v>
      </c>
      <c r="D299" s="3">
        <v>111</v>
      </c>
      <c r="E299" s="3">
        <v>80</v>
      </c>
      <c r="F299" s="3">
        <v>2155</v>
      </c>
      <c r="G299" s="11">
        <f>IFERROR(E299/F299, "")</f>
      </c>
      <c r="H299" s="11">
        <v>14.8</v>
      </c>
      <c r="I299" s="3">
        <v>77</v>
      </c>
      <c r="J299" s="2" t="s">
        <v>29</v>
      </c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9"/>
      <c r="V299" s="9"/>
      <c r="W299" s="9"/>
      <c r="X299" s="9"/>
      <c r="Y299" s="9"/>
    </row>
    <row x14ac:dyDescent="0.25" r="300" customHeight="1" ht="18.75">
      <c r="A300" s="2" t="s">
        <v>265</v>
      </c>
      <c r="B300" s="11">
        <v>25.5</v>
      </c>
      <c r="C300" s="3">
        <v>4</v>
      </c>
      <c r="D300" s="3">
        <v>140</v>
      </c>
      <c r="E300" s="3">
        <v>89</v>
      </c>
      <c r="F300" s="3">
        <v>2755</v>
      </c>
      <c r="G300" s="11">
        <f>IFERROR(E300/F300, "")</f>
      </c>
      <c r="H300" s="11">
        <v>15.8</v>
      </c>
      <c r="I300" s="3">
        <v>77</v>
      </c>
      <c r="J300" s="2" t="s">
        <v>29</v>
      </c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9"/>
      <c r="V300" s="9"/>
      <c r="W300" s="9"/>
      <c r="X300" s="9"/>
      <c r="Y300" s="9"/>
    </row>
    <row x14ac:dyDescent="0.25" r="301" customHeight="1" ht="18.75">
      <c r="A301" s="2" t="s">
        <v>266</v>
      </c>
      <c r="B301" s="11">
        <v>24.5</v>
      </c>
      <c r="C301" s="3">
        <v>4</v>
      </c>
      <c r="D301" s="3">
        <v>151</v>
      </c>
      <c r="E301" s="3">
        <v>88</v>
      </c>
      <c r="F301" s="3">
        <v>2740</v>
      </c>
      <c r="G301" s="11">
        <f>IFERROR(E301/F301, "")</f>
      </c>
      <c r="H301" s="3">
        <v>16</v>
      </c>
      <c r="I301" s="3">
        <v>77</v>
      </c>
      <c r="J301" s="2" t="s">
        <v>29</v>
      </c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9"/>
      <c r="V301" s="9"/>
      <c r="W301" s="9"/>
      <c r="X301" s="9"/>
      <c r="Y301" s="9"/>
    </row>
    <row x14ac:dyDescent="0.25" r="302" customHeight="1" ht="18.75">
      <c r="A302" s="2" t="s">
        <v>251</v>
      </c>
      <c r="B302" s="11">
        <v>30.5</v>
      </c>
      <c r="C302" s="3">
        <v>4</v>
      </c>
      <c r="D302" s="3">
        <v>98</v>
      </c>
      <c r="E302" s="3">
        <v>63</v>
      </c>
      <c r="F302" s="3">
        <v>2051</v>
      </c>
      <c r="G302" s="11">
        <f>IFERROR(E302/F302, "")</f>
      </c>
      <c r="H302" s="3">
        <v>17</v>
      </c>
      <c r="I302" s="3">
        <v>77</v>
      </c>
      <c r="J302" s="2" t="s">
        <v>29</v>
      </c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9"/>
      <c r="V302" s="9"/>
      <c r="W302" s="9"/>
      <c r="X302" s="9"/>
      <c r="Y302" s="9"/>
    </row>
    <row x14ac:dyDescent="0.25" r="303" customHeight="1" ht="18.75">
      <c r="A303" s="2" t="s">
        <v>267</v>
      </c>
      <c r="B303" s="11">
        <v>17.5</v>
      </c>
      <c r="C303" s="3">
        <v>6</v>
      </c>
      <c r="D303" s="3">
        <v>250</v>
      </c>
      <c r="E303" s="3">
        <v>110</v>
      </c>
      <c r="F303" s="3">
        <v>3520</v>
      </c>
      <c r="G303" s="11">
        <f>IFERROR(E303/F303, "")</f>
      </c>
      <c r="H303" s="11">
        <v>16.4</v>
      </c>
      <c r="I303" s="3">
        <v>77</v>
      </c>
      <c r="J303" s="2" t="s">
        <v>29</v>
      </c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9"/>
      <c r="V303" s="9"/>
      <c r="W303" s="9"/>
      <c r="X303" s="9"/>
      <c r="Y303" s="9"/>
    </row>
    <row x14ac:dyDescent="0.25" r="304" customHeight="1" ht="18.75">
      <c r="A304" s="2" t="s">
        <v>268</v>
      </c>
      <c r="B304" s="11">
        <v>20.5</v>
      </c>
      <c r="C304" s="3">
        <v>6</v>
      </c>
      <c r="D304" s="3">
        <v>231</v>
      </c>
      <c r="E304" s="3">
        <v>105</v>
      </c>
      <c r="F304" s="3">
        <v>3425</v>
      </c>
      <c r="G304" s="11">
        <f>IFERROR(E304/F304, "")</f>
      </c>
      <c r="H304" s="11">
        <v>16.9</v>
      </c>
      <c r="I304" s="3">
        <v>77</v>
      </c>
      <c r="J304" s="2" t="s">
        <v>29</v>
      </c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9"/>
      <c r="V304" s="9"/>
      <c r="W304" s="9"/>
      <c r="X304" s="9"/>
      <c r="Y304" s="9"/>
    </row>
    <row x14ac:dyDescent="0.25" r="305" customHeight="1" ht="18.75">
      <c r="A305" s="2" t="s">
        <v>269</v>
      </c>
      <c r="B305" s="11">
        <v>18.5</v>
      </c>
      <c r="C305" s="3">
        <v>6</v>
      </c>
      <c r="D305" s="3">
        <v>250</v>
      </c>
      <c r="E305" s="3">
        <v>98</v>
      </c>
      <c r="F305" s="3">
        <v>3525</v>
      </c>
      <c r="G305" s="11">
        <f>IFERROR(E305/F305, "")</f>
      </c>
      <c r="H305" s="3">
        <v>19</v>
      </c>
      <c r="I305" s="3">
        <v>77</v>
      </c>
      <c r="J305" s="2" t="s">
        <v>29</v>
      </c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9"/>
      <c r="V305" s="9"/>
      <c r="W305" s="9"/>
      <c r="X305" s="9"/>
      <c r="Y305" s="9"/>
    </row>
    <row x14ac:dyDescent="0.25" r="306" customHeight="1" ht="18.75">
      <c r="A306" s="2" t="s">
        <v>270</v>
      </c>
      <c r="B306" s="3">
        <v>19</v>
      </c>
      <c r="C306" s="3">
        <v>6</v>
      </c>
      <c r="D306" s="3">
        <v>225</v>
      </c>
      <c r="E306" s="3">
        <v>100</v>
      </c>
      <c r="F306" s="3">
        <v>3630</v>
      </c>
      <c r="G306" s="11">
        <f>IFERROR(E306/F306, "")</f>
      </c>
      <c r="H306" s="11">
        <v>17.7</v>
      </c>
      <c r="I306" s="3">
        <v>77</v>
      </c>
      <c r="J306" s="2" t="s">
        <v>29</v>
      </c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9"/>
      <c r="V306" s="9"/>
      <c r="W306" s="9"/>
      <c r="X306" s="9"/>
      <c r="Y306" s="9"/>
    </row>
    <row x14ac:dyDescent="0.25" r="307" customHeight="1" ht="18.75">
      <c r="A307" s="2" t="s">
        <v>271</v>
      </c>
      <c r="B307" s="11">
        <v>15.5</v>
      </c>
      <c r="C307" s="3">
        <v>8</v>
      </c>
      <c r="D307" s="3">
        <v>400</v>
      </c>
      <c r="E307" s="3">
        <v>190</v>
      </c>
      <c r="F307" s="3">
        <v>4325</v>
      </c>
      <c r="G307" s="11">
        <f>IFERROR(E307/F307, "")</f>
      </c>
      <c r="H307" s="11">
        <v>12.2</v>
      </c>
      <c r="I307" s="3">
        <v>77</v>
      </c>
      <c r="J307" s="2" t="s">
        <v>29</v>
      </c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9"/>
      <c r="V307" s="9"/>
      <c r="W307" s="9"/>
      <c r="X307" s="9"/>
      <c r="Y307" s="9"/>
    </row>
    <row x14ac:dyDescent="0.25" r="308" customHeight="1" ht="18.75">
      <c r="A308" s="2" t="s">
        <v>272</v>
      </c>
      <c r="B308" s="3">
        <v>16</v>
      </c>
      <c r="C308" s="3">
        <v>8</v>
      </c>
      <c r="D308" s="3">
        <v>400</v>
      </c>
      <c r="E308" s="3">
        <v>180</v>
      </c>
      <c r="F308" s="3">
        <v>4220</v>
      </c>
      <c r="G308" s="11">
        <f>IFERROR(E308/F308, "")</f>
      </c>
      <c r="H308" s="11">
        <v>11.1</v>
      </c>
      <c r="I308" s="3">
        <v>77</v>
      </c>
      <c r="J308" s="2" t="s">
        <v>29</v>
      </c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9"/>
      <c r="V308" s="9"/>
      <c r="W308" s="9"/>
      <c r="X308" s="9"/>
      <c r="Y308" s="9"/>
    </row>
    <row x14ac:dyDescent="0.25" r="309" customHeight="1" ht="18.75">
      <c r="A309" s="2" t="s">
        <v>273</v>
      </c>
      <c r="B309" s="11">
        <v>15.5</v>
      </c>
      <c r="C309" s="3">
        <v>8</v>
      </c>
      <c r="D309" s="3">
        <v>350</v>
      </c>
      <c r="E309" s="3">
        <v>170</v>
      </c>
      <c r="F309" s="3">
        <v>4165</v>
      </c>
      <c r="G309" s="11">
        <f>IFERROR(E309/F309, "")</f>
      </c>
      <c r="H309" s="11">
        <v>11.4</v>
      </c>
      <c r="I309" s="3">
        <v>77</v>
      </c>
      <c r="J309" s="2" t="s">
        <v>29</v>
      </c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9"/>
      <c r="V309" s="9"/>
      <c r="W309" s="9"/>
      <c r="X309" s="9"/>
      <c r="Y309" s="9"/>
    </row>
    <row x14ac:dyDescent="0.25" r="310" customHeight="1" ht="18.75">
      <c r="A310" s="2" t="s">
        <v>230</v>
      </c>
      <c r="B310" s="11">
        <v>17.5</v>
      </c>
      <c r="C310" s="3">
        <v>8</v>
      </c>
      <c r="D310" s="3">
        <v>305</v>
      </c>
      <c r="E310" s="3">
        <v>145</v>
      </c>
      <c r="F310" s="3">
        <v>3880</v>
      </c>
      <c r="G310" s="11">
        <f>IFERROR(E310/F310, "")</f>
      </c>
      <c r="H310" s="11">
        <v>12.5</v>
      </c>
      <c r="I310" s="3">
        <v>77</v>
      </c>
      <c r="J310" s="2" t="s">
        <v>29</v>
      </c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9"/>
      <c r="V310" s="9"/>
      <c r="W310" s="9"/>
      <c r="X310" s="9"/>
      <c r="Y310" s="9"/>
    </row>
    <row x14ac:dyDescent="0.25" r="311" customHeight="1" ht="18.75">
      <c r="A311" s="2" t="s">
        <v>274</v>
      </c>
      <c r="B311" s="11">
        <v>15.5</v>
      </c>
      <c r="C311" s="3">
        <v>8</v>
      </c>
      <c r="D311" s="3">
        <v>318</v>
      </c>
      <c r="E311" s="3">
        <v>145</v>
      </c>
      <c r="F311" s="3">
        <v>4140</v>
      </c>
      <c r="G311" s="11">
        <f>IFERROR(E311/F311, "")</f>
      </c>
      <c r="H311" s="11">
        <v>13.7</v>
      </c>
      <c r="I311" s="3">
        <v>77</v>
      </c>
      <c r="J311" s="2" t="s">
        <v>29</v>
      </c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9"/>
      <c r="V311" s="9"/>
      <c r="W311" s="9"/>
      <c r="X311" s="9"/>
      <c r="Y311" s="9"/>
    </row>
    <row x14ac:dyDescent="0.25" r="312" customHeight="1" ht="18.75">
      <c r="A312" s="2" t="s">
        <v>275</v>
      </c>
      <c r="B312" s="3">
        <v>16</v>
      </c>
      <c r="C312" s="3">
        <v>8</v>
      </c>
      <c r="D312" s="3">
        <v>351</v>
      </c>
      <c r="E312" s="3">
        <v>149</v>
      </c>
      <c r="F312" s="3">
        <v>4335</v>
      </c>
      <c r="G312" s="11">
        <f>IFERROR(E312/F312, "")</f>
      </c>
      <c r="H312" s="11">
        <v>14.5</v>
      </c>
      <c r="I312" s="3">
        <v>77</v>
      </c>
      <c r="J312" s="2" t="s">
        <v>29</v>
      </c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9"/>
      <c r="V312" s="9"/>
      <c r="W312" s="9"/>
      <c r="X312" s="9"/>
      <c r="Y312" s="9"/>
    </row>
    <row x14ac:dyDescent="0.25" r="313" customHeight="1" ht="18.75">
      <c r="A313" s="2" t="s">
        <v>276</v>
      </c>
      <c r="B313" s="3">
        <v>15</v>
      </c>
      <c r="C313" s="3">
        <v>8</v>
      </c>
      <c r="D313" s="3">
        <v>302</v>
      </c>
      <c r="E313" s="3">
        <v>130</v>
      </c>
      <c r="F313" s="3">
        <v>4295</v>
      </c>
      <c r="G313" s="11">
        <f>IFERROR(E313/F313, "")</f>
      </c>
      <c r="H313" s="11">
        <v>14.9</v>
      </c>
      <c r="I313" s="3">
        <v>77</v>
      </c>
      <c r="J313" s="2" t="s">
        <v>29</v>
      </c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9"/>
      <c r="V313" s="9"/>
      <c r="W313" s="9"/>
      <c r="X313" s="9"/>
      <c r="Y313" s="9"/>
    </row>
    <row x14ac:dyDescent="0.25" r="314" customHeight="1" ht="18.75">
      <c r="A314" s="2" t="s">
        <v>277</v>
      </c>
      <c r="B314" s="3">
        <v>17</v>
      </c>
      <c r="C314" s="3">
        <v>8</v>
      </c>
      <c r="D314" s="3">
        <v>260</v>
      </c>
      <c r="E314" s="3">
        <v>110</v>
      </c>
      <c r="F314" s="3">
        <v>4060</v>
      </c>
      <c r="G314" s="11">
        <f>IFERROR(E314/F314, "")</f>
      </c>
      <c r="H314" s="3">
        <v>19</v>
      </c>
      <c r="I314" s="3">
        <v>77</v>
      </c>
      <c r="J314" s="2" t="s">
        <v>29</v>
      </c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9"/>
      <c r="V314" s="9"/>
      <c r="W314" s="9"/>
      <c r="X314" s="9"/>
      <c r="Y314" s="9"/>
    </row>
    <row x14ac:dyDescent="0.25" r="315" customHeight="1" ht="18.75">
      <c r="A315" s="2" t="s">
        <v>278</v>
      </c>
      <c r="B315" s="11">
        <v>23.2</v>
      </c>
      <c r="C315" s="3">
        <v>4</v>
      </c>
      <c r="D315" s="3">
        <v>156</v>
      </c>
      <c r="E315" s="3">
        <v>105</v>
      </c>
      <c r="F315" s="3">
        <v>2745</v>
      </c>
      <c r="G315" s="11">
        <f>IFERROR(E315/F315, "")</f>
      </c>
      <c r="H315" s="11">
        <v>16.7</v>
      </c>
      <c r="I315" s="3">
        <v>78</v>
      </c>
      <c r="J315" s="2" t="s">
        <v>29</v>
      </c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9"/>
      <c r="V315" s="9"/>
      <c r="W315" s="9"/>
      <c r="X315" s="9"/>
      <c r="Y315" s="9"/>
    </row>
    <row x14ac:dyDescent="0.25" r="316" customHeight="1" ht="18.75">
      <c r="A316" s="2" t="s">
        <v>279</v>
      </c>
      <c r="B316" s="11">
        <v>36.1</v>
      </c>
      <c r="C316" s="3">
        <v>4</v>
      </c>
      <c r="D316" s="3">
        <v>98</v>
      </c>
      <c r="E316" s="3">
        <v>66</v>
      </c>
      <c r="F316" s="3">
        <v>1800</v>
      </c>
      <c r="G316" s="11">
        <f>IFERROR(E316/F316, "")</f>
      </c>
      <c r="H316" s="11">
        <v>14.4</v>
      </c>
      <c r="I316" s="3">
        <v>78</v>
      </c>
      <c r="J316" s="2" t="s">
        <v>29</v>
      </c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9"/>
      <c r="V316" s="9"/>
      <c r="W316" s="9"/>
      <c r="X316" s="9"/>
      <c r="Y316" s="9"/>
    </row>
    <row x14ac:dyDescent="0.25" r="317" customHeight="1" ht="18.75">
      <c r="A317" s="2" t="s">
        <v>280</v>
      </c>
      <c r="B317" s="11">
        <v>30.9</v>
      </c>
      <c r="C317" s="3">
        <v>4</v>
      </c>
      <c r="D317" s="3">
        <v>105</v>
      </c>
      <c r="E317" s="3">
        <v>75</v>
      </c>
      <c r="F317" s="3">
        <v>2230</v>
      </c>
      <c r="G317" s="11">
        <f>IFERROR(E317/F317, "")</f>
      </c>
      <c r="H317" s="11">
        <v>14.5</v>
      </c>
      <c r="I317" s="3">
        <v>78</v>
      </c>
      <c r="J317" s="2" t="s">
        <v>29</v>
      </c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9"/>
      <c r="V317" s="9"/>
      <c r="W317" s="9"/>
      <c r="X317" s="9"/>
      <c r="Y317" s="9"/>
    </row>
    <row x14ac:dyDescent="0.25" r="318" customHeight="1" ht="18.75">
      <c r="A318" s="2" t="s">
        <v>281</v>
      </c>
      <c r="B318" s="11">
        <v>25.1</v>
      </c>
      <c r="C318" s="3">
        <v>4</v>
      </c>
      <c r="D318" s="3">
        <v>140</v>
      </c>
      <c r="E318" s="3">
        <v>88</v>
      </c>
      <c r="F318" s="3">
        <v>2720</v>
      </c>
      <c r="G318" s="11">
        <f>IFERROR(E318/F318, "")</f>
      </c>
      <c r="H318" s="11">
        <v>15.4</v>
      </c>
      <c r="I318" s="3">
        <v>78</v>
      </c>
      <c r="J318" s="2" t="s">
        <v>29</v>
      </c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9"/>
      <c r="V318" s="9"/>
      <c r="W318" s="9"/>
      <c r="X318" s="9"/>
      <c r="Y318" s="9"/>
    </row>
    <row x14ac:dyDescent="0.25" r="319" customHeight="1" ht="18.75">
      <c r="A319" s="2" t="s">
        <v>251</v>
      </c>
      <c r="B319" s="3">
        <v>30</v>
      </c>
      <c r="C319" s="3">
        <v>4</v>
      </c>
      <c r="D319" s="3">
        <v>98</v>
      </c>
      <c r="E319" s="3">
        <v>68</v>
      </c>
      <c r="F319" s="3">
        <v>2155</v>
      </c>
      <c r="G319" s="11">
        <f>IFERROR(E319/F319, "")</f>
      </c>
      <c r="H319" s="11">
        <v>16.5</v>
      </c>
      <c r="I319" s="3">
        <v>78</v>
      </c>
      <c r="J319" s="2" t="s">
        <v>29</v>
      </c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9"/>
      <c r="V319" s="9"/>
      <c r="W319" s="9"/>
      <c r="X319" s="9"/>
      <c r="Y319" s="9"/>
    </row>
    <row x14ac:dyDescent="0.25" r="320" customHeight="1" ht="18.75">
      <c r="A320" s="2" t="s">
        <v>282</v>
      </c>
      <c r="B320" s="11">
        <v>23.8</v>
      </c>
      <c r="C320" s="3">
        <v>4</v>
      </c>
      <c r="D320" s="3">
        <v>151</v>
      </c>
      <c r="E320" s="3">
        <v>85</v>
      </c>
      <c r="F320" s="3">
        <v>2855</v>
      </c>
      <c r="G320" s="11">
        <f>IFERROR(E320/F320, "")</f>
      </c>
      <c r="H320" s="11">
        <v>17.6</v>
      </c>
      <c r="I320" s="3">
        <v>78</v>
      </c>
      <c r="J320" s="2" t="s">
        <v>29</v>
      </c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9"/>
      <c r="V320" s="9"/>
      <c r="W320" s="9"/>
      <c r="X320" s="9"/>
      <c r="Y320" s="9"/>
    </row>
    <row x14ac:dyDescent="0.25" r="321" customHeight="1" ht="18.75">
      <c r="A321" s="2" t="s">
        <v>283</v>
      </c>
      <c r="B321" s="11">
        <v>17.7</v>
      </c>
      <c r="C321" s="3">
        <v>6</v>
      </c>
      <c r="D321" s="3">
        <v>231</v>
      </c>
      <c r="E321" s="3">
        <v>165</v>
      </c>
      <c r="F321" s="3">
        <v>3445</v>
      </c>
      <c r="G321" s="11">
        <f>IFERROR(E321/F321, "")</f>
      </c>
      <c r="H321" s="11">
        <v>13.4</v>
      </c>
      <c r="I321" s="3">
        <v>78</v>
      </c>
      <c r="J321" s="2" t="s">
        <v>29</v>
      </c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9"/>
      <c r="V321" s="9"/>
      <c r="W321" s="9"/>
      <c r="X321" s="9"/>
      <c r="Y321" s="9"/>
    </row>
    <row x14ac:dyDescent="0.25" r="322" customHeight="1" ht="18.75">
      <c r="A322" s="2" t="s">
        <v>284</v>
      </c>
      <c r="B322" s="11">
        <v>18.1</v>
      </c>
      <c r="C322" s="3">
        <v>6</v>
      </c>
      <c r="D322" s="3">
        <v>258</v>
      </c>
      <c r="E322" s="3">
        <v>120</v>
      </c>
      <c r="F322" s="3">
        <v>3410</v>
      </c>
      <c r="G322" s="11">
        <f>IFERROR(E322/F322, "")</f>
      </c>
      <c r="H322" s="11">
        <v>15.1</v>
      </c>
      <c r="I322" s="3">
        <v>78</v>
      </c>
      <c r="J322" s="2" t="s">
        <v>29</v>
      </c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9"/>
      <c r="V322" s="9"/>
      <c r="W322" s="9"/>
      <c r="X322" s="9"/>
      <c r="Y322" s="9"/>
    </row>
    <row x14ac:dyDescent="0.25" r="323" customHeight="1" ht="18.75">
      <c r="A323" s="2" t="s">
        <v>285</v>
      </c>
      <c r="B323" s="11">
        <v>20.6</v>
      </c>
      <c r="C323" s="3">
        <v>6</v>
      </c>
      <c r="D323" s="3">
        <v>231</v>
      </c>
      <c r="E323" s="3">
        <v>105</v>
      </c>
      <c r="F323" s="3">
        <v>3380</v>
      </c>
      <c r="G323" s="11">
        <f>IFERROR(E323/F323, "")</f>
      </c>
      <c r="H323" s="11">
        <v>15.8</v>
      </c>
      <c r="I323" s="3">
        <v>78</v>
      </c>
      <c r="J323" s="2" t="s">
        <v>29</v>
      </c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9"/>
      <c r="V323" s="9"/>
      <c r="W323" s="9"/>
      <c r="X323" s="9"/>
      <c r="Y323" s="9"/>
    </row>
    <row x14ac:dyDescent="0.25" r="324" customHeight="1" ht="18.75">
      <c r="A324" s="2" t="s">
        <v>286</v>
      </c>
      <c r="B324" s="11">
        <v>18.6</v>
      </c>
      <c r="C324" s="3">
        <v>6</v>
      </c>
      <c r="D324" s="3">
        <v>225</v>
      </c>
      <c r="E324" s="3">
        <v>110</v>
      </c>
      <c r="F324" s="3">
        <v>3620</v>
      </c>
      <c r="G324" s="11">
        <f>IFERROR(E324/F324, "")</f>
      </c>
      <c r="H324" s="11">
        <v>18.7</v>
      </c>
      <c r="I324" s="3">
        <v>78</v>
      </c>
      <c r="J324" s="2" t="s">
        <v>29</v>
      </c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9"/>
      <c r="V324" s="9"/>
      <c r="W324" s="9"/>
      <c r="X324" s="9"/>
      <c r="Y324" s="9"/>
    </row>
    <row x14ac:dyDescent="0.25" r="325" customHeight="1" ht="18.75">
      <c r="A325" s="2" t="s">
        <v>224</v>
      </c>
      <c r="B325" s="11">
        <v>20.5</v>
      </c>
      <c r="C325" s="3">
        <v>6</v>
      </c>
      <c r="D325" s="3">
        <v>200</v>
      </c>
      <c r="E325" s="3">
        <v>95</v>
      </c>
      <c r="F325" s="3">
        <v>3155</v>
      </c>
      <c r="G325" s="11">
        <f>IFERROR(E325/F325, "")</f>
      </c>
      <c r="H325" s="11">
        <v>18.2</v>
      </c>
      <c r="I325" s="3">
        <v>78</v>
      </c>
      <c r="J325" s="2" t="s">
        <v>29</v>
      </c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9"/>
      <c r="V325" s="9"/>
      <c r="W325" s="9"/>
      <c r="X325" s="9"/>
      <c r="Y325" s="9"/>
    </row>
    <row x14ac:dyDescent="0.25" r="326" customHeight="1" ht="18.75">
      <c r="A326" s="2" t="s">
        <v>287</v>
      </c>
      <c r="B326" s="11">
        <v>19.2</v>
      </c>
      <c r="C326" s="3">
        <v>6</v>
      </c>
      <c r="D326" s="3">
        <v>231</v>
      </c>
      <c r="E326" s="3">
        <v>105</v>
      </c>
      <c r="F326" s="3">
        <v>3535</v>
      </c>
      <c r="G326" s="11">
        <f>IFERROR(E326/F326, "")</f>
      </c>
      <c r="H326" s="11">
        <v>19.2</v>
      </c>
      <c r="I326" s="3">
        <v>78</v>
      </c>
      <c r="J326" s="2" t="s">
        <v>29</v>
      </c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9"/>
      <c r="V326" s="9"/>
      <c r="W326" s="9"/>
      <c r="X326" s="9"/>
      <c r="Y326" s="9"/>
    </row>
    <row x14ac:dyDescent="0.25" r="327" customHeight="1" ht="18.75">
      <c r="A327" s="2" t="s">
        <v>288</v>
      </c>
      <c r="B327" s="11">
        <v>20.5</v>
      </c>
      <c r="C327" s="3">
        <v>6</v>
      </c>
      <c r="D327" s="3">
        <v>225</v>
      </c>
      <c r="E327" s="3">
        <v>100</v>
      </c>
      <c r="F327" s="3">
        <v>3430</v>
      </c>
      <c r="G327" s="11">
        <f>IFERROR(E327/F327, "")</f>
      </c>
      <c r="H327" s="11">
        <v>17.2</v>
      </c>
      <c r="I327" s="3">
        <v>78</v>
      </c>
      <c r="J327" s="2" t="s">
        <v>29</v>
      </c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9"/>
      <c r="V327" s="9"/>
      <c r="W327" s="9"/>
      <c r="X327" s="9"/>
      <c r="Y327" s="9"/>
    </row>
    <row x14ac:dyDescent="0.25" r="328" customHeight="1" ht="18.75">
      <c r="A328" s="2" t="s">
        <v>289</v>
      </c>
      <c r="B328" s="11">
        <v>20.2</v>
      </c>
      <c r="C328" s="3">
        <v>6</v>
      </c>
      <c r="D328" s="3">
        <v>200</v>
      </c>
      <c r="E328" s="3">
        <v>85</v>
      </c>
      <c r="F328" s="3">
        <v>2965</v>
      </c>
      <c r="G328" s="11">
        <f>IFERROR(E328/F328, "")</f>
      </c>
      <c r="H328" s="11">
        <v>15.8</v>
      </c>
      <c r="I328" s="3">
        <v>78</v>
      </c>
      <c r="J328" s="2" t="s">
        <v>29</v>
      </c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9"/>
      <c r="V328" s="9"/>
      <c r="W328" s="9"/>
      <c r="X328" s="9"/>
      <c r="Y328" s="9"/>
    </row>
    <row x14ac:dyDescent="0.25" r="329" customHeight="1" ht="18.75">
      <c r="A329" s="2" t="s">
        <v>290</v>
      </c>
      <c r="B329" s="11">
        <v>19.4</v>
      </c>
      <c r="C329" s="3">
        <v>6</v>
      </c>
      <c r="D329" s="3">
        <v>232</v>
      </c>
      <c r="E329" s="3">
        <v>90</v>
      </c>
      <c r="F329" s="3">
        <v>3210</v>
      </c>
      <c r="G329" s="11">
        <f>IFERROR(E329/F329, "")</f>
      </c>
      <c r="H329" s="11">
        <v>17.2</v>
      </c>
      <c r="I329" s="3">
        <v>78</v>
      </c>
      <c r="J329" s="2" t="s">
        <v>29</v>
      </c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9"/>
      <c r="V329" s="9"/>
      <c r="W329" s="9"/>
      <c r="X329" s="9"/>
      <c r="Y329" s="9"/>
    </row>
    <row x14ac:dyDescent="0.25" r="330" customHeight="1" ht="18.75">
      <c r="A330" s="2" t="s">
        <v>291</v>
      </c>
      <c r="B330" s="11">
        <v>20.8</v>
      </c>
      <c r="C330" s="3">
        <v>6</v>
      </c>
      <c r="D330" s="3">
        <v>200</v>
      </c>
      <c r="E330" s="3">
        <v>85</v>
      </c>
      <c r="F330" s="3">
        <v>3070</v>
      </c>
      <c r="G330" s="11">
        <f>IFERROR(E330/F330, "")</f>
      </c>
      <c r="H330" s="11">
        <v>16.7</v>
      </c>
      <c r="I330" s="3">
        <v>78</v>
      </c>
      <c r="J330" s="2" t="s">
        <v>29</v>
      </c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9"/>
      <c r="V330" s="9"/>
      <c r="W330" s="9"/>
      <c r="X330" s="9"/>
      <c r="Y330" s="9"/>
    </row>
    <row x14ac:dyDescent="0.25" r="331" customHeight="1" ht="18.75">
      <c r="A331" s="2" t="s">
        <v>292</v>
      </c>
      <c r="B331" s="11">
        <v>18.1</v>
      </c>
      <c r="C331" s="3">
        <v>8</v>
      </c>
      <c r="D331" s="3">
        <v>302</v>
      </c>
      <c r="E331" s="3">
        <v>139</v>
      </c>
      <c r="F331" s="3">
        <v>3205</v>
      </c>
      <c r="G331" s="11">
        <f>IFERROR(E331/F331, "")</f>
      </c>
      <c r="H331" s="11">
        <v>11.2</v>
      </c>
      <c r="I331" s="3">
        <v>78</v>
      </c>
      <c r="J331" s="2" t="s">
        <v>29</v>
      </c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9"/>
      <c r="V331" s="9"/>
      <c r="W331" s="9"/>
      <c r="X331" s="9"/>
      <c r="Y331" s="9"/>
    </row>
    <row x14ac:dyDescent="0.25" r="332" customHeight="1" ht="18.75">
      <c r="A332" s="2" t="s">
        <v>273</v>
      </c>
      <c r="B332" s="11">
        <v>19.2</v>
      </c>
      <c r="C332" s="3">
        <v>8</v>
      </c>
      <c r="D332" s="3">
        <v>305</v>
      </c>
      <c r="E332" s="3">
        <v>145</v>
      </c>
      <c r="F332" s="3">
        <v>3425</v>
      </c>
      <c r="G332" s="11">
        <f>IFERROR(E332/F332, "")</f>
      </c>
      <c r="H332" s="11">
        <v>13.2</v>
      </c>
      <c r="I332" s="3">
        <v>78</v>
      </c>
      <c r="J332" s="2" t="s">
        <v>29</v>
      </c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9"/>
      <c r="V332" s="9"/>
      <c r="W332" s="9"/>
      <c r="X332" s="9"/>
      <c r="Y332" s="9"/>
    </row>
    <row x14ac:dyDescent="0.25" r="333" customHeight="1" ht="18.75">
      <c r="A333" s="2" t="s">
        <v>293</v>
      </c>
      <c r="B333" s="11">
        <v>20.2</v>
      </c>
      <c r="C333" s="3">
        <v>8</v>
      </c>
      <c r="D333" s="3">
        <v>302</v>
      </c>
      <c r="E333" s="3">
        <v>139</v>
      </c>
      <c r="F333" s="3">
        <v>3570</v>
      </c>
      <c r="G333" s="11">
        <f>IFERROR(E333/F333, "")</f>
      </c>
      <c r="H333" s="11">
        <v>12.8</v>
      </c>
      <c r="I333" s="3">
        <v>78</v>
      </c>
      <c r="J333" s="2" t="s">
        <v>29</v>
      </c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9"/>
      <c r="V333" s="9"/>
      <c r="W333" s="9"/>
      <c r="X333" s="9"/>
      <c r="Y333" s="9"/>
    </row>
    <row x14ac:dyDescent="0.25" r="334" customHeight="1" ht="18.75">
      <c r="A334" s="2" t="s">
        <v>294</v>
      </c>
      <c r="B334" s="11">
        <v>19.4</v>
      </c>
      <c r="C334" s="3">
        <v>8</v>
      </c>
      <c r="D334" s="3">
        <v>318</v>
      </c>
      <c r="E334" s="3">
        <v>140</v>
      </c>
      <c r="F334" s="3">
        <v>3735</v>
      </c>
      <c r="G334" s="11">
        <f>IFERROR(E334/F334, "")</f>
      </c>
      <c r="H334" s="11">
        <v>13.2</v>
      </c>
      <c r="I334" s="3">
        <v>78</v>
      </c>
      <c r="J334" s="2" t="s">
        <v>29</v>
      </c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9"/>
      <c r="V334" s="9"/>
      <c r="W334" s="9"/>
      <c r="X334" s="9"/>
      <c r="Y334" s="9"/>
    </row>
    <row x14ac:dyDescent="0.25" r="335" customHeight="1" ht="18.75">
      <c r="A335" s="2" t="s">
        <v>295</v>
      </c>
      <c r="B335" s="11">
        <v>17.5</v>
      </c>
      <c r="C335" s="3">
        <v>8</v>
      </c>
      <c r="D335" s="3">
        <v>318</v>
      </c>
      <c r="E335" s="3">
        <v>140</v>
      </c>
      <c r="F335" s="3">
        <v>4080</v>
      </c>
      <c r="G335" s="11">
        <f>IFERROR(E335/F335, "")</f>
      </c>
      <c r="H335" s="11">
        <v>13.7</v>
      </c>
      <c r="I335" s="3">
        <v>78</v>
      </c>
      <c r="J335" s="2" t="s">
        <v>29</v>
      </c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9"/>
      <c r="V335" s="9"/>
      <c r="W335" s="9"/>
      <c r="X335" s="9"/>
      <c r="Y335" s="9"/>
    </row>
    <row x14ac:dyDescent="0.25" r="336" customHeight="1" ht="18.75">
      <c r="A336" s="2" t="s">
        <v>296</v>
      </c>
      <c r="B336" s="11">
        <v>19.9</v>
      </c>
      <c r="C336" s="3">
        <v>8</v>
      </c>
      <c r="D336" s="3">
        <v>260</v>
      </c>
      <c r="E336" s="3">
        <v>110</v>
      </c>
      <c r="F336" s="3">
        <v>3365</v>
      </c>
      <c r="G336" s="11">
        <f>IFERROR(E336/F336, "")</f>
      </c>
      <c r="H336" s="11">
        <v>15.5</v>
      </c>
      <c r="I336" s="3">
        <v>78</v>
      </c>
      <c r="J336" s="2" t="s">
        <v>29</v>
      </c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9"/>
      <c r="V336" s="9"/>
      <c r="W336" s="9"/>
      <c r="X336" s="9"/>
      <c r="Y336" s="9"/>
    </row>
    <row x14ac:dyDescent="0.25" r="337" customHeight="1" ht="18.75">
      <c r="A337" s="2" t="s">
        <v>297</v>
      </c>
      <c r="B337" s="11">
        <v>35.7</v>
      </c>
      <c r="C337" s="3">
        <v>4</v>
      </c>
      <c r="D337" s="3">
        <v>98</v>
      </c>
      <c r="E337" s="3">
        <v>80</v>
      </c>
      <c r="F337" s="3">
        <v>1915</v>
      </c>
      <c r="G337" s="11">
        <f>IFERROR(E337/F337, "")</f>
      </c>
      <c r="H337" s="11">
        <v>14.4</v>
      </c>
      <c r="I337" s="3">
        <v>79</v>
      </c>
      <c r="J337" s="2" t="s">
        <v>29</v>
      </c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9"/>
      <c r="V337" s="9"/>
      <c r="W337" s="9"/>
      <c r="X337" s="9"/>
      <c r="Y337" s="9"/>
    </row>
    <row x14ac:dyDescent="0.25" r="338" customHeight="1" ht="18.75">
      <c r="A338" s="2" t="s">
        <v>298</v>
      </c>
      <c r="B338" s="11">
        <v>33.5</v>
      </c>
      <c r="C338" s="3">
        <v>4</v>
      </c>
      <c r="D338" s="3">
        <v>151</v>
      </c>
      <c r="E338" s="3">
        <v>90</v>
      </c>
      <c r="F338" s="3">
        <v>2556</v>
      </c>
      <c r="G338" s="11">
        <f>IFERROR(E338/F338, "")</f>
      </c>
      <c r="H338" s="11">
        <v>13.2</v>
      </c>
      <c r="I338" s="3">
        <v>79</v>
      </c>
      <c r="J338" s="2" t="s">
        <v>29</v>
      </c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9"/>
      <c r="V338" s="9"/>
      <c r="W338" s="9"/>
      <c r="X338" s="9"/>
      <c r="Y338" s="9"/>
    </row>
    <row x14ac:dyDescent="0.25" r="339" customHeight="1" ht="18.75">
      <c r="A339" s="2" t="s">
        <v>299</v>
      </c>
      <c r="B339" s="11">
        <v>28.4</v>
      </c>
      <c r="C339" s="3">
        <v>4</v>
      </c>
      <c r="D339" s="3">
        <v>151</v>
      </c>
      <c r="E339" s="3">
        <v>90</v>
      </c>
      <c r="F339" s="3">
        <v>2670</v>
      </c>
      <c r="G339" s="11">
        <f>IFERROR(E339/F339, "")</f>
      </c>
      <c r="H339" s="3">
        <v>16</v>
      </c>
      <c r="I339" s="3">
        <v>79</v>
      </c>
      <c r="J339" s="2" t="s">
        <v>29</v>
      </c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9"/>
      <c r="V339" s="9"/>
      <c r="W339" s="9"/>
      <c r="X339" s="9"/>
      <c r="Y339" s="9"/>
    </row>
    <row x14ac:dyDescent="0.25" r="340" customHeight="1" ht="18.75">
      <c r="A340" s="2" t="s">
        <v>300</v>
      </c>
      <c r="B340" s="11">
        <v>34.5</v>
      </c>
      <c r="C340" s="3">
        <v>4</v>
      </c>
      <c r="D340" s="3">
        <v>105</v>
      </c>
      <c r="E340" s="3">
        <v>70</v>
      </c>
      <c r="F340" s="3">
        <v>2150</v>
      </c>
      <c r="G340" s="11">
        <f>IFERROR(E340/F340, "")</f>
      </c>
      <c r="H340" s="11">
        <v>14.9</v>
      </c>
      <c r="I340" s="3">
        <v>79</v>
      </c>
      <c r="J340" s="2" t="s">
        <v>29</v>
      </c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9"/>
      <c r="V340" s="9"/>
      <c r="W340" s="9"/>
      <c r="X340" s="9"/>
      <c r="Y340" s="9"/>
    </row>
    <row x14ac:dyDescent="0.25" r="341" customHeight="1" ht="18.75">
      <c r="A341" s="2" t="s">
        <v>301</v>
      </c>
      <c r="B341" s="11">
        <v>34.2</v>
      </c>
      <c r="C341" s="3">
        <v>4</v>
      </c>
      <c r="D341" s="3">
        <v>105</v>
      </c>
      <c r="E341" s="3">
        <v>70</v>
      </c>
      <c r="F341" s="3">
        <v>2200</v>
      </c>
      <c r="G341" s="11">
        <f>IFERROR(E341/F341, "")</f>
      </c>
      <c r="H341" s="11">
        <v>13.2</v>
      </c>
      <c r="I341" s="3">
        <v>79</v>
      </c>
      <c r="J341" s="2" t="s">
        <v>29</v>
      </c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9"/>
      <c r="V341" s="9"/>
      <c r="W341" s="9"/>
      <c r="X341" s="9"/>
      <c r="Y341" s="9"/>
    </row>
    <row x14ac:dyDescent="0.25" r="342" customHeight="1" ht="18.75">
      <c r="A342" s="2" t="s">
        <v>302</v>
      </c>
      <c r="B342" s="11">
        <v>22.3</v>
      </c>
      <c r="C342" s="3">
        <v>4</v>
      </c>
      <c r="D342" s="3">
        <v>140</v>
      </c>
      <c r="E342" s="3">
        <v>88</v>
      </c>
      <c r="F342" s="3">
        <v>2890</v>
      </c>
      <c r="G342" s="11">
        <f>IFERROR(E342/F342, "")</f>
      </c>
      <c r="H342" s="11">
        <v>17.3</v>
      </c>
      <c r="I342" s="3">
        <v>79</v>
      </c>
      <c r="J342" s="2" t="s">
        <v>29</v>
      </c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9"/>
      <c r="V342" s="9"/>
      <c r="W342" s="9"/>
      <c r="X342" s="9"/>
      <c r="Y342" s="9"/>
    </row>
    <row x14ac:dyDescent="0.25" r="343" customHeight="1" ht="18.75">
      <c r="A343" s="2" t="s">
        <v>303</v>
      </c>
      <c r="B343" s="11">
        <v>27.4</v>
      </c>
      <c r="C343" s="3">
        <v>4</v>
      </c>
      <c r="D343" s="3">
        <v>121</v>
      </c>
      <c r="E343" s="3">
        <v>80</v>
      </c>
      <c r="F343" s="3">
        <v>2670</v>
      </c>
      <c r="G343" s="11">
        <f>IFERROR(E343/F343, "")</f>
      </c>
      <c r="H343" s="3">
        <v>15</v>
      </c>
      <c r="I343" s="3">
        <v>79</v>
      </c>
      <c r="J343" s="2" t="s">
        <v>29</v>
      </c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9"/>
      <c r="V343" s="9"/>
      <c r="W343" s="9"/>
      <c r="X343" s="9"/>
      <c r="Y343" s="9"/>
    </row>
    <row x14ac:dyDescent="0.25" r="344" customHeight="1" ht="18.75">
      <c r="A344" s="2" t="s">
        <v>304</v>
      </c>
      <c r="B344" s="11">
        <v>28.8</v>
      </c>
      <c r="C344" s="3">
        <v>6</v>
      </c>
      <c r="D344" s="3">
        <v>173</v>
      </c>
      <c r="E344" s="3">
        <v>115</v>
      </c>
      <c r="F344" s="3">
        <v>2595</v>
      </c>
      <c r="G344" s="11">
        <f>IFERROR(E344/F344, "")</f>
      </c>
      <c r="H344" s="11">
        <v>11.3</v>
      </c>
      <c r="I344" s="3">
        <v>79</v>
      </c>
      <c r="J344" s="2" t="s">
        <v>29</v>
      </c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9"/>
      <c r="V344" s="9"/>
      <c r="W344" s="9"/>
      <c r="X344" s="9"/>
      <c r="Y344" s="9"/>
    </row>
    <row x14ac:dyDescent="0.25" r="345" customHeight="1" ht="18.75">
      <c r="A345" s="2" t="s">
        <v>305</v>
      </c>
      <c r="B345" s="11">
        <v>26.8</v>
      </c>
      <c r="C345" s="3">
        <v>6</v>
      </c>
      <c r="D345" s="3">
        <v>173</v>
      </c>
      <c r="E345" s="3">
        <v>115</v>
      </c>
      <c r="F345" s="3">
        <v>2700</v>
      </c>
      <c r="G345" s="11">
        <f>IFERROR(E345/F345, "")</f>
      </c>
      <c r="H345" s="11">
        <v>12.9</v>
      </c>
      <c r="I345" s="3">
        <v>79</v>
      </c>
      <c r="J345" s="2" t="s">
        <v>29</v>
      </c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9"/>
      <c r="V345" s="9"/>
      <c r="W345" s="9"/>
      <c r="X345" s="9"/>
      <c r="Y345" s="9"/>
    </row>
    <row x14ac:dyDescent="0.25" r="346" customHeight="1" ht="18.75">
      <c r="A346" s="2" t="s">
        <v>306</v>
      </c>
      <c r="B346" s="11">
        <v>21.5</v>
      </c>
      <c r="C346" s="3">
        <v>6</v>
      </c>
      <c r="D346" s="3">
        <v>231</v>
      </c>
      <c r="E346" s="3">
        <v>115</v>
      </c>
      <c r="F346" s="3">
        <v>3245</v>
      </c>
      <c r="G346" s="11">
        <f>IFERROR(E346/F346, "")</f>
      </c>
      <c r="H346" s="11">
        <v>15.4</v>
      </c>
      <c r="I346" s="3">
        <v>79</v>
      </c>
      <c r="J346" s="2" t="s">
        <v>29</v>
      </c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9"/>
      <c r="V346" s="9"/>
      <c r="W346" s="9"/>
      <c r="X346" s="9"/>
      <c r="Y346" s="9"/>
    </row>
    <row x14ac:dyDescent="0.25" r="347" customHeight="1" ht="18.75">
      <c r="A347" s="2" t="s">
        <v>307</v>
      </c>
      <c r="B347" s="11">
        <v>20.6</v>
      </c>
      <c r="C347" s="3">
        <v>6</v>
      </c>
      <c r="D347" s="3">
        <v>225</v>
      </c>
      <c r="E347" s="3">
        <v>110</v>
      </c>
      <c r="F347" s="3">
        <v>3360</v>
      </c>
      <c r="G347" s="11">
        <f>IFERROR(E347/F347, "")</f>
      </c>
      <c r="H347" s="11">
        <v>16.6</v>
      </c>
      <c r="I347" s="3">
        <v>79</v>
      </c>
      <c r="J347" s="2" t="s">
        <v>29</v>
      </c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9"/>
      <c r="V347" s="9"/>
      <c r="W347" s="9"/>
      <c r="X347" s="9"/>
      <c r="Y347" s="9"/>
    </row>
    <row x14ac:dyDescent="0.25" r="348" customHeight="1" ht="18.75">
      <c r="A348" s="2" t="s">
        <v>308</v>
      </c>
      <c r="B348" s="11">
        <v>19.8</v>
      </c>
      <c r="C348" s="3">
        <v>6</v>
      </c>
      <c r="D348" s="3">
        <v>200</v>
      </c>
      <c r="E348" s="3">
        <v>85</v>
      </c>
      <c r="F348" s="3">
        <v>2990</v>
      </c>
      <c r="G348" s="11">
        <f>IFERROR(E348/F348, "")</f>
      </c>
      <c r="H348" s="11">
        <v>18.2</v>
      </c>
      <c r="I348" s="3">
        <v>79</v>
      </c>
      <c r="J348" s="2" t="s">
        <v>29</v>
      </c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9"/>
      <c r="V348" s="9"/>
      <c r="W348" s="9"/>
      <c r="X348" s="9"/>
      <c r="Y348" s="9"/>
    </row>
    <row x14ac:dyDescent="0.25" r="349" customHeight="1" ht="18.75">
      <c r="A349" s="2" t="s">
        <v>309</v>
      </c>
      <c r="B349" s="11">
        <v>20.2</v>
      </c>
      <c r="C349" s="3">
        <v>6</v>
      </c>
      <c r="D349" s="3">
        <v>232</v>
      </c>
      <c r="E349" s="3">
        <v>90</v>
      </c>
      <c r="F349" s="3">
        <v>3265</v>
      </c>
      <c r="G349" s="11">
        <f>IFERROR(E349/F349, "")</f>
      </c>
      <c r="H349" s="11">
        <v>18.2</v>
      </c>
      <c r="I349" s="3">
        <v>79</v>
      </c>
      <c r="J349" s="2" t="s">
        <v>29</v>
      </c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9"/>
      <c r="V349" s="9"/>
      <c r="W349" s="9"/>
      <c r="X349" s="9"/>
      <c r="Y349" s="9"/>
    </row>
    <row x14ac:dyDescent="0.25" r="350" customHeight="1" ht="18.75">
      <c r="A350" s="2" t="s">
        <v>310</v>
      </c>
      <c r="B350" s="11">
        <v>18.5</v>
      </c>
      <c r="C350" s="3">
        <v>8</v>
      </c>
      <c r="D350" s="3">
        <v>360</v>
      </c>
      <c r="E350" s="3">
        <v>150</v>
      </c>
      <c r="F350" s="3">
        <v>3940</v>
      </c>
      <c r="G350" s="11">
        <f>IFERROR(E350/F350, "")</f>
      </c>
      <c r="H350" s="3">
        <v>13</v>
      </c>
      <c r="I350" s="3">
        <v>79</v>
      </c>
      <c r="J350" s="2" t="s">
        <v>29</v>
      </c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9"/>
      <c r="V350" s="9"/>
      <c r="W350" s="9"/>
      <c r="X350" s="9"/>
      <c r="Y350" s="9"/>
    </row>
    <row x14ac:dyDescent="0.25" r="351" customHeight="1" ht="18.75">
      <c r="A351" s="2" t="s">
        <v>163</v>
      </c>
      <c r="B351" s="11">
        <v>16.9</v>
      </c>
      <c r="C351" s="3">
        <v>8</v>
      </c>
      <c r="D351" s="3">
        <v>350</v>
      </c>
      <c r="E351" s="3">
        <v>155</v>
      </c>
      <c r="F351" s="3">
        <v>4360</v>
      </c>
      <c r="G351" s="11">
        <f>IFERROR(E351/F351, "")</f>
      </c>
      <c r="H351" s="11">
        <v>14.9</v>
      </c>
      <c r="I351" s="3">
        <v>79</v>
      </c>
      <c r="J351" s="2" t="s">
        <v>29</v>
      </c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9"/>
      <c r="V351" s="9"/>
      <c r="W351" s="9"/>
      <c r="X351" s="9"/>
      <c r="Y351" s="9"/>
    </row>
    <row x14ac:dyDescent="0.25" r="352" customHeight="1" ht="18.75">
      <c r="A352" s="2" t="s">
        <v>311</v>
      </c>
      <c r="B352" s="11">
        <v>18.2</v>
      </c>
      <c r="C352" s="3">
        <v>8</v>
      </c>
      <c r="D352" s="3">
        <v>318</v>
      </c>
      <c r="E352" s="3">
        <v>135</v>
      </c>
      <c r="F352" s="3">
        <v>3830</v>
      </c>
      <c r="G352" s="11">
        <f>IFERROR(E352/F352, "")</f>
      </c>
      <c r="H352" s="11">
        <v>15.2</v>
      </c>
      <c r="I352" s="3">
        <v>79</v>
      </c>
      <c r="J352" s="2" t="s">
        <v>29</v>
      </c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9"/>
      <c r="V352" s="9"/>
      <c r="W352" s="9"/>
      <c r="X352" s="9"/>
      <c r="Y352" s="9"/>
    </row>
    <row x14ac:dyDescent="0.25" r="353" customHeight="1" ht="18.75">
      <c r="A353" s="2" t="s">
        <v>194</v>
      </c>
      <c r="B353" s="11">
        <v>15.5</v>
      </c>
      <c r="C353" s="3">
        <v>8</v>
      </c>
      <c r="D353" s="3">
        <v>351</v>
      </c>
      <c r="E353" s="3">
        <v>142</v>
      </c>
      <c r="F353" s="3">
        <v>4054</v>
      </c>
      <c r="G353" s="11">
        <f>IFERROR(E353/F353, "")</f>
      </c>
      <c r="H353" s="11">
        <v>14.3</v>
      </c>
      <c r="I353" s="3">
        <v>79</v>
      </c>
      <c r="J353" s="2" t="s">
        <v>29</v>
      </c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9"/>
      <c r="V353" s="9"/>
      <c r="W353" s="9"/>
      <c r="X353" s="9"/>
      <c r="Y353" s="9"/>
    </row>
    <row x14ac:dyDescent="0.25" r="354" customHeight="1" ht="18.75">
      <c r="A354" s="2" t="s">
        <v>312</v>
      </c>
      <c r="B354" s="11">
        <v>16.5</v>
      </c>
      <c r="C354" s="3">
        <v>8</v>
      </c>
      <c r="D354" s="3">
        <v>351</v>
      </c>
      <c r="E354" s="3">
        <v>138</v>
      </c>
      <c r="F354" s="3">
        <v>3955</v>
      </c>
      <c r="G354" s="11">
        <f>IFERROR(E354/F354, "")</f>
      </c>
      <c r="H354" s="11">
        <v>13.2</v>
      </c>
      <c r="I354" s="3">
        <v>79</v>
      </c>
      <c r="J354" s="2" t="s">
        <v>29</v>
      </c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9"/>
      <c r="V354" s="9"/>
      <c r="W354" s="9"/>
      <c r="X354" s="9"/>
      <c r="Y354" s="9"/>
    </row>
    <row x14ac:dyDescent="0.25" r="355" customHeight="1" ht="18.75">
      <c r="A355" s="2" t="s">
        <v>313</v>
      </c>
      <c r="B355" s="11">
        <v>19.2</v>
      </c>
      <c r="C355" s="3">
        <v>8</v>
      </c>
      <c r="D355" s="3">
        <v>267</v>
      </c>
      <c r="E355" s="3">
        <v>125</v>
      </c>
      <c r="F355" s="3">
        <v>3605</v>
      </c>
      <c r="G355" s="11">
        <f>IFERROR(E355/F355, "")</f>
      </c>
      <c r="H355" s="3">
        <v>15</v>
      </c>
      <c r="I355" s="3">
        <v>79</v>
      </c>
      <c r="J355" s="2" t="s">
        <v>29</v>
      </c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9"/>
      <c r="V355" s="9"/>
      <c r="W355" s="9"/>
      <c r="X355" s="9"/>
      <c r="Y355" s="9"/>
    </row>
    <row x14ac:dyDescent="0.25" r="356" customHeight="1" ht="18.75">
      <c r="A356" s="2" t="s">
        <v>314</v>
      </c>
      <c r="B356" s="11">
        <v>17.6</v>
      </c>
      <c r="C356" s="3">
        <v>8</v>
      </c>
      <c r="D356" s="3">
        <v>302</v>
      </c>
      <c r="E356" s="3">
        <v>129</v>
      </c>
      <c r="F356" s="3">
        <v>3725</v>
      </c>
      <c r="G356" s="11">
        <f>IFERROR(E356/F356, "")</f>
      </c>
      <c r="H356" s="11">
        <v>13.4</v>
      </c>
      <c r="I356" s="3">
        <v>79</v>
      </c>
      <c r="J356" s="2" t="s">
        <v>29</v>
      </c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9"/>
      <c r="V356" s="9"/>
      <c r="W356" s="9"/>
      <c r="X356" s="9"/>
      <c r="Y356" s="9"/>
    </row>
    <row x14ac:dyDescent="0.25" r="357" customHeight="1" ht="18.75">
      <c r="A357" s="2" t="s">
        <v>230</v>
      </c>
      <c r="B357" s="3">
        <v>17</v>
      </c>
      <c r="C357" s="3">
        <v>8</v>
      </c>
      <c r="D357" s="3">
        <v>305</v>
      </c>
      <c r="E357" s="3">
        <v>130</v>
      </c>
      <c r="F357" s="3">
        <v>3840</v>
      </c>
      <c r="G357" s="11">
        <f>IFERROR(E357/F357, "")</f>
      </c>
      <c r="H357" s="11">
        <v>15.4</v>
      </c>
      <c r="I357" s="3">
        <v>79</v>
      </c>
      <c r="J357" s="2" t="s">
        <v>29</v>
      </c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9"/>
      <c r="V357" s="9"/>
      <c r="W357" s="9"/>
      <c r="X357" s="9"/>
      <c r="Y357" s="9"/>
    </row>
    <row x14ac:dyDescent="0.25" r="358" customHeight="1" ht="18.75">
      <c r="A358" s="2" t="s">
        <v>315</v>
      </c>
      <c r="B358" s="3">
        <v>23</v>
      </c>
      <c r="C358" s="3">
        <v>8</v>
      </c>
      <c r="D358" s="3">
        <v>350</v>
      </c>
      <c r="E358" s="3">
        <v>125</v>
      </c>
      <c r="F358" s="3">
        <v>3900</v>
      </c>
      <c r="G358" s="11">
        <f>IFERROR(E358/F358, "")</f>
      </c>
      <c r="H358" s="11">
        <v>17.4</v>
      </c>
      <c r="I358" s="3">
        <v>79</v>
      </c>
      <c r="J358" s="2" t="s">
        <v>29</v>
      </c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9"/>
      <c r="V358" s="9"/>
      <c r="W358" s="9"/>
      <c r="X358" s="9"/>
      <c r="Y358" s="9"/>
    </row>
    <row x14ac:dyDescent="0.25" r="359" customHeight="1" ht="18.75">
      <c r="A359" s="2" t="s">
        <v>296</v>
      </c>
      <c r="B359" s="11">
        <v>23.9</v>
      </c>
      <c r="C359" s="3">
        <v>8</v>
      </c>
      <c r="D359" s="3">
        <v>260</v>
      </c>
      <c r="E359" s="3">
        <v>90</v>
      </c>
      <c r="F359" s="3">
        <v>3420</v>
      </c>
      <c r="G359" s="11">
        <f>IFERROR(E359/F359, "")</f>
      </c>
      <c r="H359" s="11">
        <v>22.2</v>
      </c>
      <c r="I359" s="3">
        <v>79</v>
      </c>
      <c r="J359" s="2" t="s">
        <v>29</v>
      </c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9"/>
      <c r="V359" s="9"/>
      <c r="W359" s="9"/>
      <c r="X359" s="9"/>
      <c r="Y359" s="9"/>
    </row>
    <row x14ac:dyDescent="0.25" r="360" customHeight="1" ht="18.75">
      <c r="A360" s="2" t="s">
        <v>231</v>
      </c>
      <c r="B360" s="11">
        <v>27.9</v>
      </c>
      <c r="C360" s="3">
        <v>4</v>
      </c>
      <c r="D360" s="3">
        <v>156</v>
      </c>
      <c r="E360" s="3">
        <v>105</v>
      </c>
      <c r="F360" s="3">
        <v>2800</v>
      </c>
      <c r="G360" s="11">
        <f>IFERROR(E360/F360, "")</f>
      </c>
      <c r="H360" s="11">
        <v>14.4</v>
      </c>
      <c r="I360" s="3">
        <v>80</v>
      </c>
      <c r="J360" s="2" t="s">
        <v>29</v>
      </c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9"/>
      <c r="V360" s="9"/>
      <c r="W360" s="9"/>
      <c r="X360" s="9"/>
      <c r="Y360" s="9"/>
    </row>
    <row x14ac:dyDescent="0.25" r="361" customHeight="1" ht="18.75">
      <c r="A361" s="2" t="s">
        <v>304</v>
      </c>
      <c r="B361" s="3">
        <v>28</v>
      </c>
      <c r="C361" s="3">
        <v>4</v>
      </c>
      <c r="D361" s="3">
        <v>151</v>
      </c>
      <c r="E361" s="3">
        <v>90</v>
      </c>
      <c r="F361" s="3">
        <v>2678</v>
      </c>
      <c r="G361" s="11">
        <f>IFERROR(E361/F361, "")</f>
      </c>
      <c r="H361" s="11">
        <v>16.5</v>
      </c>
      <c r="I361" s="3">
        <v>80</v>
      </c>
      <c r="J361" s="2" t="s">
        <v>29</v>
      </c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9"/>
      <c r="V361" s="9"/>
      <c r="W361" s="9"/>
      <c r="X361" s="9"/>
      <c r="Y361" s="9"/>
    </row>
    <row x14ac:dyDescent="0.25" r="362" customHeight="1" ht="18.75">
      <c r="A362" s="2" t="s">
        <v>251</v>
      </c>
      <c r="B362" s="11">
        <v>32.1</v>
      </c>
      <c r="C362" s="3">
        <v>4</v>
      </c>
      <c r="D362" s="3">
        <v>98</v>
      </c>
      <c r="E362" s="3">
        <v>70</v>
      </c>
      <c r="F362" s="3">
        <v>2120</v>
      </c>
      <c r="G362" s="11">
        <f>IFERROR(E362/F362, "")</f>
      </c>
      <c r="H362" s="11">
        <v>15.5</v>
      </c>
      <c r="I362" s="3">
        <v>80</v>
      </c>
      <c r="J362" s="2" t="s">
        <v>29</v>
      </c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9"/>
      <c r="V362" s="9"/>
      <c r="W362" s="9"/>
      <c r="X362" s="9"/>
      <c r="Y362" s="9"/>
    </row>
    <row x14ac:dyDescent="0.25" r="363" customHeight="1" ht="18.75">
      <c r="A363" s="2" t="s">
        <v>316</v>
      </c>
      <c r="B363" s="11">
        <v>26.4</v>
      </c>
      <c r="C363" s="3">
        <v>4</v>
      </c>
      <c r="D363" s="3">
        <v>140</v>
      </c>
      <c r="E363" s="3">
        <v>88</v>
      </c>
      <c r="F363" s="3">
        <v>2870</v>
      </c>
      <c r="G363" s="11">
        <f>IFERROR(E363/F363, "")</f>
      </c>
      <c r="H363" s="11">
        <v>18.1</v>
      </c>
      <c r="I363" s="3">
        <v>80</v>
      </c>
      <c r="J363" s="2" t="s">
        <v>29</v>
      </c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9"/>
      <c r="V363" s="9"/>
      <c r="W363" s="9"/>
      <c r="X363" s="9"/>
      <c r="Y363" s="9"/>
    </row>
    <row x14ac:dyDescent="0.25" r="364" customHeight="1" ht="18.75">
      <c r="A364" s="2" t="s">
        <v>290</v>
      </c>
      <c r="B364" s="11">
        <v>24.3</v>
      </c>
      <c r="C364" s="3">
        <v>4</v>
      </c>
      <c r="D364" s="3">
        <v>151</v>
      </c>
      <c r="E364" s="3">
        <v>90</v>
      </c>
      <c r="F364" s="3">
        <v>3003</v>
      </c>
      <c r="G364" s="11">
        <f>IFERROR(E364/F364, "")</f>
      </c>
      <c r="H364" s="11">
        <v>20.1</v>
      </c>
      <c r="I364" s="3">
        <v>80</v>
      </c>
      <c r="J364" s="2" t="s">
        <v>29</v>
      </c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9"/>
      <c r="V364" s="9"/>
      <c r="W364" s="9"/>
      <c r="X364" s="9"/>
      <c r="Y364" s="9"/>
    </row>
    <row x14ac:dyDescent="0.25" r="365" customHeight="1" ht="18.75">
      <c r="A365" s="2" t="s">
        <v>317</v>
      </c>
      <c r="B365" s="11">
        <v>23.6</v>
      </c>
      <c r="C365" s="3">
        <v>4</v>
      </c>
      <c r="D365" s="3">
        <v>140</v>
      </c>
      <c r="E365" s="9"/>
      <c r="F365" s="3">
        <v>2905</v>
      </c>
      <c r="G365" s="3">
        <f>IFERROR(E365/F365, "")</f>
      </c>
      <c r="H365" s="11">
        <v>14.3</v>
      </c>
      <c r="I365" s="3">
        <v>80</v>
      </c>
      <c r="J365" s="2" t="s">
        <v>29</v>
      </c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9"/>
      <c r="V365" s="9"/>
      <c r="W365" s="9"/>
      <c r="X365" s="9"/>
      <c r="Y365" s="9"/>
    </row>
    <row x14ac:dyDescent="0.25" r="366" customHeight="1" ht="18.75">
      <c r="A366" s="2" t="s">
        <v>286</v>
      </c>
      <c r="B366" s="11">
        <v>19.1</v>
      </c>
      <c r="C366" s="3">
        <v>6</v>
      </c>
      <c r="D366" s="3">
        <v>225</v>
      </c>
      <c r="E366" s="3">
        <v>90</v>
      </c>
      <c r="F366" s="3">
        <v>3381</v>
      </c>
      <c r="G366" s="11">
        <f>IFERROR(E366/F366, "")</f>
      </c>
      <c r="H366" s="11">
        <v>18.7</v>
      </c>
      <c r="I366" s="3">
        <v>80</v>
      </c>
      <c r="J366" s="2" t="s">
        <v>29</v>
      </c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9"/>
      <c r="V366" s="9"/>
      <c r="W366" s="9"/>
      <c r="X366" s="9"/>
      <c r="Y366" s="9"/>
    </row>
    <row x14ac:dyDescent="0.25" r="367" customHeight="1" ht="18.75">
      <c r="A367" s="2" t="s">
        <v>318</v>
      </c>
      <c r="B367" s="3">
        <v>30</v>
      </c>
      <c r="C367" s="3">
        <v>4</v>
      </c>
      <c r="D367" s="3">
        <v>135</v>
      </c>
      <c r="E367" s="3">
        <v>84</v>
      </c>
      <c r="F367" s="3">
        <v>2385</v>
      </c>
      <c r="G367" s="11">
        <f>IFERROR(E367/F367, "")</f>
      </c>
      <c r="H367" s="11">
        <v>12.9</v>
      </c>
      <c r="I367" s="3">
        <v>81</v>
      </c>
      <c r="J367" s="2" t="s">
        <v>29</v>
      </c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9"/>
      <c r="V367" s="9"/>
      <c r="W367" s="9"/>
      <c r="X367" s="9"/>
      <c r="Y367" s="9"/>
    </row>
    <row x14ac:dyDescent="0.25" r="368" customHeight="1" ht="18.75">
      <c r="A368" s="2" t="s">
        <v>319</v>
      </c>
      <c r="B368" s="11">
        <v>25.8</v>
      </c>
      <c r="C368" s="3">
        <v>4</v>
      </c>
      <c r="D368" s="3">
        <v>156</v>
      </c>
      <c r="E368" s="3">
        <v>92</v>
      </c>
      <c r="F368" s="3">
        <v>2620</v>
      </c>
      <c r="G368" s="11">
        <f>IFERROR(E368/F368, "")</f>
      </c>
      <c r="H368" s="11">
        <v>14.4</v>
      </c>
      <c r="I368" s="3">
        <v>81</v>
      </c>
      <c r="J368" s="2" t="s">
        <v>29</v>
      </c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9"/>
      <c r="V368" s="9"/>
      <c r="W368" s="9"/>
      <c r="X368" s="9"/>
      <c r="Y368" s="9"/>
    </row>
    <row x14ac:dyDescent="0.25" r="369" customHeight="1" ht="18.75">
      <c r="A369" s="2" t="s">
        <v>320</v>
      </c>
      <c r="B369" s="3">
        <v>39</v>
      </c>
      <c r="C369" s="3">
        <v>4</v>
      </c>
      <c r="D369" s="3">
        <v>86</v>
      </c>
      <c r="E369" s="3">
        <v>64</v>
      </c>
      <c r="F369" s="3">
        <v>1875</v>
      </c>
      <c r="G369" s="11">
        <f>IFERROR(E369/F369, "")</f>
      </c>
      <c r="H369" s="11">
        <v>16.4</v>
      </c>
      <c r="I369" s="3">
        <v>81</v>
      </c>
      <c r="J369" s="2" t="s">
        <v>29</v>
      </c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9"/>
      <c r="V369" s="9"/>
      <c r="W369" s="9"/>
      <c r="X369" s="9"/>
      <c r="Y369" s="9"/>
    </row>
    <row x14ac:dyDescent="0.25" r="370" customHeight="1" ht="18.75">
      <c r="A370" s="2" t="s">
        <v>318</v>
      </c>
      <c r="B370" s="11">
        <v>27.2</v>
      </c>
      <c r="C370" s="3">
        <v>4</v>
      </c>
      <c r="D370" s="3">
        <v>135</v>
      </c>
      <c r="E370" s="3">
        <v>84</v>
      </c>
      <c r="F370" s="3">
        <v>2490</v>
      </c>
      <c r="G370" s="11">
        <f>IFERROR(E370/F370, "")</f>
      </c>
      <c r="H370" s="11">
        <v>15.7</v>
      </c>
      <c r="I370" s="3">
        <v>81</v>
      </c>
      <c r="J370" s="2" t="s">
        <v>29</v>
      </c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9"/>
      <c r="V370" s="9"/>
      <c r="W370" s="9"/>
      <c r="X370" s="9"/>
      <c r="Y370" s="9"/>
    </row>
    <row x14ac:dyDescent="0.25" r="371" customHeight="1" ht="18.75">
      <c r="A371" s="2" t="s">
        <v>268</v>
      </c>
      <c r="B371" s="11">
        <v>26.6</v>
      </c>
      <c r="C371" s="3">
        <v>4</v>
      </c>
      <c r="D371" s="3">
        <v>151</v>
      </c>
      <c r="E371" s="3">
        <v>84</v>
      </c>
      <c r="F371" s="3">
        <v>2635</v>
      </c>
      <c r="G371" s="11">
        <f>IFERROR(E371/F371, "")</f>
      </c>
      <c r="H371" s="11">
        <v>16.4</v>
      </c>
      <c r="I371" s="3">
        <v>81</v>
      </c>
      <c r="J371" s="2" t="s">
        <v>29</v>
      </c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9"/>
      <c r="V371" s="9"/>
      <c r="W371" s="9"/>
      <c r="X371" s="9"/>
      <c r="Y371" s="9"/>
    </row>
    <row x14ac:dyDescent="0.25" r="372" customHeight="1" ht="18.75">
      <c r="A372" s="2" t="s">
        <v>321</v>
      </c>
      <c r="B372" s="11">
        <v>34.4</v>
      </c>
      <c r="C372" s="3">
        <v>4</v>
      </c>
      <c r="D372" s="3">
        <v>98</v>
      </c>
      <c r="E372" s="3">
        <v>65</v>
      </c>
      <c r="F372" s="3">
        <v>2045</v>
      </c>
      <c r="G372" s="11">
        <f>IFERROR(E372/F372, "")</f>
      </c>
      <c r="H372" s="11">
        <v>16.2</v>
      </c>
      <c r="I372" s="3">
        <v>81</v>
      </c>
      <c r="J372" s="2" t="s">
        <v>29</v>
      </c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9"/>
      <c r="V372" s="9"/>
      <c r="W372" s="9"/>
      <c r="X372" s="9"/>
      <c r="Y372" s="9"/>
    </row>
    <row x14ac:dyDescent="0.25" r="373" customHeight="1" ht="18.75">
      <c r="A373" s="2" t="s">
        <v>322</v>
      </c>
      <c r="B373" s="11">
        <v>34.7</v>
      </c>
      <c r="C373" s="3">
        <v>4</v>
      </c>
      <c r="D373" s="3">
        <v>105</v>
      </c>
      <c r="E373" s="3">
        <v>63</v>
      </c>
      <c r="F373" s="3">
        <v>2215</v>
      </c>
      <c r="G373" s="11">
        <f>IFERROR(E373/F373, "")</f>
      </c>
      <c r="H373" s="11">
        <v>14.9</v>
      </c>
      <c r="I373" s="3">
        <v>81</v>
      </c>
      <c r="J373" s="2" t="s">
        <v>29</v>
      </c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9"/>
      <c r="V373" s="9"/>
      <c r="W373" s="9"/>
      <c r="X373" s="9"/>
      <c r="Y373" s="9"/>
    </row>
    <row x14ac:dyDescent="0.25" r="374" customHeight="1" ht="18.75">
      <c r="A374" s="2" t="s">
        <v>323</v>
      </c>
      <c r="B374" s="11">
        <v>29.9</v>
      </c>
      <c r="C374" s="3">
        <v>4</v>
      </c>
      <c r="D374" s="3">
        <v>98</v>
      </c>
      <c r="E374" s="3">
        <v>65</v>
      </c>
      <c r="F374" s="3">
        <v>2380</v>
      </c>
      <c r="G374" s="11">
        <f>IFERROR(E374/F374, "")</f>
      </c>
      <c r="H374" s="11">
        <v>20.7</v>
      </c>
      <c r="I374" s="3">
        <v>81</v>
      </c>
      <c r="J374" s="2" t="s">
        <v>29</v>
      </c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9"/>
      <c r="V374" s="9"/>
      <c r="W374" s="9"/>
      <c r="X374" s="9"/>
      <c r="Y374" s="9"/>
    </row>
    <row x14ac:dyDescent="0.25" r="375" customHeight="1" ht="18.75">
      <c r="A375" s="2" t="s">
        <v>304</v>
      </c>
      <c r="B375" s="11">
        <v>23.5</v>
      </c>
      <c r="C375" s="3">
        <v>6</v>
      </c>
      <c r="D375" s="3">
        <v>173</v>
      </c>
      <c r="E375" s="3">
        <v>110</v>
      </c>
      <c r="F375" s="3">
        <v>2725</v>
      </c>
      <c r="G375" s="11">
        <f>IFERROR(E375/F375, "")</f>
      </c>
      <c r="H375" s="11">
        <v>12.6</v>
      </c>
      <c r="I375" s="3">
        <v>81</v>
      </c>
      <c r="J375" s="2" t="s">
        <v>29</v>
      </c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9"/>
      <c r="V375" s="9"/>
      <c r="W375" s="9"/>
      <c r="X375" s="9"/>
      <c r="Y375" s="9"/>
    </row>
    <row x14ac:dyDescent="0.25" r="376" customHeight="1" ht="18.75">
      <c r="A376" s="2" t="s">
        <v>240</v>
      </c>
      <c r="B376" s="11">
        <v>22.4</v>
      </c>
      <c r="C376" s="3">
        <v>6</v>
      </c>
      <c r="D376" s="3">
        <v>231</v>
      </c>
      <c r="E376" s="3">
        <v>110</v>
      </c>
      <c r="F376" s="3">
        <v>3415</v>
      </c>
      <c r="G376" s="11">
        <f>IFERROR(E376/F376, "")</f>
      </c>
      <c r="H376" s="11">
        <v>15.8</v>
      </c>
      <c r="I376" s="3">
        <v>81</v>
      </c>
      <c r="J376" s="2" t="s">
        <v>29</v>
      </c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9"/>
      <c r="V376" s="9"/>
      <c r="W376" s="9"/>
      <c r="X376" s="9"/>
      <c r="Y376" s="9"/>
    </row>
    <row x14ac:dyDescent="0.25" r="377" customHeight="1" ht="18.75">
      <c r="A377" s="2" t="s">
        <v>324</v>
      </c>
      <c r="B377" s="11">
        <v>20.2</v>
      </c>
      <c r="C377" s="3">
        <v>6</v>
      </c>
      <c r="D377" s="3">
        <v>200</v>
      </c>
      <c r="E377" s="3">
        <v>88</v>
      </c>
      <c r="F377" s="3">
        <v>3060</v>
      </c>
      <c r="G377" s="11">
        <f>IFERROR(E377/F377, "")</f>
      </c>
      <c r="H377" s="11">
        <v>17.1</v>
      </c>
      <c r="I377" s="3">
        <v>81</v>
      </c>
      <c r="J377" s="2" t="s">
        <v>29</v>
      </c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9"/>
      <c r="V377" s="9"/>
      <c r="W377" s="9"/>
      <c r="X377" s="9"/>
      <c r="Y377" s="9"/>
    </row>
    <row x14ac:dyDescent="0.25" r="378" customHeight="1" ht="18.75">
      <c r="A378" s="2" t="s">
        <v>325</v>
      </c>
      <c r="B378" s="11">
        <v>17.6</v>
      </c>
      <c r="C378" s="3">
        <v>6</v>
      </c>
      <c r="D378" s="3">
        <v>225</v>
      </c>
      <c r="E378" s="3">
        <v>85</v>
      </c>
      <c r="F378" s="3">
        <v>3465</v>
      </c>
      <c r="G378" s="11">
        <f>IFERROR(E378/F378, "")</f>
      </c>
      <c r="H378" s="11">
        <v>16.6</v>
      </c>
      <c r="I378" s="3">
        <v>81</v>
      </c>
      <c r="J378" s="2" t="s">
        <v>29</v>
      </c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9"/>
      <c r="V378" s="9"/>
      <c r="W378" s="9"/>
      <c r="X378" s="9"/>
      <c r="Y378" s="9"/>
    </row>
    <row x14ac:dyDescent="0.25" r="379" customHeight="1" ht="18.75">
      <c r="A379" s="2" t="s">
        <v>326</v>
      </c>
      <c r="B379" s="11">
        <v>26.6</v>
      </c>
      <c r="C379" s="3">
        <v>8</v>
      </c>
      <c r="D379" s="3">
        <v>350</v>
      </c>
      <c r="E379" s="3">
        <v>105</v>
      </c>
      <c r="F379" s="3">
        <v>3725</v>
      </c>
      <c r="G379" s="11">
        <f>IFERROR(E379/F379, "")</f>
      </c>
      <c r="H379" s="3">
        <v>19</v>
      </c>
      <c r="I379" s="3">
        <v>81</v>
      </c>
      <c r="J379" s="2" t="s">
        <v>29</v>
      </c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9"/>
      <c r="V379" s="9"/>
      <c r="W379" s="9"/>
      <c r="X379" s="9"/>
      <c r="Y379" s="9"/>
    </row>
    <row x14ac:dyDescent="0.25" r="380" customHeight="1" ht="18.75">
      <c r="A380" s="2" t="s">
        <v>327</v>
      </c>
      <c r="B380" s="3">
        <v>34</v>
      </c>
      <c r="C380" s="3">
        <v>4</v>
      </c>
      <c r="D380" s="3">
        <v>112</v>
      </c>
      <c r="E380" s="3">
        <v>88</v>
      </c>
      <c r="F380" s="3">
        <v>2395</v>
      </c>
      <c r="G380" s="11">
        <f>IFERROR(E380/F380, "")</f>
      </c>
      <c r="H380" s="3">
        <v>18</v>
      </c>
      <c r="I380" s="3">
        <v>82</v>
      </c>
      <c r="J380" s="2" t="s">
        <v>29</v>
      </c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9"/>
      <c r="V380" s="9"/>
      <c r="W380" s="9"/>
      <c r="X380" s="9"/>
      <c r="Y380" s="9"/>
    </row>
    <row x14ac:dyDescent="0.25" r="381" customHeight="1" ht="18.75">
      <c r="A381" s="2" t="s">
        <v>328</v>
      </c>
      <c r="B381" s="3">
        <v>32</v>
      </c>
      <c r="C381" s="3">
        <v>4</v>
      </c>
      <c r="D381" s="3">
        <v>135</v>
      </c>
      <c r="E381" s="3">
        <v>84</v>
      </c>
      <c r="F381" s="3">
        <v>2295</v>
      </c>
      <c r="G381" s="11">
        <f>IFERROR(E381/F381, "")</f>
      </c>
      <c r="H381" s="11">
        <v>11.6</v>
      </c>
      <c r="I381" s="3">
        <v>82</v>
      </c>
      <c r="J381" s="2" t="s">
        <v>29</v>
      </c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9"/>
      <c r="V381" s="9"/>
      <c r="W381" s="9"/>
      <c r="X381" s="9"/>
      <c r="Y381" s="9"/>
    </row>
    <row x14ac:dyDescent="0.25" r="382" customHeight="1" ht="18.75">
      <c r="A382" s="2" t="s">
        <v>329</v>
      </c>
      <c r="B382" s="3">
        <v>26</v>
      </c>
      <c r="C382" s="3">
        <v>4</v>
      </c>
      <c r="D382" s="3">
        <v>156</v>
      </c>
      <c r="E382" s="3">
        <v>92</v>
      </c>
      <c r="F382" s="3">
        <v>2585</v>
      </c>
      <c r="G382" s="11">
        <f>IFERROR(E382/F382, "")</f>
      </c>
      <c r="H382" s="11">
        <v>14.5</v>
      </c>
      <c r="I382" s="3">
        <v>82</v>
      </c>
      <c r="J382" s="2" t="s">
        <v>29</v>
      </c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9"/>
      <c r="V382" s="9"/>
      <c r="W382" s="9"/>
      <c r="X382" s="9"/>
      <c r="Y382" s="9"/>
    </row>
    <row x14ac:dyDescent="0.25" r="383" customHeight="1" ht="18.75">
      <c r="A383" s="2" t="s">
        <v>330</v>
      </c>
      <c r="B383" s="3">
        <v>36</v>
      </c>
      <c r="C383" s="3">
        <v>4</v>
      </c>
      <c r="D383" s="3">
        <v>135</v>
      </c>
      <c r="E383" s="3">
        <v>84</v>
      </c>
      <c r="F383" s="3">
        <v>2370</v>
      </c>
      <c r="G383" s="11">
        <f>IFERROR(E383/F383, "")</f>
      </c>
      <c r="H383" s="3">
        <v>13</v>
      </c>
      <c r="I383" s="3">
        <v>82</v>
      </c>
      <c r="J383" s="2" t="s">
        <v>29</v>
      </c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9"/>
      <c r="V383" s="9"/>
      <c r="W383" s="9"/>
      <c r="X383" s="9"/>
      <c r="Y383" s="9"/>
    </row>
    <row x14ac:dyDescent="0.25" r="384" customHeight="1" ht="18.75">
      <c r="A384" s="2" t="s">
        <v>331</v>
      </c>
      <c r="B384" s="3">
        <v>28</v>
      </c>
      <c r="C384" s="3">
        <v>4</v>
      </c>
      <c r="D384" s="3">
        <v>112</v>
      </c>
      <c r="E384" s="3">
        <v>88</v>
      </c>
      <c r="F384" s="3">
        <v>2605</v>
      </c>
      <c r="G384" s="11">
        <f>IFERROR(E384/F384, "")</f>
      </c>
      <c r="H384" s="11">
        <v>19.6</v>
      </c>
      <c r="I384" s="3">
        <v>82</v>
      </c>
      <c r="J384" s="2" t="s">
        <v>29</v>
      </c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9"/>
      <c r="V384" s="9"/>
      <c r="W384" s="9"/>
      <c r="X384" s="9"/>
      <c r="Y384" s="9"/>
    </row>
    <row x14ac:dyDescent="0.25" r="385" customHeight="1" ht="18.75">
      <c r="A385" s="2" t="s">
        <v>332</v>
      </c>
      <c r="B385" s="3">
        <v>27</v>
      </c>
      <c r="C385" s="3">
        <v>4</v>
      </c>
      <c r="D385" s="3">
        <v>112</v>
      </c>
      <c r="E385" s="3">
        <v>88</v>
      </c>
      <c r="F385" s="3">
        <v>2640</v>
      </c>
      <c r="G385" s="11">
        <f>IFERROR(E385/F385, "")</f>
      </c>
      <c r="H385" s="11">
        <v>18.6</v>
      </c>
      <c r="I385" s="3">
        <v>82</v>
      </c>
      <c r="J385" s="2" t="s">
        <v>29</v>
      </c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9"/>
      <c r="V385" s="9"/>
      <c r="W385" s="9"/>
      <c r="X385" s="9"/>
      <c r="Y385" s="9"/>
    </row>
    <row x14ac:dyDescent="0.25" r="386" customHeight="1" ht="18.75">
      <c r="A386" s="2" t="s">
        <v>333</v>
      </c>
      <c r="B386" s="3">
        <v>29</v>
      </c>
      <c r="C386" s="3">
        <v>4</v>
      </c>
      <c r="D386" s="3">
        <v>135</v>
      </c>
      <c r="E386" s="3">
        <v>84</v>
      </c>
      <c r="F386" s="3">
        <v>2525</v>
      </c>
      <c r="G386" s="11">
        <f>IFERROR(E386/F386, "")</f>
      </c>
      <c r="H386" s="3">
        <v>16</v>
      </c>
      <c r="I386" s="3">
        <v>82</v>
      </c>
      <c r="J386" s="2" t="s">
        <v>29</v>
      </c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9"/>
      <c r="V386" s="9"/>
      <c r="W386" s="9"/>
      <c r="X386" s="9"/>
      <c r="Y386" s="9"/>
    </row>
    <row x14ac:dyDescent="0.25" r="387" customHeight="1" ht="18.75">
      <c r="A387" s="2" t="s">
        <v>334</v>
      </c>
      <c r="B387" s="3">
        <v>31</v>
      </c>
      <c r="C387" s="3">
        <v>4</v>
      </c>
      <c r="D387" s="3">
        <v>112</v>
      </c>
      <c r="E387" s="3">
        <v>85</v>
      </c>
      <c r="F387" s="3">
        <v>2575</v>
      </c>
      <c r="G387" s="11">
        <f>IFERROR(E387/F387, "")</f>
      </c>
      <c r="H387" s="11">
        <v>16.2</v>
      </c>
      <c r="I387" s="3">
        <v>82</v>
      </c>
      <c r="J387" s="2" t="s">
        <v>29</v>
      </c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9"/>
      <c r="V387" s="9"/>
      <c r="W387" s="9"/>
      <c r="X387" s="9"/>
      <c r="Y387" s="9"/>
    </row>
    <row x14ac:dyDescent="0.25" r="388" customHeight="1" ht="18.75">
      <c r="A388" s="2" t="s">
        <v>335</v>
      </c>
      <c r="B388" s="3">
        <v>36</v>
      </c>
      <c r="C388" s="3">
        <v>4</v>
      </c>
      <c r="D388" s="3">
        <v>98</v>
      </c>
      <c r="E388" s="3">
        <v>70</v>
      </c>
      <c r="F388" s="3">
        <v>2125</v>
      </c>
      <c r="G388" s="11">
        <f>IFERROR(E388/F388, "")</f>
      </c>
      <c r="H388" s="11">
        <v>17.3</v>
      </c>
      <c r="I388" s="3">
        <v>82</v>
      </c>
      <c r="J388" s="2" t="s">
        <v>29</v>
      </c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9"/>
      <c r="V388" s="9"/>
      <c r="W388" s="9"/>
      <c r="X388" s="9"/>
      <c r="Y388" s="9"/>
    </row>
    <row x14ac:dyDescent="0.25" r="389" customHeight="1" ht="18.75">
      <c r="A389" s="2" t="s">
        <v>298</v>
      </c>
      <c r="B389" s="3">
        <v>27</v>
      </c>
      <c r="C389" s="3">
        <v>4</v>
      </c>
      <c r="D389" s="3">
        <v>151</v>
      </c>
      <c r="E389" s="3">
        <v>90</v>
      </c>
      <c r="F389" s="3">
        <v>2735</v>
      </c>
      <c r="G389" s="11">
        <f>IFERROR(E389/F389, "")</f>
      </c>
      <c r="H389" s="3">
        <v>18</v>
      </c>
      <c r="I389" s="3">
        <v>82</v>
      </c>
      <c r="J389" s="2" t="s">
        <v>29</v>
      </c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9"/>
      <c r="V389" s="9"/>
      <c r="W389" s="9"/>
      <c r="X389" s="9"/>
      <c r="Y389" s="9"/>
    </row>
    <row x14ac:dyDescent="0.25" r="390" customHeight="1" ht="18.75">
      <c r="A390" s="2" t="s">
        <v>336</v>
      </c>
      <c r="B390" s="3">
        <v>24</v>
      </c>
      <c r="C390" s="3">
        <v>4</v>
      </c>
      <c r="D390" s="3">
        <v>140</v>
      </c>
      <c r="E390" s="3">
        <v>92</v>
      </c>
      <c r="F390" s="3">
        <v>2865</v>
      </c>
      <c r="G390" s="11">
        <f>IFERROR(E390/F390, "")</f>
      </c>
      <c r="H390" s="11">
        <v>16.4</v>
      </c>
      <c r="I390" s="3">
        <v>82</v>
      </c>
      <c r="J390" s="2" t="s">
        <v>29</v>
      </c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9"/>
      <c r="V390" s="9"/>
      <c r="W390" s="9"/>
      <c r="X390" s="9"/>
      <c r="Y390" s="9"/>
    </row>
    <row x14ac:dyDescent="0.25" r="391" customHeight="1" ht="18.75">
      <c r="A391" s="2" t="s">
        <v>337</v>
      </c>
      <c r="B391" s="3">
        <v>27</v>
      </c>
      <c r="C391" s="3">
        <v>4</v>
      </c>
      <c r="D391" s="3">
        <v>140</v>
      </c>
      <c r="E391" s="3">
        <v>86</v>
      </c>
      <c r="F391" s="3">
        <v>2790</v>
      </c>
      <c r="G391" s="11">
        <f>IFERROR(E391/F391, "")</f>
      </c>
      <c r="H391" s="11">
        <v>15.6</v>
      </c>
      <c r="I391" s="3">
        <v>82</v>
      </c>
      <c r="J391" s="2" t="s">
        <v>29</v>
      </c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9"/>
      <c r="V391" s="9"/>
      <c r="W391" s="9"/>
      <c r="X391" s="9"/>
      <c r="Y391" s="9"/>
    </row>
    <row x14ac:dyDescent="0.25" r="392" customHeight="1" ht="18.75">
      <c r="A392" s="2" t="s">
        <v>338</v>
      </c>
      <c r="B392" s="3">
        <v>27</v>
      </c>
      <c r="C392" s="3">
        <v>4</v>
      </c>
      <c r="D392" s="3">
        <v>151</v>
      </c>
      <c r="E392" s="3">
        <v>90</v>
      </c>
      <c r="F392" s="3">
        <v>2950</v>
      </c>
      <c r="G392" s="11">
        <f>IFERROR(E392/F392, "")</f>
      </c>
      <c r="H392" s="11">
        <v>17.3</v>
      </c>
      <c r="I392" s="3">
        <v>82</v>
      </c>
      <c r="J392" s="2" t="s">
        <v>29</v>
      </c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9"/>
      <c r="V392" s="9"/>
      <c r="W392" s="9"/>
      <c r="X392" s="9"/>
      <c r="Y392" s="9"/>
    </row>
    <row x14ac:dyDescent="0.25" r="393" customHeight="1" ht="18.75">
      <c r="A393" s="2" t="s">
        <v>339</v>
      </c>
      <c r="B393" s="3">
        <v>31</v>
      </c>
      <c r="C393" s="3">
        <v>4</v>
      </c>
      <c r="D393" s="3">
        <v>119</v>
      </c>
      <c r="E393" s="3">
        <v>82</v>
      </c>
      <c r="F393" s="3">
        <v>2720</v>
      </c>
      <c r="G393" s="11">
        <f>IFERROR(E393/F393, "")</f>
      </c>
      <c r="H393" s="11">
        <v>19.4</v>
      </c>
      <c r="I393" s="3">
        <v>82</v>
      </c>
      <c r="J393" s="2" t="s">
        <v>29</v>
      </c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9"/>
      <c r="V393" s="9"/>
      <c r="W393" s="9"/>
      <c r="X393" s="9"/>
      <c r="Y393" s="9"/>
    </row>
    <row x14ac:dyDescent="0.25" r="394" customHeight="1" ht="18.75">
      <c r="A394" s="2" t="s">
        <v>340</v>
      </c>
      <c r="B394" s="3">
        <v>28</v>
      </c>
      <c r="C394" s="3">
        <v>4</v>
      </c>
      <c r="D394" s="3">
        <v>120</v>
      </c>
      <c r="E394" s="3">
        <v>79</v>
      </c>
      <c r="F394" s="3">
        <v>2625</v>
      </c>
      <c r="G394" s="11">
        <f>IFERROR(E394/F394, "")</f>
      </c>
      <c r="H394" s="11">
        <v>18.6</v>
      </c>
      <c r="I394" s="3">
        <v>82</v>
      </c>
      <c r="J394" s="2" t="s">
        <v>29</v>
      </c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9"/>
      <c r="V394" s="9"/>
      <c r="W394" s="9"/>
      <c r="X394" s="9"/>
      <c r="Y394" s="9"/>
    </row>
    <row x14ac:dyDescent="0.25" r="395" customHeight="1" ht="18.75">
      <c r="A395" s="2" t="s">
        <v>341</v>
      </c>
      <c r="B395" s="3">
        <v>38</v>
      </c>
      <c r="C395" s="3">
        <v>4</v>
      </c>
      <c r="D395" s="3">
        <v>105</v>
      </c>
      <c r="E395" s="3">
        <v>63</v>
      </c>
      <c r="F395" s="3">
        <v>2125</v>
      </c>
      <c r="G395" s="11">
        <f>IFERROR(E395/F395, "")</f>
      </c>
      <c r="H395" s="11">
        <v>14.7</v>
      </c>
      <c r="I395" s="3">
        <v>82</v>
      </c>
      <c r="J395" s="2" t="s">
        <v>29</v>
      </c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9"/>
      <c r="V395" s="9"/>
      <c r="W395" s="9"/>
      <c r="X395" s="9"/>
      <c r="Y395" s="9"/>
    </row>
    <row x14ac:dyDescent="0.25" r="396" customHeight="1" ht="18.75">
      <c r="A396" s="2" t="s">
        <v>342</v>
      </c>
      <c r="B396" s="3">
        <v>23</v>
      </c>
      <c r="C396" s="3">
        <v>4</v>
      </c>
      <c r="D396" s="3">
        <v>151</v>
      </c>
      <c r="E396" s="9"/>
      <c r="F396" s="3">
        <v>3035</v>
      </c>
      <c r="G396" s="3">
        <f>IFERROR(E396/F396, "")</f>
      </c>
      <c r="H396" s="11">
        <v>20.5</v>
      </c>
      <c r="I396" s="3">
        <v>82</v>
      </c>
      <c r="J396" s="2" t="s">
        <v>29</v>
      </c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9"/>
      <c r="V396" s="9"/>
      <c r="W396" s="9"/>
      <c r="X396" s="9"/>
      <c r="Y396" s="9"/>
    </row>
    <row x14ac:dyDescent="0.25" r="397" customHeight="1" ht="18.75">
      <c r="A397" s="2" t="s">
        <v>343</v>
      </c>
      <c r="B397" s="3">
        <v>22</v>
      </c>
      <c r="C397" s="3">
        <v>6</v>
      </c>
      <c r="D397" s="3">
        <v>232</v>
      </c>
      <c r="E397" s="3">
        <v>112</v>
      </c>
      <c r="F397" s="3">
        <v>2835</v>
      </c>
      <c r="G397" s="11">
        <f>IFERROR(E397/F397, "")</f>
      </c>
      <c r="H397" s="11">
        <v>14.7</v>
      </c>
      <c r="I397" s="3">
        <v>82</v>
      </c>
      <c r="J397" s="2" t="s">
        <v>29</v>
      </c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9"/>
      <c r="V397" s="9"/>
      <c r="W397" s="9"/>
      <c r="X397" s="9"/>
      <c r="Y397" s="9"/>
    </row>
    <row x14ac:dyDescent="0.25" r="398" customHeight="1" ht="18.75">
      <c r="A398" s="2" t="s">
        <v>344</v>
      </c>
      <c r="B398" s="3">
        <v>25</v>
      </c>
      <c r="C398" s="3">
        <v>6</v>
      </c>
      <c r="D398" s="3">
        <v>181</v>
      </c>
      <c r="E398" s="3">
        <v>110</v>
      </c>
      <c r="F398" s="3">
        <v>2945</v>
      </c>
      <c r="G398" s="11">
        <f>IFERROR(E398/F398, "")</f>
      </c>
      <c r="H398" s="11">
        <v>16.4</v>
      </c>
      <c r="I398" s="3">
        <v>82</v>
      </c>
      <c r="J398" s="2" t="s">
        <v>29</v>
      </c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9"/>
      <c r="V398" s="9"/>
      <c r="W398" s="9"/>
      <c r="X398" s="9"/>
      <c r="Y398" s="9"/>
    </row>
    <row x14ac:dyDescent="0.25" r="399" customHeight="1" ht="18.75">
      <c r="A399" s="2" t="s">
        <v>345</v>
      </c>
      <c r="B399" s="3">
        <v>38</v>
      </c>
      <c r="C399" s="3">
        <v>6</v>
      </c>
      <c r="D399" s="3">
        <v>262</v>
      </c>
      <c r="E399" s="3">
        <v>85</v>
      </c>
      <c r="F399" s="3">
        <v>3015</v>
      </c>
      <c r="G399" s="11">
        <f>IFERROR(E399/F399, "")</f>
      </c>
      <c r="H399" s="3">
        <v>17</v>
      </c>
      <c r="I399" s="3">
        <v>82</v>
      </c>
      <c r="J399" s="2" t="s">
        <v>29</v>
      </c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9"/>
      <c r="V399" s="9"/>
      <c r="W399" s="9"/>
      <c r="X399" s="9"/>
      <c r="Y399" s="9"/>
    </row>
    <row x14ac:dyDescent="0.25" r="400" customHeight="1" ht="18.75">
      <c r="A400" s="2"/>
      <c r="B400" s="7"/>
      <c r="C400" s="1"/>
      <c r="D400" s="9"/>
      <c r="E400" s="9"/>
      <c r="F400" s="9"/>
      <c r="G400" s="8"/>
      <c r="H400" s="9"/>
      <c r="I400" s="9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9"/>
      <c r="V400" s="9"/>
      <c r="W400" s="9"/>
      <c r="X400" s="9"/>
      <c r="Y400" s="9"/>
    </row>
    <row x14ac:dyDescent="0.25" r="401" customHeight="1" ht="18.75">
      <c r="A401" s="2"/>
      <c r="B401" s="7"/>
      <c r="C401" s="1"/>
      <c r="D401" s="9"/>
      <c r="E401" s="9"/>
      <c r="F401" s="9"/>
      <c r="G401" s="8"/>
      <c r="H401" s="9"/>
      <c r="I401" s="9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9"/>
      <c r="V401" s="9"/>
      <c r="W401" s="9"/>
      <c r="X401" s="9"/>
      <c r="Y401" s="9"/>
    </row>
    <row x14ac:dyDescent="0.25" r="402" customHeight="1" ht="18.75">
      <c r="A402" s="2" t="s">
        <v>461</v>
      </c>
      <c r="B402" s="7"/>
      <c r="C402" s="1"/>
      <c r="D402" s="9"/>
      <c r="E402" s="9"/>
      <c r="F402" s="9"/>
      <c r="G402" s="8"/>
      <c r="H402" s="9"/>
      <c r="I402" s="9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9"/>
      <c r="V402" s="9"/>
      <c r="W402" s="9"/>
      <c r="X402" s="9"/>
      <c r="Y402" s="9"/>
    </row>
    <row x14ac:dyDescent="0.25" r="403" customHeight="1" ht="18.75">
      <c r="A403" s="2" t="s">
        <v>462</v>
      </c>
      <c r="B403" s="7" t="s">
        <v>37</v>
      </c>
      <c r="C403" s="1" t="s">
        <v>463</v>
      </c>
      <c r="D403" s="9"/>
      <c r="E403" s="9"/>
      <c r="F403" s="9"/>
      <c r="G403" s="8"/>
      <c r="H403" s="9"/>
      <c r="I403" s="9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9"/>
      <c r="V403" s="9"/>
      <c r="W403" s="9"/>
      <c r="X403" s="9"/>
      <c r="Y403" s="9"/>
    </row>
    <row x14ac:dyDescent="0.25" r="404" customHeight="1" ht="18.75">
      <c r="A404" s="2" t="s">
        <v>163</v>
      </c>
      <c r="B404" s="11">
        <v>0.0729099157485418</v>
      </c>
      <c r="C404" s="3">
        <v>1</v>
      </c>
      <c r="D404" s="9"/>
      <c r="E404" s="9"/>
      <c r="F404" s="9"/>
      <c r="G404" s="8"/>
      <c r="H404" s="9"/>
      <c r="I404" s="9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9"/>
      <c r="V404" s="9"/>
      <c r="W404" s="9"/>
      <c r="X404" s="9"/>
      <c r="Y404" s="9"/>
    </row>
    <row x14ac:dyDescent="0.25" r="405" customHeight="1" ht="18.75">
      <c r="A405" s="2" t="s">
        <v>213</v>
      </c>
      <c r="B405" s="11">
        <v>0.053763440860215055</v>
      </c>
      <c r="C405" s="3">
        <v>2</v>
      </c>
      <c r="D405" s="9"/>
      <c r="E405" s="9"/>
      <c r="F405" s="9"/>
      <c r="G405" s="8"/>
      <c r="H405" s="9"/>
      <c r="I405" s="9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9"/>
      <c r="V405" s="9"/>
      <c r="W405" s="9"/>
      <c r="X405" s="9"/>
      <c r="Y405" s="9"/>
    </row>
    <row x14ac:dyDescent="0.25" r="406" customHeight="1" ht="18.75">
      <c r="A406" s="2" t="s">
        <v>164</v>
      </c>
      <c r="B406" s="11">
        <v>0.05084745762711865</v>
      </c>
      <c r="C406" s="3">
        <v>3</v>
      </c>
      <c r="D406" s="9"/>
      <c r="E406" s="9"/>
      <c r="F406" s="9"/>
      <c r="G406" s="8"/>
      <c r="H406" s="9"/>
      <c r="I406" s="9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9"/>
      <c r="V406" s="9"/>
      <c r="W406" s="9"/>
      <c r="X406" s="9"/>
      <c r="Y406" s="9"/>
    </row>
    <row x14ac:dyDescent="0.25" r="407" customHeight="1" ht="18.75">
      <c r="A407" s="2" t="s">
        <v>41</v>
      </c>
      <c r="B407" s="11">
        <v>0.050581915846016116</v>
      </c>
      <c r="C407" s="3">
        <v>4</v>
      </c>
      <c r="D407" s="9"/>
      <c r="E407" s="9"/>
      <c r="F407" s="9"/>
      <c r="G407" s="8"/>
      <c r="H407" s="9"/>
      <c r="I407" s="9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9"/>
      <c r="V407" s="9"/>
      <c r="W407" s="9"/>
      <c r="X407" s="9"/>
      <c r="Y407" s="9"/>
    </row>
    <row x14ac:dyDescent="0.25" r="408" customHeight="1" ht="18.75">
      <c r="A408" s="2" t="s">
        <v>165</v>
      </c>
      <c r="B408" s="11">
        <v>0.050528249885163065</v>
      </c>
      <c r="C408" s="3">
        <v>5</v>
      </c>
      <c r="D408" s="9"/>
      <c r="E408" s="9"/>
      <c r="F408" s="9"/>
      <c r="G408" s="8"/>
      <c r="H408" s="9"/>
      <c r="I408" s="9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9"/>
      <c r="V408" s="9"/>
      <c r="W408" s="9"/>
      <c r="X408" s="9"/>
      <c r="Y408" s="9"/>
    </row>
    <row x14ac:dyDescent="0.25" r="409" customHeight="1" ht="18.75">
      <c r="A409" s="2" t="s">
        <v>166</v>
      </c>
      <c r="B409" s="11">
        <v>0.049860853432282005</v>
      </c>
      <c r="C409" s="3">
        <v>6</v>
      </c>
      <c r="D409" s="9"/>
      <c r="E409" s="9"/>
      <c r="F409" s="9"/>
      <c r="G409" s="8"/>
      <c r="H409" s="9"/>
      <c r="I409" s="9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9"/>
      <c r="V409" s="9"/>
      <c r="W409" s="9"/>
      <c r="X409" s="9"/>
      <c r="Y409" s="9"/>
    </row>
    <row x14ac:dyDescent="0.25" r="410" customHeight="1" ht="18.75">
      <c r="A410" s="2" t="s">
        <v>167</v>
      </c>
      <c r="B410" s="11">
        <v>0.04935064935064935</v>
      </c>
      <c r="C410" s="3">
        <v>7</v>
      </c>
      <c r="D410" s="9"/>
      <c r="E410" s="9"/>
      <c r="F410" s="9"/>
      <c r="G410" s="8"/>
      <c r="H410" s="9"/>
      <c r="I410" s="9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9"/>
      <c r="V410" s="9"/>
      <c r="W410" s="9"/>
      <c r="X410" s="9"/>
      <c r="Y410" s="9"/>
    </row>
    <row x14ac:dyDescent="0.25" r="411" customHeight="1" ht="18.75">
      <c r="A411" s="2" t="s">
        <v>214</v>
      </c>
      <c r="B411" s="11">
        <v>0.04912663755458515</v>
      </c>
      <c r="C411" s="3">
        <v>8</v>
      </c>
      <c r="D411" s="9"/>
      <c r="E411" s="9"/>
      <c r="F411" s="9"/>
      <c r="G411" s="8"/>
      <c r="H411" s="9"/>
      <c r="I411" s="9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9"/>
      <c r="V411" s="9"/>
      <c r="W411" s="9"/>
      <c r="X411" s="9"/>
      <c r="Y411" s="9"/>
    </row>
    <row x14ac:dyDescent="0.25" r="412" customHeight="1" ht="18.75">
      <c r="A412" s="2" t="s">
        <v>283</v>
      </c>
      <c r="B412" s="11">
        <v>0.047895500725689405</v>
      </c>
      <c r="C412" s="3">
        <v>9</v>
      </c>
      <c r="D412" s="9"/>
      <c r="E412" s="9"/>
      <c r="F412" s="9"/>
      <c r="G412" s="8"/>
      <c r="H412" s="9"/>
      <c r="I412" s="9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9"/>
      <c r="V412" s="9"/>
      <c r="W412" s="9"/>
      <c r="X412" s="9"/>
      <c r="Y412" s="9"/>
    </row>
    <row x14ac:dyDescent="0.25" r="413" customHeight="1" ht="18.75">
      <c r="A413" s="2" t="s">
        <v>168</v>
      </c>
      <c r="B413" s="11">
        <v>0.04792332268370607</v>
      </c>
      <c r="C413" s="3">
        <v>10</v>
      </c>
      <c r="D413" s="9"/>
      <c r="E413" s="9"/>
      <c r="F413" s="9"/>
      <c r="G413" s="8"/>
      <c r="H413" s="9"/>
      <c r="I413" s="9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9"/>
      <c r="V413" s="9"/>
      <c r="W413" s="9"/>
      <c r="X413" s="9"/>
      <c r="Y413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R413"/>
  <sheetViews>
    <sheetView workbookViewId="0"/>
  </sheetViews>
  <sheetFormatPr defaultRowHeight="15" x14ac:dyDescent="0.25"/>
  <cols>
    <col min="1" max="1" style="14" width="13.576428571428572" customWidth="1" bestFit="1"/>
    <col min="2" max="2" style="15" width="9.43357142857143" customWidth="1" bestFit="1"/>
    <col min="3" max="3" style="5" width="11.576428571428572" customWidth="1" bestFit="1"/>
    <col min="4" max="4" style="5" width="13.576428571428572" customWidth="1" bestFit="1"/>
    <col min="5" max="5" style="16" width="13.576428571428572" customWidth="1" bestFit="1"/>
    <col min="6" max="6" style="15" width="17.290714285714284" customWidth="1" bestFit="1"/>
    <col min="7" max="7" style="16" width="7.433571428571429" customWidth="1" bestFit="1"/>
    <col min="8" max="8" style="16" width="17.290714285714284" customWidth="1" bestFit="1"/>
    <col min="9" max="9" style="15" width="9.147857142857141" customWidth="1" bestFit="1"/>
    <col min="10" max="10" style="15" width="23.14785714285714" customWidth="1" bestFit="1"/>
    <col min="11" max="11" style="15" width="11.719285714285713" customWidth="1" bestFit="1"/>
    <col min="12" max="12" style="15" width="11.719285714285713" customWidth="1" bestFit="1"/>
    <col min="13" max="13" style="5" width="13.576428571428572" customWidth="1" bestFit="1"/>
    <col min="14" max="14" style="5" width="13.576428571428572" customWidth="1" bestFit="1"/>
    <col min="15" max="15" style="15" width="13.576428571428572" customWidth="1" bestFit="1"/>
    <col min="16" max="16" style="15" width="11.862142857142858" customWidth="1" bestFit="1"/>
    <col min="17" max="17" style="15" width="13.576428571428572" customWidth="1" bestFit="1"/>
    <col min="18" max="18" style="15" width="13.576428571428572" customWidth="1" bestFit="1"/>
  </cols>
  <sheetData>
    <row x14ac:dyDescent="0.25" r="1" customHeight="1" ht="18.75" customFormat="1" s="17">
      <c r="A1" s="21" t="s">
        <v>33</v>
      </c>
      <c r="B1" s="41" t="s">
        <v>432</v>
      </c>
      <c r="C1" s="18" t="s">
        <v>446</v>
      </c>
      <c r="D1" s="18"/>
      <c r="E1" s="37"/>
      <c r="F1" s="21" t="s">
        <v>447</v>
      </c>
      <c r="G1" s="37"/>
      <c r="H1" s="37"/>
      <c r="I1" s="41"/>
      <c r="J1" s="41"/>
      <c r="K1" s="21" t="s">
        <v>448</v>
      </c>
      <c r="L1" s="41"/>
      <c r="M1" s="18"/>
      <c r="N1" s="18"/>
      <c r="O1" s="41"/>
      <c r="P1" s="21" t="s">
        <v>439</v>
      </c>
      <c r="Q1" s="41"/>
      <c r="R1" s="41"/>
    </row>
    <row x14ac:dyDescent="0.25" r="2" customHeight="1" ht="18.75">
      <c r="A2" s="3">
        <v>26</v>
      </c>
      <c r="B2" s="11">
        <f>IFERROR((A2-$P$3) / $R$3, "")</f>
      </c>
      <c r="C2" s="38">
        <f>IF(ABS(B2)&gt;2,"Yes","No")</f>
      </c>
      <c r="D2" s="2"/>
      <c r="E2" s="9" t="s">
        <v>449</v>
      </c>
      <c r="F2" s="8" t="s">
        <v>450</v>
      </c>
      <c r="G2" s="9" t="s">
        <v>390</v>
      </c>
      <c r="H2" s="9" t="s">
        <v>451</v>
      </c>
      <c r="I2" s="8" t="s">
        <v>398</v>
      </c>
      <c r="J2" s="8" t="s">
        <v>436</v>
      </c>
      <c r="K2" s="8" t="s">
        <v>452</v>
      </c>
      <c r="L2" s="8" t="s">
        <v>453</v>
      </c>
      <c r="M2" s="2"/>
      <c r="N2" s="2"/>
      <c r="O2" s="8" t="s">
        <v>399</v>
      </c>
      <c r="P2" s="8" t="s">
        <v>389</v>
      </c>
      <c r="Q2" s="8" t="s">
        <v>454</v>
      </c>
      <c r="R2" s="8" t="s">
        <v>455</v>
      </c>
    </row>
    <row x14ac:dyDescent="0.25" r="3" customHeight="1" ht="18.75">
      <c r="A3" s="3">
        <v>25</v>
      </c>
      <c r="B3" s="11">
        <f>IFERROR((A3-$P$3) / $R$3, "")</f>
      </c>
      <c r="C3" s="38">
        <f>IF(ABS(B3)&gt;2,"Yes","No")</f>
      </c>
      <c r="D3" s="2"/>
      <c r="E3" s="3">
        <f>MIN(A2:A399)</f>
      </c>
      <c r="F3" s="11">
        <f>_xlfn.QUARTILE.INC(A2:A399,1)</f>
      </c>
      <c r="G3" s="3">
        <f>MEDIAN(A2:A399)</f>
      </c>
      <c r="H3" s="3">
        <f>_xlfn.QUARTILE.INC(A2:A399,3)</f>
      </c>
      <c r="I3" s="11">
        <f>MAX(A2:A399)</f>
      </c>
      <c r="J3" s="11">
        <f>H3-F3</f>
      </c>
      <c r="K3" s="11">
        <f>F3-1.5*J3</f>
      </c>
      <c r="L3" s="11">
        <f>H3-1.5*J3</f>
      </c>
      <c r="M3" s="2"/>
      <c r="N3" s="2"/>
      <c r="O3" s="11">
        <f>SUM(A2:A399)</f>
      </c>
      <c r="P3" s="11">
        <f>O3/COUNT(A2:A399)</f>
      </c>
      <c r="Q3" s="11">
        <f>AVERAGE(A2:A399)</f>
      </c>
      <c r="R3" s="11">
        <f>STDEVP(A2:A399)</f>
      </c>
    </row>
    <row x14ac:dyDescent="0.25" r="4" customHeight="1" ht="18.75">
      <c r="A4" s="3">
        <v>24</v>
      </c>
      <c r="B4" s="11">
        <f>IFERROR((A4-$P$3) / $R$3, "")</f>
      </c>
      <c r="C4" s="38">
        <f>IF(ABS(B4)&gt;2,"Yes","No")</f>
      </c>
      <c r="D4" s="2"/>
      <c r="E4" s="9"/>
      <c r="F4" s="8"/>
      <c r="G4" s="9"/>
      <c r="H4" s="9"/>
      <c r="I4" s="8"/>
      <c r="J4" s="8"/>
      <c r="K4" s="8"/>
      <c r="L4" s="8"/>
      <c r="M4" s="2"/>
      <c r="N4" s="2"/>
      <c r="O4" s="8"/>
      <c r="P4" s="8"/>
      <c r="Q4" s="8"/>
      <c r="R4" s="8"/>
    </row>
    <row x14ac:dyDescent="0.25" r="5" customHeight="1" ht="18.75">
      <c r="A5" s="3">
        <v>25</v>
      </c>
      <c r="B5" s="11">
        <f>IFERROR((A5-$P$3) / $R$3, "")</f>
      </c>
      <c r="C5" s="38">
        <f>IF(ABS(B5)&gt;2,"Yes","No")</f>
      </c>
      <c r="D5" s="2"/>
      <c r="E5" s="9"/>
      <c r="F5" s="8"/>
      <c r="G5" s="9"/>
      <c r="H5" s="9"/>
      <c r="I5" s="8"/>
      <c r="J5" s="8"/>
      <c r="K5" s="8"/>
      <c r="L5" s="8"/>
      <c r="M5" s="2"/>
      <c r="N5" s="2"/>
      <c r="O5" s="8"/>
      <c r="P5" s="8"/>
      <c r="Q5" s="8"/>
      <c r="R5" s="8"/>
    </row>
    <row x14ac:dyDescent="0.25" r="6" customHeight="1" ht="18.75">
      <c r="A6" s="3">
        <v>26</v>
      </c>
      <c r="B6" s="11">
        <f>IFERROR((A6-$P$3) / $R$3, "")</f>
      </c>
      <c r="C6" s="38">
        <f>IF(ABS(B6)&gt;2,"Yes","No")</f>
      </c>
      <c r="D6" s="2"/>
      <c r="E6" s="9"/>
      <c r="F6" s="8"/>
      <c r="G6" s="9"/>
      <c r="H6" s="9"/>
      <c r="I6" s="8"/>
      <c r="J6" s="8"/>
      <c r="K6" s="8"/>
      <c r="L6" s="8"/>
      <c r="M6" s="2"/>
      <c r="N6" s="2"/>
      <c r="O6" s="8"/>
      <c r="P6" s="8"/>
      <c r="Q6" s="8"/>
      <c r="R6" s="8"/>
    </row>
    <row x14ac:dyDescent="0.25" r="7" customHeight="1" ht="18.75">
      <c r="A7" s="3">
        <v>28</v>
      </c>
      <c r="B7" s="11">
        <f>IFERROR((A7-$P$3) / $R$3, "")</f>
      </c>
      <c r="C7" s="38">
        <f>IF(ABS(B7)&gt;2,"Yes","No")</f>
      </c>
      <c r="D7" s="2"/>
      <c r="E7" s="9"/>
      <c r="F7" s="8"/>
      <c r="G7" s="9"/>
      <c r="H7" s="9"/>
      <c r="I7" s="8"/>
      <c r="J7" s="8"/>
      <c r="K7" s="8"/>
      <c r="L7" s="8"/>
      <c r="M7" s="2"/>
      <c r="N7" s="2"/>
      <c r="O7" s="8"/>
      <c r="P7" s="8"/>
      <c r="Q7" s="8"/>
      <c r="R7" s="8"/>
    </row>
    <row x14ac:dyDescent="0.25" r="8" customHeight="1" ht="18.75">
      <c r="A8" s="3">
        <v>30</v>
      </c>
      <c r="B8" s="11">
        <f>IFERROR((A8-$P$3) / $R$3, "")</f>
      </c>
      <c r="C8" s="38">
        <f>IF(ABS(B8)&gt;2,"Yes","No")</f>
      </c>
      <c r="D8" s="2"/>
      <c r="E8" s="9"/>
      <c r="F8" s="8"/>
      <c r="G8" s="9"/>
      <c r="H8" s="9"/>
      <c r="I8" s="8"/>
      <c r="J8" s="8"/>
      <c r="K8" s="8"/>
      <c r="L8" s="8"/>
      <c r="M8" s="2"/>
      <c r="N8" s="2"/>
      <c r="O8" s="8"/>
      <c r="P8" s="8"/>
      <c r="Q8" s="8"/>
      <c r="R8" s="8"/>
    </row>
    <row x14ac:dyDescent="0.25" r="9" customHeight="1" ht="18.75">
      <c r="A9" s="3">
        <v>30</v>
      </c>
      <c r="B9" s="11">
        <f>IFERROR((A9-$P$3) / $R$3, "")</f>
      </c>
      <c r="C9" s="38">
        <f>IF(ABS(B9)&gt;2,"Yes","No")</f>
      </c>
      <c r="D9" s="2"/>
      <c r="E9" s="9"/>
      <c r="F9" s="8"/>
      <c r="G9" s="9"/>
      <c r="H9" s="9"/>
      <c r="I9" s="8"/>
      <c r="J9" s="8"/>
      <c r="K9" s="8"/>
      <c r="L9" s="8"/>
      <c r="M9" s="2"/>
      <c r="N9" s="2"/>
      <c r="O9" s="8"/>
      <c r="P9" s="8"/>
      <c r="Q9" s="8"/>
      <c r="R9" s="8"/>
    </row>
    <row x14ac:dyDescent="0.25" r="10" customHeight="1" ht="18.75">
      <c r="A10" s="3">
        <v>27</v>
      </c>
      <c r="B10" s="11">
        <f>IFERROR((A10-$P$3) / $R$3, "")</f>
      </c>
      <c r="C10" s="38">
        <f>IF(ABS(B10)&gt;2,"Yes","No")</f>
      </c>
      <c r="D10" s="2"/>
      <c r="E10" s="9"/>
      <c r="F10" s="8"/>
      <c r="G10" s="9"/>
      <c r="H10" s="9"/>
      <c r="I10" s="8"/>
      <c r="J10" s="8"/>
      <c r="K10" s="8"/>
      <c r="L10" s="8"/>
      <c r="M10" s="2"/>
      <c r="N10" s="2"/>
      <c r="O10" s="8"/>
      <c r="P10" s="8"/>
      <c r="Q10" s="8"/>
      <c r="R10" s="8"/>
    </row>
    <row x14ac:dyDescent="0.25" r="11" customHeight="1" ht="18.75">
      <c r="A11" s="3">
        <v>18</v>
      </c>
      <c r="B11" s="11">
        <f>IFERROR((A11-$P$3) / $R$3, "")</f>
      </c>
      <c r="C11" s="38">
        <f>IF(ABS(B11)&gt;2,"Yes","No")</f>
      </c>
      <c r="D11" s="2"/>
      <c r="E11" s="9"/>
      <c r="F11" s="8"/>
      <c r="G11" s="9"/>
      <c r="H11" s="9"/>
      <c r="I11" s="8"/>
      <c r="J11" s="8"/>
      <c r="K11" s="8"/>
      <c r="L11" s="8"/>
      <c r="M11" s="2"/>
      <c r="N11" s="2"/>
      <c r="O11" s="8"/>
      <c r="P11" s="8"/>
      <c r="Q11" s="8"/>
      <c r="R11" s="8"/>
    </row>
    <row x14ac:dyDescent="0.25" r="12" customHeight="1" ht="18.75">
      <c r="A12" s="3">
        <v>26</v>
      </c>
      <c r="B12" s="11">
        <f>IFERROR((A12-$P$3) / $R$3, "")</f>
      </c>
      <c r="C12" s="38">
        <f>IF(ABS(B12)&gt;2,"Yes","No")</f>
      </c>
      <c r="D12" s="2"/>
      <c r="E12" s="9"/>
      <c r="F12" s="8"/>
      <c r="G12" s="9"/>
      <c r="H12" s="9"/>
      <c r="I12" s="8"/>
      <c r="J12" s="8"/>
      <c r="K12" s="8"/>
      <c r="L12" s="8"/>
      <c r="M12" s="2"/>
      <c r="N12" s="2"/>
      <c r="O12" s="8"/>
      <c r="P12" s="8"/>
      <c r="Q12" s="8"/>
      <c r="R12" s="8"/>
    </row>
    <row x14ac:dyDescent="0.25" r="13" customHeight="1" ht="18.75">
      <c r="A13" s="3">
        <v>22</v>
      </c>
      <c r="B13" s="11">
        <f>IFERROR((A13-$P$3) / $R$3, "")</f>
      </c>
      <c r="C13" s="38">
        <f>IF(ABS(B13)&gt;2,"Yes","No")</f>
      </c>
      <c r="D13" s="2"/>
      <c r="E13" s="9"/>
      <c r="F13" s="8"/>
      <c r="G13" s="9"/>
      <c r="H13" s="9"/>
      <c r="I13" s="8"/>
      <c r="J13" s="8"/>
      <c r="K13" s="8"/>
      <c r="L13" s="8"/>
      <c r="M13" s="2"/>
      <c r="N13" s="2"/>
      <c r="O13" s="8"/>
      <c r="P13" s="8"/>
      <c r="Q13" s="8"/>
      <c r="R13" s="8"/>
    </row>
    <row x14ac:dyDescent="0.25" r="14" customHeight="1" ht="18.75">
      <c r="A14" s="3">
        <v>21</v>
      </c>
      <c r="B14" s="11">
        <f>IFERROR((A14-$P$3) / $R$3, "")</f>
      </c>
      <c r="C14" s="38">
        <f>IF(ABS(B14)&gt;2,"Yes","No")</f>
      </c>
      <c r="D14" s="2"/>
      <c r="E14" s="9"/>
      <c r="F14" s="8"/>
      <c r="G14" s="9"/>
      <c r="H14" s="9"/>
      <c r="I14" s="8"/>
      <c r="J14" s="8"/>
      <c r="K14" s="8"/>
      <c r="L14" s="8"/>
      <c r="M14" s="2"/>
      <c r="N14" s="2"/>
      <c r="O14" s="8"/>
      <c r="P14" s="8"/>
      <c r="Q14" s="8"/>
      <c r="R14" s="8"/>
    </row>
    <row x14ac:dyDescent="0.25" r="15" customHeight="1" ht="18.75">
      <c r="A15" s="3">
        <v>23</v>
      </c>
      <c r="B15" s="11">
        <f>IFERROR((A15-$P$3) / $R$3, "")</f>
      </c>
      <c r="C15" s="38">
        <f>IF(ABS(B15)&gt;2,"Yes","No")</f>
      </c>
      <c r="D15" s="2"/>
      <c r="E15" s="9"/>
      <c r="F15" s="8"/>
      <c r="G15" s="9"/>
      <c r="H15" s="9"/>
      <c r="I15" s="8"/>
      <c r="J15" s="8"/>
      <c r="K15" s="8"/>
      <c r="L15" s="8"/>
      <c r="M15" s="2"/>
      <c r="N15" s="2"/>
      <c r="O15" s="8"/>
      <c r="P15" s="8"/>
      <c r="Q15" s="8"/>
      <c r="R15" s="8"/>
    </row>
    <row x14ac:dyDescent="0.25" r="16" customHeight="1" ht="18.75">
      <c r="A16" s="3">
        <v>24</v>
      </c>
      <c r="B16" s="11">
        <f>IFERROR((A16-$P$3) / $R$3, "")</f>
      </c>
      <c r="C16" s="38">
        <f>IF(ABS(B16)&gt;2,"Yes","No")</f>
      </c>
      <c r="D16" s="2"/>
      <c r="E16" s="9"/>
      <c r="F16" s="8"/>
      <c r="G16" s="9"/>
      <c r="H16" s="9"/>
      <c r="I16" s="8"/>
      <c r="J16" s="8"/>
      <c r="K16" s="8"/>
      <c r="L16" s="8"/>
      <c r="M16" s="2"/>
      <c r="N16" s="2"/>
      <c r="O16" s="8"/>
      <c r="P16" s="8"/>
      <c r="Q16" s="8"/>
      <c r="R16" s="8"/>
    </row>
    <row x14ac:dyDescent="0.25" r="17" customHeight="1" ht="18.75">
      <c r="A17" s="3">
        <v>26</v>
      </c>
      <c r="B17" s="11">
        <f>IFERROR((A17-$P$3) / $R$3, "")</f>
      </c>
      <c r="C17" s="38">
        <f>IF(ABS(B17)&gt;2,"Yes","No")</f>
      </c>
      <c r="D17" s="2"/>
      <c r="E17" s="9"/>
      <c r="F17" s="8"/>
      <c r="G17" s="9"/>
      <c r="H17" s="9"/>
      <c r="I17" s="8"/>
      <c r="J17" s="8"/>
      <c r="K17" s="8"/>
      <c r="L17" s="8"/>
      <c r="M17" s="2"/>
      <c r="N17" s="2"/>
      <c r="O17" s="8"/>
      <c r="P17" s="8"/>
      <c r="Q17" s="8"/>
      <c r="R17" s="8"/>
    </row>
    <row x14ac:dyDescent="0.25" r="18" customHeight="1" ht="18.75">
      <c r="A18" s="3">
        <v>19</v>
      </c>
      <c r="B18" s="11">
        <f>IFERROR((A18-$P$3) / $R$3, "")</f>
      </c>
      <c r="C18" s="38">
        <f>IF(ABS(B18)&gt;2,"Yes","No")</f>
      </c>
      <c r="D18" s="2"/>
      <c r="E18" s="9"/>
      <c r="F18" s="8"/>
      <c r="G18" s="9"/>
      <c r="H18" s="9"/>
      <c r="I18" s="8"/>
      <c r="J18" s="8"/>
      <c r="K18" s="8"/>
      <c r="L18" s="8"/>
      <c r="M18" s="2"/>
      <c r="N18" s="2"/>
      <c r="O18" s="8"/>
      <c r="P18" s="8"/>
      <c r="Q18" s="8"/>
      <c r="R18" s="8"/>
    </row>
    <row x14ac:dyDescent="0.25" r="19" customHeight="1" ht="18.75">
      <c r="A19" s="3">
        <v>20</v>
      </c>
      <c r="B19" s="11">
        <f>IFERROR((A19-$P$3) / $R$3, "")</f>
      </c>
      <c r="C19" s="38">
        <f>IF(ABS(B19)&gt;2,"Yes","No")</f>
      </c>
      <c r="D19" s="2"/>
      <c r="E19" s="9"/>
      <c r="F19" s="8"/>
      <c r="G19" s="9"/>
      <c r="H19" s="9"/>
      <c r="I19" s="8"/>
      <c r="J19" s="8"/>
      <c r="K19" s="8"/>
      <c r="L19" s="8"/>
      <c r="M19" s="2"/>
      <c r="N19" s="2"/>
      <c r="O19" s="8"/>
      <c r="P19" s="8"/>
      <c r="Q19" s="8"/>
      <c r="R19" s="8"/>
    </row>
    <row x14ac:dyDescent="0.25" r="20" customHeight="1" ht="18.75">
      <c r="A20" s="3">
        <v>24</v>
      </c>
      <c r="B20" s="11">
        <f>IFERROR((A20-$P$3) / $R$3, "")</f>
      </c>
      <c r="C20" s="38">
        <f>IF(ABS(B20)&gt;2,"Yes","No")</f>
      </c>
      <c r="D20" s="2"/>
      <c r="E20" s="9"/>
      <c r="F20" s="8"/>
      <c r="G20" s="9"/>
      <c r="H20" s="9"/>
      <c r="I20" s="8"/>
      <c r="J20" s="8"/>
      <c r="K20" s="8"/>
      <c r="L20" s="8"/>
      <c r="M20" s="2"/>
      <c r="N20" s="2"/>
      <c r="O20" s="8"/>
      <c r="P20" s="8"/>
      <c r="Q20" s="8"/>
      <c r="R20" s="8"/>
    </row>
    <row x14ac:dyDescent="0.25" r="21" customHeight="1" ht="18.75">
      <c r="A21" s="3">
        <v>29</v>
      </c>
      <c r="B21" s="11">
        <f>IFERROR((A21-$P$3) / $R$3, "")</f>
      </c>
      <c r="C21" s="38">
        <f>IF(ABS(B21)&gt;2,"Yes","No")</f>
      </c>
      <c r="D21" s="2"/>
      <c r="E21" s="9"/>
      <c r="F21" s="8"/>
      <c r="G21" s="9"/>
      <c r="H21" s="9"/>
      <c r="I21" s="8"/>
      <c r="J21" s="8"/>
      <c r="K21" s="8"/>
      <c r="L21" s="8"/>
      <c r="M21" s="2"/>
      <c r="N21" s="2"/>
      <c r="O21" s="8"/>
      <c r="P21" s="8"/>
      <c r="Q21" s="8"/>
      <c r="R21" s="8"/>
    </row>
    <row x14ac:dyDescent="0.25" r="22" customHeight="1" ht="18.75">
      <c r="A22" s="3">
        <v>26</v>
      </c>
      <c r="B22" s="11">
        <f>IFERROR((A22-$P$3) / $R$3, "")</f>
      </c>
      <c r="C22" s="38">
        <f>IF(ABS(B22)&gt;2,"Yes","No")</f>
      </c>
      <c r="D22" s="2"/>
      <c r="E22" s="9"/>
      <c r="F22" s="8"/>
      <c r="G22" s="9"/>
      <c r="H22" s="9"/>
      <c r="I22" s="8"/>
      <c r="J22" s="8"/>
      <c r="K22" s="8"/>
      <c r="L22" s="8"/>
      <c r="M22" s="2"/>
      <c r="N22" s="2"/>
      <c r="O22" s="8"/>
      <c r="P22" s="8"/>
      <c r="Q22" s="8"/>
      <c r="R22" s="8"/>
    </row>
    <row x14ac:dyDescent="0.25" r="23" customHeight="1" ht="18.75">
      <c r="A23" s="3">
        <v>29</v>
      </c>
      <c r="B23" s="11">
        <f>IFERROR((A23-$P$3) / $R$3, "")</f>
      </c>
      <c r="C23" s="38">
        <f>IF(ABS(B23)&gt;2,"Yes","No")</f>
      </c>
      <c r="D23" s="2"/>
      <c r="E23" s="9"/>
      <c r="F23" s="8"/>
      <c r="G23" s="9"/>
      <c r="H23" s="9"/>
      <c r="I23" s="8"/>
      <c r="J23" s="8"/>
      <c r="K23" s="8"/>
      <c r="L23" s="8"/>
      <c r="M23" s="2"/>
      <c r="N23" s="2"/>
      <c r="O23" s="8"/>
      <c r="P23" s="8"/>
      <c r="Q23" s="8"/>
      <c r="R23" s="8"/>
    </row>
    <row x14ac:dyDescent="0.25" r="24" customHeight="1" ht="18.75">
      <c r="A24" s="3">
        <v>24</v>
      </c>
      <c r="B24" s="11">
        <f>IFERROR((A24-$P$3) / $R$3, "")</f>
      </c>
      <c r="C24" s="38">
        <f>IF(ABS(B24)&gt;2,"Yes","No")</f>
      </c>
      <c r="D24" s="2"/>
      <c r="E24" s="9"/>
      <c r="F24" s="8"/>
      <c r="G24" s="9"/>
      <c r="H24" s="9"/>
      <c r="I24" s="8"/>
      <c r="J24" s="8"/>
      <c r="K24" s="8"/>
      <c r="L24" s="8"/>
      <c r="M24" s="2"/>
      <c r="N24" s="2"/>
      <c r="O24" s="8"/>
      <c r="P24" s="8"/>
      <c r="Q24" s="8"/>
      <c r="R24" s="8"/>
    </row>
    <row x14ac:dyDescent="0.25" r="25" customHeight="1" ht="18.75">
      <c r="A25" s="3">
        <v>26</v>
      </c>
      <c r="B25" s="11">
        <f>IFERROR((A25-$P$3) / $R$3, "")</f>
      </c>
      <c r="C25" s="38">
        <f>IF(ABS(B25)&gt;2,"Yes","No")</f>
      </c>
      <c r="D25" s="2"/>
      <c r="E25" s="9"/>
      <c r="F25" s="8"/>
      <c r="G25" s="9"/>
      <c r="H25" s="9"/>
      <c r="I25" s="8"/>
      <c r="J25" s="8"/>
      <c r="K25" s="8"/>
      <c r="L25" s="8"/>
      <c r="M25" s="2"/>
      <c r="N25" s="2"/>
      <c r="O25" s="8"/>
      <c r="P25" s="8"/>
      <c r="Q25" s="8"/>
      <c r="R25" s="8"/>
    </row>
    <row x14ac:dyDescent="0.25" r="26" customHeight="1" ht="18.75">
      <c r="A26" s="3">
        <v>26</v>
      </c>
      <c r="B26" s="11">
        <f>IFERROR((A26-$P$3) / $R$3, "")</f>
      </c>
      <c r="C26" s="38">
        <f>IF(ABS(B26)&gt;2,"Yes","No")</f>
      </c>
      <c r="D26" s="2"/>
      <c r="E26" s="9"/>
      <c r="F26" s="8"/>
      <c r="G26" s="9"/>
      <c r="H26" s="9"/>
      <c r="I26" s="8"/>
      <c r="J26" s="8"/>
      <c r="K26" s="8"/>
      <c r="L26" s="8"/>
      <c r="M26" s="2"/>
      <c r="N26" s="2"/>
      <c r="O26" s="8"/>
      <c r="P26" s="8"/>
      <c r="Q26" s="8"/>
      <c r="R26" s="8"/>
    </row>
    <row x14ac:dyDescent="0.25" r="27" customHeight="1" ht="18.75">
      <c r="A27" s="3">
        <v>31</v>
      </c>
      <c r="B27" s="11">
        <f>IFERROR((A27-$P$3) / $R$3, "")</f>
      </c>
      <c r="C27" s="38">
        <f>IF(ABS(B27)&gt;2,"Yes","No")</f>
      </c>
      <c r="D27" s="2"/>
      <c r="E27" s="9"/>
      <c r="F27" s="8"/>
      <c r="G27" s="9"/>
      <c r="H27" s="9"/>
      <c r="I27" s="8"/>
      <c r="J27" s="8"/>
      <c r="K27" s="8"/>
      <c r="L27" s="8"/>
      <c r="M27" s="2"/>
      <c r="N27" s="2"/>
      <c r="O27" s="8"/>
      <c r="P27" s="8"/>
      <c r="Q27" s="8"/>
      <c r="R27" s="8"/>
    </row>
    <row x14ac:dyDescent="0.25" r="28" customHeight="1" ht="18.75">
      <c r="A28" s="3">
        <v>26</v>
      </c>
      <c r="B28" s="11">
        <f>IFERROR((A28-$P$3) / $R$3, "")</f>
      </c>
      <c r="C28" s="38">
        <f>IF(ABS(B28)&gt;2,"Yes","No")</f>
      </c>
      <c r="D28" s="2"/>
      <c r="E28" s="9"/>
      <c r="F28" s="8"/>
      <c r="G28" s="9"/>
      <c r="H28" s="9"/>
      <c r="I28" s="8"/>
      <c r="J28" s="8"/>
      <c r="K28" s="8"/>
      <c r="L28" s="8"/>
      <c r="M28" s="2"/>
      <c r="N28" s="2"/>
      <c r="O28" s="8"/>
      <c r="P28" s="8"/>
      <c r="Q28" s="8"/>
      <c r="R28" s="8"/>
    </row>
    <row x14ac:dyDescent="0.25" r="29" customHeight="1" ht="18.75">
      <c r="A29" s="3">
        <v>25</v>
      </c>
      <c r="B29" s="11">
        <f>IFERROR((A29-$P$3) / $R$3, "")</f>
      </c>
      <c r="C29" s="38">
        <f>IF(ABS(B29)&gt;2,"Yes","No")</f>
      </c>
      <c r="D29" s="2"/>
      <c r="E29" s="9"/>
      <c r="F29" s="8"/>
      <c r="G29" s="9"/>
      <c r="H29" s="9"/>
      <c r="I29" s="8"/>
      <c r="J29" s="8"/>
      <c r="K29" s="8"/>
      <c r="L29" s="8"/>
      <c r="M29" s="2"/>
      <c r="N29" s="2"/>
      <c r="O29" s="8"/>
      <c r="P29" s="8"/>
      <c r="Q29" s="8"/>
      <c r="R29" s="8"/>
    </row>
    <row x14ac:dyDescent="0.25" r="30" customHeight="1" ht="18.75">
      <c r="A30" s="3">
        <v>29</v>
      </c>
      <c r="B30" s="11">
        <f>IFERROR((A30-$P$3) / $R$3, "")</f>
      </c>
      <c r="C30" s="38">
        <f>IF(ABS(B30)&gt;2,"Yes","No")</f>
      </c>
      <c r="D30" s="2"/>
      <c r="E30" s="9"/>
      <c r="F30" s="8"/>
      <c r="G30" s="9"/>
      <c r="H30" s="9"/>
      <c r="I30" s="8"/>
      <c r="J30" s="8"/>
      <c r="K30" s="8"/>
      <c r="L30" s="8"/>
      <c r="M30" s="2"/>
      <c r="N30" s="2"/>
      <c r="O30" s="8"/>
      <c r="P30" s="8"/>
      <c r="Q30" s="8"/>
      <c r="R30" s="8"/>
    </row>
    <row x14ac:dyDescent="0.25" r="31" customHeight="1" ht="18.75">
      <c r="A31" s="3">
        <v>23</v>
      </c>
      <c r="B31" s="11">
        <f>IFERROR((A31-$P$3) / $R$3, "")</f>
      </c>
      <c r="C31" s="38">
        <f>IF(ABS(B31)&gt;2,"Yes","No")</f>
      </c>
      <c r="D31" s="2"/>
      <c r="E31" s="9"/>
      <c r="F31" s="8"/>
      <c r="G31" s="9"/>
      <c r="H31" s="9"/>
      <c r="I31" s="8"/>
      <c r="J31" s="8"/>
      <c r="K31" s="8"/>
      <c r="L31" s="8"/>
      <c r="M31" s="2"/>
      <c r="N31" s="2"/>
      <c r="O31" s="8"/>
      <c r="P31" s="8"/>
      <c r="Q31" s="8"/>
      <c r="R31" s="8"/>
    </row>
    <row x14ac:dyDescent="0.25" r="32" customHeight="1" ht="18.75">
      <c r="A32" s="3">
        <v>22</v>
      </c>
      <c r="B32" s="11">
        <f>IFERROR((A32-$P$3) / $R$3, "")</f>
      </c>
      <c r="C32" s="38">
        <f>IF(ABS(B32)&gt;2,"Yes","No")</f>
      </c>
      <c r="D32" s="2"/>
      <c r="E32" s="9"/>
      <c r="F32" s="8"/>
      <c r="G32" s="9"/>
      <c r="H32" s="9"/>
      <c r="I32" s="8"/>
      <c r="J32" s="8"/>
      <c r="K32" s="8"/>
      <c r="L32" s="8"/>
      <c r="M32" s="2"/>
      <c r="N32" s="2"/>
      <c r="O32" s="8"/>
      <c r="P32" s="8"/>
      <c r="Q32" s="8"/>
      <c r="R32" s="8"/>
    </row>
    <row x14ac:dyDescent="0.25" r="33" customHeight="1" ht="18.75">
      <c r="A33" s="3">
        <v>25</v>
      </c>
      <c r="B33" s="11">
        <f>IFERROR((A33-$P$3) / $R$3, "")</f>
      </c>
      <c r="C33" s="38">
        <f>IF(ABS(B33)&gt;2,"Yes","No")</f>
      </c>
      <c r="D33" s="2"/>
      <c r="E33" s="9"/>
      <c r="F33" s="8"/>
      <c r="G33" s="9"/>
      <c r="H33" s="9"/>
      <c r="I33" s="8"/>
      <c r="J33" s="8"/>
      <c r="K33" s="8"/>
      <c r="L33" s="8"/>
      <c r="M33" s="2"/>
      <c r="N33" s="2"/>
      <c r="O33" s="8"/>
      <c r="P33" s="8"/>
      <c r="Q33" s="8"/>
      <c r="R33" s="8"/>
    </row>
    <row x14ac:dyDescent="0.25" r="34" customHeight="1" ht="18.75">
      <c r="A34" s="3">
        <v>23</v>
      </c>
      <c r="B34" s="11">
        <f>IFERROR((A34-$P$3) / $R$3, "")</f>
      </c>
      <c r="C34" s="38">
        <f>IF(ABS(B34)&gt;2,"Yes","No")</f>
      </c>
      <c r="D34" s="2"/>
      <c r="E34" s="9"/>
      <c r="F34" s="8"/>
      <c r="G34" s="9"/>
      <c r="H34" s="9"/>
      <c r="I34" s="8"/>
      <c r="J34" s="8"/>
      <c r="K34" s="8"/>
      <c r="L34" s="8"/>
      <c r="M34" s="2"/>
      <c r="N34" s="2"/>
      <c r="O34" s="8"/>
      <c r="P34" s="8"/>
      <c r="Q34" s="8"/>
      <c r="R34" s="8"/>
    </row>
    <row x14ac:dyDescent="0.25" r="35" customHeight="1" ht="18.75">
      <c r="A35" s="11">
        <v>29.5</v>
      </c>
      <c r="B35" s="11">
        <f>IFERROR((A35-$P$3) / $R$3, "")</f>
      </c>
      <c r="C35" s="38">
        <f>IF(ABS(B35)&gt;2,"Yes","No")</f>
      </c>
      <c r="D35" s="2"/>
      <c r="E35" s="9"/>
      <c r="F35" s="8"/>
      <c r="G35" s="9"/>
      <c r="H35" s="9"/>
      <c r="I35" s="8"/>
      <c r="J35" s="8"/>
      <c r="K35" s="8"/>
      <c r="L35" s="8"/>
      <c r="M35" s="2"/>
      <c r="N35" s="2"/>
      <c r="O35" s="8"/>
      <c r="P35" s="8"/>
      <c r="Q35" s="8"/>
      <c r="R35" s="8"/>
    </row>
    <row x14ac:dyDescent="0.25" r="36" customHeight="1" ht="18.75">
      <c r="A36" s="3">
        <v>27</v>
      </c>
      <c r="B36" s="11">
        <f>IFERROR((A36-$P$3) / $R$3, "")</f>
      </c>
      <c r="C36" s="38">
        <f>IF(ABS(B36)&gt;2,"Yes","No")</f>
      </c>
      <c r="D36" s="2"/>
      <c r="E36" s="9"/>
      <c r="F36" s="8"/>
      <c r="G36" s="9"/>
      <c r="H36" s="9"/>
      <c r="I36" s="8"/>
      <c r="J36" s="8"/>
      <c r="K36" s="8"/>
      <c r="L36" s="8"/>
      <c r="M36" s="2"/>
      <c r="N36" s="2"/>
      <c r="O36" s="8"/>
      <c r="P36" s="8"/>
      <c r="Q36" s="8"/>
      <c r="R36" s="8"/>
    </row>
    <row x14ac:dyDescent="0.25" r="37" customHeight="1" ht="18.75">
      <c r="A37" s="3">
        <v>25</v>
      </c>
      <c r="B37" s="11">
        <f>IFERROR((A37-$P$3) / $R$3, "")</f>
      </c>
      <c r="C37" s="38">
        <f>IF(ABS(B37)&gt;2,"Yes","No")</f>
      </c>
      <c r="D37" s="2"/>
      <c r="E37" s="9"/>
      <c r="F37" s="8"/>
      <c r="G37" s="9"/>
      <c r="H37" s="9"/>
      <c r="I37" s="8"/>
      <c r="J37" s="8"/>
      <c r="K37" s="8"/>
      <c r="L37" s="8"/>
      <c r="M37" s="2"/>
      <c r="N37" s="2"/>
      <c r="O37" s="8"/>
      <c r="P37" s="8"/>
      <c r="Q37" s="8"/>
      <c r="R37" s="8"/>
    </row>
    <row x14ac:dyDescent="0.25" r="38" customHeight="1" ht="18.75">
      <c r="A38" s="3">
        <v>29</v>
      </c>
      <c r="B38" s="11">
        <f>IFERROR((A38-$P$3) / $R$3, "")</f>
      </c>
      <c r="C38" s="38">
        <f>IF(ABS(B38)&gt;2,"Yes","No")</f>
      </c>
      <c r="D38" s="2"/>
      <c r="E38" s="9"/>
      <c r="F38" s="8"/>
      <c r="G38" s="9"/>
      <c r="H38" s="9"/>
      <c r="I38" s="8"/>
      <c r="J38" s="8"/>
      <c r="K38" s="8"/>
      <c r="L38" s="8"/>
      <c r="M38" s="2"/>
      <c r="N38" s="2"/>
      <c r="O38" s="8"/>
      <c r="P38" s="8"/>
      <c r="Q38" s="8"/>
      <c r="R38" s="8"/>
    </row>
    <row x14ac:dyDescent="0.25" r="39" customHeight="1" ht="18.75">
      <c r="A39" s="3">
        <v>28</v>
      </c>
      <c r="B39" s="11">
        <f>IFERROR((A39-$P$3) / $R$3, "")</f>
      </c>
      <c r="C39" s="38">
        <f>IF(ABS(B39)&gt;2,"Yes","No")</f>
      </c>
      <c r="D39" s="2"/>
      <c r="E39" s="9"/>
      <c r="F39" s="8"/>
      <c r="G39" s="9"/>
      <c r="H39" s="9"/>
      <c r="I39" s="8"/>
      <c r="J39" s="8"/>
      <c r="K39" s="8"/>
      <c r="L39" s="8"/>
      <c r="M39" s="2"/>
      <c r="N39" s="2"/>
      <c r="O39" s="8"/>
      <c r="P39" s="8"/>
      <c r="Q39" s="8"/>
      <c r="R39" s="8"/>
    </row>
    <row x14ac:dyDescent="0.25" r="40" customHeight="1" ht="18.75">
      <c r="A40" s="3">
        <v>20</v>
      </c>
      <c r="B40" s="11">
        <f>IFERROR((A40-$P$3) / $R$3, "")</f>
      </c>
      <c r="C40" s="38">
        <f>IF(ABS(B40)&gt;2,"Yes","No")</f>
      </c>
      <c r="D40" s="2"/>
      <c r="E40" s="9"/>
      <c r="F40" s="8"/>
      <c r="G40" s="9"/>
      <c r="H40" s="9"/>
      <c r="I40" s="8"/>
      <c r="J40" s="8"/>
      <c r="K40" s="8"/>
      <c r="L40" s="8"/>
      <c r="M40" s="2"/>
      <c r="N40" s="2"/>
      <c r="O40" s="8"/>
      <c r="P40" s="8"/>
      <c r="Q40" s="8"/>
      <c r="R40" s="8"/>
    </row>
    <row x14ac:dyDescent="0.25" r="41" customHeight="1" ht="18.75">
      <c r="A41" s="3">
        <v>19</v>
      </c>
      <c r="B41" s="11">
        <f>IFERROR((A41-$P$3) / $R$3, "")</f>
      </c>
      <c r="C41" s="38">
        <f>IF(ABS(B41)&gt;2,"Yes","No")</f>
      </c>
      <c r="D41" s="2"/>
      <c r="E41" s="9"/>
      <c r="F41" s="8"/>
      <c r="G41" s="9"/>
      <c r="H41" s="9"/>
      <c r="I41" s="8"/>
      <c r="J41" s="8"/>
      <c r="K41" s="8"/>
      <c r="L41" s="8"/>
      <c r="M41" s="2"/>
      <c r="N41" s="2"/>
      <c r="O41" s="8"/>
      <c r="P41" s="8"/>
      <c r="Q41" s="8"/>
      <c r="R41" s="8"/>
    </row>
    <row x14ac:dyDescent="0.25" r="42" customHeight="1" ht="18.75">
      <c r="A42" s="11">
        <v>16.5</v>
      </c>
      <c r="B42" s="11">
        <f>IFERROR((A42-$P$3) / $R$3, "")</f>
      </c>
      <c r="C42" s="38">
        <f>IF(ABS(B42)&gt;2,"Yes","No")</f>
      </c>
      <c r="D42" s="2"/>
      <c r="E42" s="9"/>
      <c r="F42" s="8"/>
      <c r="G42" s="9"/>
      <c r="H42" s="9"/>
      <c r="I42" s="8"/>
      <c r="J42" s="8"/>
      <c r="K42" s="8"/>
      <c r="L42" s="8"/>
      <c r="M42" s="2"/>
      <c r="N42" s="2"/>
      <c r="O42" s="8"/>
      <c r="P42" s="8"/>
      <c r="Q42" s="8"/>
      <c r="R42" s="8"/>
    </row>
    <row x14ac:dyDescent="0.25" r="43" customHeight="1" ht="18.75">
      <c r="A43" s="11">
        <v>21.5</v>
      </c>
      <c r="B43" s="11">
        <f>IFERROR((A43-$P$3) / $R$3, "")</f>
      </c>
      <c r="C43" s="38">
        <f>IF(ABS(B43)&gt;2,"Yes","No")</f>
      </c>
      <c r="D43" s="2"/>
      <c r="E43" s="9"/>
      <c r="F43" s="8"/>
      <c r="G43" s="9"/>
      <c r="H43" s="9"/>
      <c r="I43" s="8"/>
      <c r="J43" s="8"/>
      <c r="K43" s="8"/>
      <c r="L43" s="8"/>
      <c r="M43" s="2"/>
      <c r="N43" s="2"/>
      <c r="O43" s="8"/>
      <c r="P43" s="8"/>
      <c r="Q43" s="8"/>
      <c r="R43" s="8"/>
    </row>
    <row x14ac:dyDescent="0.25" r="44" customHeight="1" ht="18.75">
      <c r="A44" s="3">
        <v>29</v>
      </c>
      <c r="B44" s="11">
        <f>IFERROR((A44-$P$3) / $R$3, "")</f>
      </c>
      <c r="C44" s="38">
        <f>IF(ABS(B44)&gt;2,"Yes","No")</f>
      </c>
      <c r="D44" s="2"/>
      <c r="E44" s="9"/>
      <c r="F44" s="8"/>
      <c r="G44" s="9"/>
      <c r="H44" s="9"/>
      <c r="I44" s="8"/>
      <c r="J44" s="8"/>
      <c r="K44" s="8"/>
      <c r="L44" s="8"/>
      <c r="M44" s="2"/>
      <c r="N44" s="2"/>
      <c r="O44" s="8"/>
      <c r="P44" s="8"/>
      <c r="Q44" s="8"/>
      <c r="R44" s="8"/>
    </row>
    <row x14ac:dyDescent="0.25" r="45" customHeight="1" ht="18.75">
      <c r="A45" s="11">
        <v>30.5</v>
      </c>
      <c r="B45" s="11">
        <f>IFERROR((A45-$P$3) / $R$3, "")</f>
      </c>
      <c r="C45" s="38">
        <f>IF(ABS(B45)&gt;2,"Yes","No")</f>
      </c>
      <c r="D45" s="2"/>
      <c r="E45" s="9"/>
      <c r="F45" s="8"/>
      <c r="G45" s="9"/>
      <c r="H45" s="9"/>
      <c r="I45" s="8"/>
      <c r="J45" s="8"/>
      <c r="K45" s="8"/>
      <c r="L45" s="8"/>
      <c r="M45" s="2"/>
      <c r="N45" s="2"/>
      <c r="O45" s="8"/>
      <c r="P45" s="8"/>
      <c r="Q45" s="8"/>
      <c r="R45" s="8"/>
    </row>
    <row x14ac:dyDescent="0.25" r="46" customHeight="1" ht="18.75">
      <c r="A46" s="3">
        <v>36</v>
      </c>
      <c r="B46" s="11">
        <f>IFERROR((A46-$P$3) / $R$3, "")</f>
      </c>
      <c r="C46" s="38">
        <f>IF(ABS(B46)&gt;2,"Yes","No")</f>
      </c>
      <c r="D46" s="2"/>
      <c r="E46" s="9"/>
      <c r="F46" s="8"/>
      <c r="G46" s="9"/>
      <c r="H46" s="9"/>
      <c r="I46" s="8"/>
      <c r="J46" s="8"/>
      <c r="K46" s="8"/>
      <c r="L46" s="8"/>
      <c r="M46" s="2"/>
      <c r="N46" s="2"/>
      <c r="O46" s="8"/>
      <c r="P46" s="8"/>
      <c r="Q46" s="8"/>
      <c r="R46" s="8"/>
    </row>
    <row x14ac:dyDescent="0.25" r="47" customHeight="1" ht="18.75">
      <c r="A47" s="11">
        <v>21.6</v>
      </c>
      <c r="B47" s="11">
        <f>IFERROR((A47-$P$3) / $R$3, "")</f>
      </c>
      <c r="C47" s="38">
        <f>IF(ABS(B47)&gt;2,"Yes","No")</f>
      </c>
      <c r="D47" s="2"/>
      <c r="E47" s="9"/>
      <c r="F47" s="8"/>
      <c r="G47" s="9"/>
      <c r="H47" s="9"/>
      <c r="I47" s="8"/>
      <c r="J47" s="8"/>
      <c r="K47" s="8"/>
      <c r="L47" s="8"/>
      <c r="M47" s="2"/>
      <c r="N47" s="2"/>
      <c r="O47" s="8"/>
      <c r="P47" s="8"/>
      <c r="Q47" s="8"/>
      <c r="R47" s="8"/>
    </row>
    <row x14ac:dyDescent="0.25" r="48" customHeight="1" ht="18.75">
      <c r="A48" s="11">
        <v>31.5</v>
      </c>
      <c r="B48" s="11">
        <f>IFERROR((A48-$P$3) / $R$3, "")</f>
      </c>
      <c r="C48" s="38">
        <f>IF(ABS(B48)&gt;2,"Yes","No")</f>
      </c>
      <c r="D48" s="2"/>
      <c r="E48" s="9"/>
      <c r="F48" s="8"/>
      <c r="G48" s="9"/>
      <c r="H48" s="9"/>
      <c r="I48" s="8"/>
      <c r="J48" s="8"/>
      <c r="K48" s="8"/>
      <c r="L48" s="8"/>
      <c r="M48" s="2"/>
      <c r="N48" s="2"/>
      <c r="O48" s="8"/>
      <c r="P48" s="8"/>
      <c r="Q48" s="8"/>
      <c r="R48" s="8"/>
    </row>
    <row x14ac:dyDescent="0.25" r="49" customHeight="1" ht="18.75">
      <c r="A49" s="11">
        <v>43.1</v>
      </c>
      <c r="B49" s="11">
        <f>IFERROR((A49-$P$3) / $R$3, "")</f>
      </c>
      <c r="C49" s="38">
        <f>IF(ABS(B49)&gt;2,"Yes","No")</f>
      </c>
      <c r="D49" s="2"/>
      <c r="E49" s="9"/>
      <c r="F49" s="8"/>
      <c r="G49" s="9"/>
      <c r="H49" s="9"/>
      <c r="I49" s="8"/>
      <c r="J49" s="8"/>
      <c r="K49" s="8"/>
      <c r="L49" s="8"/>
      <c r="M49" s="2"/>
      <c r="N49" s="2"/>
      <c r="O49" s="8"/>
      <c r="P49" s="8"/>
      <c r="Q49" s="8"/>
      <c r="R49" s="8"/>
    </row>
    <row x14ac:dyDescent="0.25" r="50" customHeight="1" ht="18.75">
      <c r="A50" s="11">
        <v>20.3</v>
      </c>
      <c r="B50" s="11">
        <f>IFERROR((A50-$P$3) / $R$3, "")</f>
      </c>
      <c r="C50" s="38">
        <f>IF(ABS(B50)&gt;2,"Yes","No")</f>
      </c>
      <c r="D50" s="2"/>
      <c r="E50" s="9"/>
      <c r="F50" s="8"/>
      <c r="G50" s="9"/>
      <c r="H50" s="9"/>
      <c r="I50" s="8"/>
      <c r="J50" s="8"/>
      <c r="K50" s="8"/>
      <c r="L50" s="8"/>
      <c r="M50" s="2"/>
      <c r="N50" s="2"/>
      <c r="O50" s="8"/>
      <c r="P50" s="8"/>
      <c r="Q50" s="8"/>
      <c r="R50" s="8"/>
    </row>
    <row x14ac:dyDescent="0.25" r="51" customHeight="1" ht="18.75">
      <c r="A51" s="3">
        <v>17</v>
      </c>
      <c r="B51" s="11">
        <f>IFERROR((A51-$P$3) / $R$3, "")</f>
      </c>
      <c r="C51" s="38">
        <f>IF(ABS(B51)&gt;2,"Yes","No")</f>
      </c>
      <c r="D51" s="2"/>
      <c r="E51" s="9"/>
      <c r="F51" s="8"/>
      <c r="G51" s="9"/>
      <c r="H51" s="9"/>
      <c r="I51" s="8"/>
      <c r="J51" s="8"/>
      <c r="K51" s="8"/>
      <c r="L51" s="8"/>
      <c r="M51" s="2"/>
      <c r="N51" s="2"/>
      <c r="O51" s="8"/>
      <c r="P51" s="8"/>
      <c r="Q51" s="8"/>
      <c r="R51" s="8"/>
    </row>
    <row x14ac:dyDescent="0.25" r="52" customHeight="1" ht="18.75">
      <c r="A52" s="11">
        <v>16.2</v>
      </c>
      <c r="B52" s="11">
        <f>IFERROR((A52-$P$3) / $R$3, "")</f>
      </c>
      <c r="C52" s="38">
        <f>IF(ABS(B52)&gt;2,"Yes","No")</f>
      </c>
      <c r="D52" s="2"/>
      <c r="E52" s="9"/>
      <c r="F52" s="8"/>
      <c r="G52" s="9"/>
      <c r="H52" s="9"/>
      <c r="I52" s="8"/>
      <c r="J52" s="8"/>
      <c r="K52" s="8"/>
      <c r="L52" s="8"/>
      <c r="M52" s="2"/>
      <c r="N52" s="2"/>
      <c r="O52" s="8"/>
      <c r="P52" s="8"/>
      <c r="Q52" s="8"/>
      <c r="R52" s="8"/>
    </row>
    <row x14ac:dyDescent="0.25" r="53" customHeight="1" ht="18.75">
      <c r="A53" s="11">
        <v>31.9</v>
      </c>
      <c r="B53" s="11">
        <f>IFERROR((A53-$P$3) / $R$3, "")</f>
      </c>
      <c r="C53" s="38">
        <f>IF(ABS(B53)&gt;2,"Yes","No")</f>
      </c>
      <c r="D53" s="2"/>
      <c r="E53" s="9"/>
      <c r="F53" s="8"/>
      <c r="G53" s="9"/>
      <c r="H53" s="9"/>
      <c r="I53" s="8"/>
      <c r="J53" s="8"/>
      <c r="K53" s="8"/>
      <c r="L53" s="8"/>
      <c r="M53" s="2"/>
      <c r="N53" s="2"/>
      <c r="O53" s="8"/>
      <c r="P53" s="8"/>
      <c r="Q53" s="8"/>
      <c r="R53" s="8"/>
    </row>
    <row x14ac:dyDescent="0.25" r="54" customHeight="1" ht="18.75">
      <c r="A54" s="11">
        <v>37.3</v>
      </c>
      <c r="B54" s="11">
        <f>IFERROR((A54-$P$3) / $R$3, "")</f>
      </c>
      <c r="C54" s="38">
        <f>IF(ABS(B54)&gt;2,"Yes","No")</f>
      </c>
      <c r="D54" s="2"/>
      <c r="E54" s="9"/>
      <c r="F54" s="8"/>
      <c r="G54" s="9"/>
      <c r="H54" s="9"/>
      <c r="I54" s="8"/>
      <c r="J54" s="8"/>
      <c r="K54" s="8"/>
      <c r="L54" s="8"/>
      <c r="M54" s="2"/>
      <c r="N54" s="2"/>
      <c r="O54" s="8"/>
      <c r="P54" s="8"/>
      <c r="Q54" s="8"/>
      <c r="R54" s="8"/>
    </row>
    <row x14ac:dyDescent="0.25" r="55" customHeight="1" ht="18.75">
      <c r="A55" s="11">
        <v>27.2</v>
      </c>
      <c r="B55" s="11">
        <f>IFERROR((A55-$P$3) / $R$3, "")</f>
      </c>
      <c r="C55" s="38">
        <f>IF(ABS(B55)&gt;2,"Yes","No")</f>
      </c>
      <c r="D55" s="2"/>
      <c r="E55" s="9"/>
      <c r="F55" s="8"/>
      <c r="G55" s="9"/>
      <c r="H55" s="9"/>
      <c r="I55" s="8"/>
      <c r="J55" s="8"/>
      <c r="K55" s="8"/>
      <c r="L55" s="8"/>
      <c r="M55" s="2"/>
      <c r="N55" s="2"/>
      <c r="O55" s="8"/>
      <c r="P55" s="8"/>
      <c r="Q55" s="8"/>
      <c r="R55" s="8"/>
    </row>
    <row x14ac:dyDescent="0.25" r="56" customHeight="1" ht="18.75">
      <c r="A56" s="11">
        <v>25.4</v>
      </c>
      <c r="B56" s="11">
        <f>IFERROR((A56-$P$3) / $R$3, "")</f>
      </c>
      <c r="C56" s="38">
        <f>IF(ABS(B56)&gt;2,"Yes","No")</f>
      </c>
      <c r="D56" s="2"/>
      <c r="E56" s="9"/>
      <c r="F56" s="8"/>
      <c r="G56" s="9"/>
      <c r="H56" s="9"/>
      <c r="I56" s="8"/>
      <c r="J56" s="8"/>
      <c r="K56" s="8"/>
      <c r="L56" s="8"/>
      <c r="M56" s="2"/>
      <c r="N56" s="2"/>
      <c r="O56" s="8"/>
      <c r="P56" s="8"/>
      <c r="Q56" s="8"/>
      <c r="R56" s="8"/>
    </row>
    <row x14ac:dyDescent="0.25" r="57" customHeight="1" ht="18.75">
      <c r="A57" s="11">
        <v>34.3</v>
      </c>
      <c r="B57" s="11">
        <f>IFERROR((A57-$P$3) / $R$3, "")</f>
      </c>
      <c r="C57" s="38">
        <f>IF(ABS(B57)&gt;2,"Yes","No")</f>
      </c>
      <c r="D57" s="2"/>
      <c r="E57" s="9"/>
      <c r="F57" s="8"/>
      <c r="G57" s="9"/>
      <c r="H57" s="9"/>
      <c r="I57" s="8"/>
      <c r="J57" s="8"/>
      <c r="K57" s="8"/>
      <c r="L57" s="8"/>
      <c r="M57" s="2"/>
      <c r="N57" s="2"/>
      <c r="O57" s="8"/>
      <c r="P57" s="8"/>
      <c r="Q57" s="8"/>
      <c r="R57" s="8"/>
    </row>
    <row x14ac:dyDescent="0.25" r="58" customHeight="1" ht="18.75">
      <c r="A58" s="11">
        <v>41.5</v>
      </c>
      <c r="B58" s="11">
        <f>IFERROR((A58-$P$3) / $R$3, "")</f>
      </c>
      <c r="C58" s="38">
        <f>IF(ABS(B58)&gt;2,"Yes","No")</f>
      </c>
      <c r="D58" s="2"/>
      <c r="E58" s="9"/>
      <c r="F58" s="8"/>
      <c r="G58" s="9"/>
      <c r="H58" s="9"/>
      <c r="I58" s="8"/>
      <c r="J58" s="8"/>
      <c r="K58" s="8"/>
      <c r="L58" s="8"/>
      <c r="M58" s="2"/>
      <c r="N58" s="2"/>
      <c r="O58" s="8"/>
      <c r="P58" s="8"/>
      <c r="Q58" s="8"/>
      <c r="R58" s="8"/>
    </row>
    <row x14ac:dyDescent="0.25" r="59" customHeight="1" ht="18.75">
      <c r="A59" s="3">
        <v>35</v>
      </c>
      <c r="B59" s="11">
        <f>IFERROR((A59-$P$3) / $R$3, "")</f>
      </c>
      <c r="C59" s="38">
        <f>IF(ABS(B59)&gt;2,"Yes","No")</f>
      </c>
      <c r="D59" s="2"/>
      <c r="E59" s="9"/>
      <c r="F59" s="8"/>
      <c r="G59" s="9"/>
      <c r="H59" s="9"/>
      <c r="I59" s="8"/>
      <c r="J59" s="8"/>
      <c r="K59" s="8"/>
      <c r="L59" s="8"/>
      <c r="M59" s="2"/>
      <c r="N59" s="2"/>
      <c r="O59" s="8"/>
      <c r="P59" s="8"/>
      <c r="Q59" s="8"/>
      <c r="R59" s="8"/>
    </row>
    <row x14ac:dyDescent="0.25" r="60" customHeight="1" ht="18.75">
      <c r="A60" s="11">
        <v>29.8</v>
      </c>
      <c r="B60" s="11">
        <f>IFERROR((A60-$P$3) / $R$3, "")</f>
      </c>
      <c r="C60" s="38">
        <f>IF(ABS(B60)&gt;2,"Yes","No")</f>
      </c>
      <c r="D60" s="2"/>
      <c r="E60" s="9"/>
      <c r="F60" s="8"/>
      <c r="G60" s="9"/>
      <c r="H60" s="9"/>
      <c r="I60" s="8"/>
      <c r="J60" s="8"/>
      <c r="K60" s="8"/>
      <c r="L60" s="8"/>
      <c r="M60" s="2"/>
      <c r="N60" s="2"/>
      <c r="O60" s="8"/>
      <c r="P60" s="8"/>
      <c r="Q60" s="8"/>
      <c r="R60" s="8"/>
    </row>
    <row x14ac:dyDescent="0.25" r="61" customHeight="1" ht="18.75">
      <c r="A61" s="11">
        <v>44.3</v>
      </c>
      <c r="B61" s="11">
        <f>IFERROR((A61-$P$3) / $R$3, "")</f>
      </c>
      <c r="C61" s="38">
        <f>IF(ABS(B61)&gt;2,"Yes","No")</f>
      </c>
      <c r="D61" s="2"/>
      <c r="E61" s="9"/>
      <c r="F61" s="8"/>
      <c r="G61" s="9"/>
      <c r="H61" s="9"/>
      <c r="I61" s="8"/>
      <c r="J61" s="8"/>
      <c r="K61" s="8"/>
      <c r="L61" s="8"/>
      <c r="M61" s="2"/>
      <c r="N61" s="2"/>
      <c r="O61" s="8"/>
      <c r="P61" s="8"/>
      <c r="Q61" s="8"/>
      <c r="R61" s="8"/>
    </row>
    <row x14ac:dyDescent="0.25" r="62" customHeight="1" ht="18.75">
      <c r="A62" s="3">
        <v>30</v>
      </c>
      <c r="B62" s="11">
        <f>IFERROR((A62-$P$3) / $R$3, "")</f>
      </c>
      <c r="C62" s="38">
        <f>IF(ABS(B62)&gt;2,"Yes","No")</f>
      </c>
      <c r="D62" s="2"/>
      <c r="E62" s="9"/>
      <c r="F62" s="8"/>
      <c r="G62" s="9"/>
      <c r="H62" s="9"/>
      <c r="I62" s="8"/>
      <c r="J62" s="8"/>
      <c r="K62" s="8"/>
      <c r="L62" s="8"/>
      <c r="M62" s="2"/>
      <c r="N62" s="2"/>
      <c r="O62" s="8"/>
      <c r="P62" s="8"/>
      <c r="Q62" s="8"/>
      <c r="R62" s="8"/>
    </row>
    <row x14ac:dyDescent="0.25" r="63" customHeight="1" ht="18.75">
      <c r="A63" s="11">
        <v>43.4</v>
      </c>
      <c r="B63" s="11">
        <f>IFERROR((A63-$P$3) / $R$3, "")</f>
      </c>
      <c r="C63" s="38">
        <f>IF(ABS(B63)&gt;2,"Yes","No")</f>
      </c>
      <c r="D63" s="2"/>
      <c r="E63" s="9"/>
      <c r="F63" s="8"/>
      <c r="G63" s="9"/>
      <c r="H63" s="9"/>
      <c r="I63" s="8"/>
      <c r="J63" s="8"/>
      <c r="K63" s="8"/>
      <c r="L63" s="8"/>
      <c r="M63" s="2"/>
      <c r="N63" s="2"/>
      <c r="O63" s="8"/>
      <c r="P63" s="8"/>
      <c r="Q63" s="8"/>
      <c r="R63" s="8"/>
    </row>
    <row x14ac:dyDescent="0.25" r="64" customHeight="1" ht="18.75">
      <c r="A64" s="11">
        <v>40.9</v>
      </c>
      <c r="B64" s="11">
        <f>IFERROR((A64-$P$3) / $R$3, "")</f>
      </c>
      <c r="C64" s="38">
        <f>IF(ABS(B64)&gt;2,"Yes","No")</f>
      </c>
      <c r="D64" s="2"/>
      <c r="E64" s="9"/>
      <c r="F64" s="8"/>
      <c r="G64" s="9"/>
      <c r="H64" s="9"/>
      <c r="I64" s="8"/>
      <c r="J64" s="8"/>
      <c r="K64" s="8"/>
      <c r="L64" s="8"/>
      <c r="M64" s="2"/>
      <c r="N64" s="2"/>
      <c r="O64" s="8"/>
      <c r="P64" s="8"/>
      <c r="Q64" s="8"/>
      <c r="R64" s="8"/>
    </row>
    <row x14ac:dyDescent="0.25" r="65" customHeight="1" ht="18.75">
      <c r="A65" s="11">
        <v>36.4</v>
      </c>
      <c r="B65" s="11">
        <f>IFERROR((A65-$P$3) / $R$3, "")</f>
      </c>
      <c r="C65" s="38">
        <f>IF(ABS(B65)&gt;2,"Yes","No")</f>
      </c>
      <c r="D65" s="2"/>
      <c r="E65" s="9"/>
      <c r="F65" s="8"/>
      <c r="G65" s="9"/>
      <c r="H65" s="9"/>
      <c r="I65" s="8"/>
      <c r="J65" s="8"/>
      <c r="K65" s="8"/>
      <c r="L65" s="8"/>
      <c r="M65" s="2"/>
      <c r="N65" s="2"/>
      <c r="O65" s="8"/>
      <c r="P65" s="8"/>
      <c r="Q65" s="8"/>
      <c r="R65" s="8"/>
    </row>
    <row x14ac:dyDescent="0.25" r="66" customHeight="1" ht="18.75">
      <c r="A66" s="3">
        <v>33</v>
      </c>
      <c r="B66" s="11">
        <f>IFERROR((A66-$P$3) / $R$3, "")</f>
      </c>
      <c r="C66" s="38">
        <f>IF(ABS(B66)&gt;2,"Yes","No")</f>
      </c>
      <c r="D66" s="2"/>
      <c r="E66" s="9"/>
      <c r="F66" s="8"/>
      <c r="G66" s="9"/>
      <c r="H66" s="9"/>
      <c r="I66" s="8"/>
      <c r="J66" s="8"/>
      <c r="K66" s="8"/>
      <c r="L66" s="8"/>
      <c r="M66" s="2"/>
      <c r="N66" s="2"/>
      <c r="O66" s="8"/>
      <c r="P66" s="8"/>
      <c r="Q66" s="8"/>
      <c r="R66" s="8"/>
    </row>
    <row x14ac:dyDescent="0.25" r="67" customHeight="1" ht="18.75">
      <c r="A67" s="11">
        <v>28.1</v>
      </c>
      <c r="B67" s="11">
        <f>IFERROR((A67-$P$3) / $R$3, "")</f>
      </c>
      <c r="C67" s="38">
        <f>IF(ABS(B67)&gt;2,"Yes","No")</f>
      </c>
      <c r="D67" s="2"/>
      <c r="E67" s="9"/>
      <c r="F67" s="8"/>
      <c r="G67" s="9"/>
      <c r="H67" s="9"/>
      <c r="I67" s="8"/>
      <c r="J67" s="8"/>
      <c r="K67" s="8"/>
      <c r="L67" s="8"/>
      <c r="M67" s="2"/>
      <c r="N67" s="2"/>
      <c r="O67" s="8"/>
      <c r="P67" s="8"/>
      <c r="Q67" s="8"/>
      <c r="R67" s="8"/>
    </row>
    <row x14ac:dyDescent="0.25" r="68" customHeight="1" ht="18.75">
      <c r="A68" s="11">
        <v>34.5</v>
      </c>
      <c r="B68" s="11">
        <f>IFERROR((A68-$P$3) / $R$3, "")</f>
      </c>
      <c r="C68" s="38">
        <f>IF(ABS(B68)&gt;2,"Yes","No")</f>
      </c>
      <c r="D68" s="2"/>
      <c r="E68" s="9"/>
      <c r="F68" s="8"/>
      <c r="G68" s="9"/>
      <c r="H68" s="9"/>
      <c r="I68" s="8"/>
      <c r="J68" s="8"/>
      <c r="K68" s="8"/>
      <c r="L68" s="8"/>
      <c r="M68" s="2"/>
      <c r="N68" s="2"/>
      <c r="O68" s="8"/>
      <c r="P68" s="8"/>
      <c r="Q68" s="8"/>
      <c r="R68" s="8"/>
    </row>
    <row x14ac:dyDescent="0.25" r="69" customHeight="1" ht="18.75">
      <c r="A69" s="11">
        <v>30.7</v>
      </c>
      <c r="B69" s="11">
        <f>IFERROR((A69-$P$3) / $R$3, "")</f>
      </c>
      <c r="C69" s="38">
        <f>IF(ABS(B69)&gt;2,"Yes","No")</f>
      </c>
      <c r="D69" s="2"/>
      <c r="E69" s="9"/>
      <c r="F69" s="8"/>
      <c r="G69" s="9"/>
      <c r="H69" s="9"/>
      <c r="I69" s="8"/>
      <c r="J69" s="8"/>
      <c r="K69" s="8"/>
      <c r="L69" s="8"/>
      <c r="M69" s="2"/>
      <c r="N69" s="2"/>
      <c r="O69" s="8"/>
      <c r="P69" s="8"/>
      <c r="Q69" s="8"/>
      <c r="R69" s="8"/>
    </row>
    <row x14ac:dyDescent="0.25" r="70" customHeight="1" ht="18.75">
      <c r="A70" s="3">
        <v>36</v>
      </c>
      <c r="B70" s="11">
        <f>IFERROR((A70-$P$3) / $R$3, "")</f>
      </c>
      <c r="C70" s="38">
        <f>IF(ABS(B70)&gt;2,"Yes","No")</f>
      </c>
      <c r="D70" s="2"/>
      <c r="E70" s="9"/>
      <c r="F70" s="8"/>
      <c r="G70" s="9"/>
      <c r="H70" s="9"/>
      <c r="I70" s="8"/>
      <c r="J70" s="8"/>
      <c r="K70" s="8"/>
      <c r="L70" s="8"/>
      <c r="M70" s="2"/>
      <c r="N70" s="2"/>
      <c r="O70" s="8"/>
      <c r="P70" s="8"/>
      <c r="Q70" s="8"/>
      <c r="R70" s="8"/>
    </row>
    <row x14ac:dyDescent="0.25" r="71" customHeight="1" ht="18.75">
      <c r="A71" s="3">
        <v>44</v>
      </c>
      <c r="B71" s="11">
        <f>IFERROR((A71-$P$3) / $R$3, "")</f>
      </c>
      <c r="C71" s="38">
        <f>IF(ABS(B71)&gt;2,"Yes","No")</f>
      </c>
      <c r="D71" s="2"/>
      <c r="E71" s="9"/>
      <c r="F71" s="8"/>
      <c r="G71" s="9"/>
      <c r="H71" s="9"/>
      <c r="I71" s="8"/>
      <c r="J71" s="8"/>
      <c r="K71" s="8"/>
      <c r="L71" s="8"/>
      <c r="M71" s="2"/>
      <c r="N71" s="2"/>
      <c r="O71" s="8"/>
      <c r="P71" s="8"/>
      <c r="Q71" s="8"/>
      <c r="R71" s="8"/>
    </row>
    <row x14ac:dyDescent="0.25" r="72" customHeight="1" ht="18.75">
      <c r="A72" s="3">
        <v>27</v>
      </c>
      <c r="B72" s="11">
        <f>IFERROR((A72-$P$3) / $R$3, "")</f>
      </c>
      <c r="C72" s="38">
        <f>IF(ABS(B72)&gt;2,"Yes","No")</f>
      </c>
      <c r="D72" s="2"/>
      <c r="E72" s="9"/>
      <c r="F72" s="8"/>
      <c r="G72" s="9"/>
      <c r="H72" s="9"/>
      <c r="I72" s="8"/>
      <c r="J72" s="8"/>
      <c r="K72" s="8"/>
      <c r="L72" s="8"/>
      <c r="M72" s="2"/>
      <c r="N72" s="2"/>
      <c r="O72" s="8"/>
      <c r="P72" s="8"/>
      <c r="Q72" s="8"/>
      <c r="R72" s="8"/>
    </row>
    <row x14ac:dyDescent="0.25" r="73" customHeight="1" ht="18.75">
      <c r="A73" s="3">
        <v>24</v>
      </c>
      <c r="B73" s="11">
        <f>IFERROR((A73-$P$3) / $R$3, "")</f>
      </c>
      <c r="C73" s="38">
        <f>IF(ABS(B73)&gt;2,"Yes","No")</f>
      </c>
      <c r="D73" s="2"/>
      <c r="E73" s="9"/>
      <c r="F73" s="8"/>
      <c r="G73" s="9"/>
      <c r="H73" s="9"/>
      <c r="I73" s="8"/>
      <c r="J73" s="8"/>
      <c r="K73" s="8"/>
      <c r="L73" s="8"/>
      <c r="M73" s="2"/>
      <c r="N73" s="2"/>
      <c r="O73" s="8"/>
      <c r="P73" s="8"/>
      <c r="Q73" s="8"/>
      <c r="R73" s="8"/>
    </row>
    <row x14ac:dyDescent="0.25" r="74" customHeight="1" ht="18.75">
      <c r="A74" s="3">
        <v>35</v>
      </c>
      <c r="B74" s="11">
        <f>IFERROR((A74-$P$3) / $R$3, "")</f>
      </c>
      <c r="C74" s="38">
        <f>IF(ABS(B74)&gt;2,"Yes","No")</f>
      </c>
      <c r="D74" s="2"/>
      <c r="E74" s="9"/>
      <c r="F74" s="8"/>
      <c r="G74" s="9"/>
      <c r="H74" s="9"/>
      <c r="I74" s="8"/>
      <c r="J74" s="8"/>
      <c r="K74" s="8"/>
      <c r="L74" s="8"/>
      <c r="M74" s="2"/>
      <c r="N74" s="2"/>
      <c r="O74" s="8"/>
      <c r="P74" s="8"/>
      <c r="Q74" s="8"/>
      <c r="R74" s="8"/>
    </row>
    <row x14ac:dyDescent="0.25" r="75" customHeight="1" ht="18.75">
      <c r="A75" s="3">
        <v>25</v>
      </c>
      <c r="B75" s="11">
        <f>IFERROR((A75-$P$3) / $R$3, "")</f>
      </c>
      <c r="C75" s="38">
        <f>IF(ABS(B75)&gt;2,"Yes","No")</f>
      </c>
      <c r="D75" s="2"/>
      <c r="E75" s="9"/>
      <c r="F75" s="8"/>
      <c r="G75" s="9"/>
      <c r="H75" s="9"/>
      <c r="I75" s="8"/>
      <c r="J75" s="8"/>
      <c r="K75" s="8"/>
      <c r="L75" s="8"/>
      <c r="M75" s="2"/>
      <c r="N75" s="2"/>
      <c r="O75" s="8"/>
      <c r="P75" s="8"/>
      <c r="Q75" s="8"/>
      <c r="R75" s="8"/>
    </row>
    <row x14ac:dyDescent="0.25" r="76" customHeight="1" ht="18.75">
      <c r="A76" s="3">
        <v>27</v>
      </c>
      <c r="B76" s="11">
        <f>IFERROR((A76-$P$3) / $R$3, "")</f>
      </c>
      <c r="C76" s="38">
        <f>IF(ABS(B76)&gt;2,"Yes","No")</f>
      </c>
      <c r="D76" s="2"/>
      <c r="E76" s="9"/>
      <c r="F76" s="8"/>
      <c r="G76" s="9"/>
      <c r="H76" s="9"/>
      <c r="I76" s="8"/>
      <c r="J76" s="8"/>
      <c r="K76" s="8"/>
      <c r="L76" s="8"/>
      <c r="M76" s="2"/>
      <c r="N76" s="2"/>
      <c r="O76" s="8"/>
      <c r="P76" s="8"/>
      <c r="Q76" s="8"/>
      <c r="R76" s="8"/>
    </row>
    <row x14ac:dyDescent="0.25" r="77" customHeight="1" ht="18.75">
      <c r="A77" s="3">
        <v>31</v>
      </c>
      <c r="B77" s="11">
        <f>IFERROR((A77-$P$3) / $R$3, "")</f>
      </c>
      <c r="C77" s="38">
        <f>IF(ABS(B77)&gt;2,"Yes","No")</f>
      </c>
      <c r="D77" s="2"/>
      <c r="E77" s="9"/>
      <c r="F77" s="8"/>
      <c r="G77" s="9"/>
      <c r="H77" s="9"/>
      <c r="I77" s="8"/>
      <c r="J77" s="8"/>
      <c r="K77" s="8"/>
      <c r="L77" s="8"/>
      <c r="M77" s="2"/>
      <c r="N77" s="2"/>
      <c r="O77" s="8"/>
      <c r="P77" s="8"/>
      <c r="Q77" s="8"/>
      <c r="R77" s="8"/>
    </row>
    <row x14ac:dyDescent="0.25" r="78" customHeight="1" ht="18.75">
      <c r="A78" s="3">
        <v>19</v>
      </c>
      <c r="B78" s="11">
        <f>IFERROR((A78-$P$3) / $R$3, "")</f>
      </c>
      <c r="C78" s="38">
        <f>IF(ABS(B78)&gt;2,"Yes","No")</f>
      </c>
      <c r="D78" s="2"/>
      <c r="E78" s="9"/>
      <c r="F78" s="8"/>
      <c r="G78" s="9"/>
      <c r="H78" s="9"/>
      <c r="I78" s="8"/>
      <c r="J78" s="8"/>
      <c r="K78" s="8"/>
      <c r="L78" s="8"/>
      <c r="M78" s="2"/>
      <c r="N78" s="2"/>
      <c r="O78" s="8"/>
      <c r="P78" s="8"/>
      <c r="Q78" s="8"/>
      <c r="R78" s="8"/>
    </row>
    <row x14ac:dyDescent="0.25" r="79" customHeight="1" ht="18.75">
      <c r="A79" s="3">
        <v>27</v>
      </c>
      <c r="B79" s="11">
        <f>IFERROR((A79-$P$3) / $R$3, "")</f>
      </c>
      <c r="C79" s="38">
        <f>IF(ABS(B79)&gt;2,"Yes","No")</f>
      </c>
      <c r="D79" s="2"/>
      <c r="E79" s="9"/>
      <c r="F79" s="8"/>
      <c r="G79" s="9"/>
      <c r="H79" s="9"/>
      <c r="I79" s="8"/>
      <c r="J79" s="8"/>
      <c r="K79" s="8"/>
      <c r="L79" s="8"/>
      <c r="M79" s="2"/>
      <c r="N79" s="2"/>
      <c r="O79" s="8"/>
      <c r="P79" s="8"/>
      <c r="Q79" s="8"/>
      <c r="R79" s="8"/>
    </row>
    <row x14ac:dyDescent="0.25" r="80" customHeight="1" ht="18.75">
      <c r="A80" s="3">
        <v>24</v>
      </c>
      <c r="B80" s="11">
        <f>IFERROR((A80-$P$3) / $R$3, "")</f>
      </c>
      <c r="C80" s="38">
        <f>IF(ABS(B80)&gt;2,"Yes","No")</f>
      </c>
      <c r="D80" s="2"/>
      <c r="E80" s="9"/>
      <c r="F80" s="8"/>
      <c r="G80" s="9"/>
      <c r="H80" s="9"/>
      <c r="I80" s="8"/>
      <c r="J80" s="8"/>
      <c r="K80" s="8"/>
      <c r="L80" s="8"/>
      <c r="M80" s="2"/>
      <c r="N80" s="2"/>
      <c r="O80" s="8"/>
      <c r="P80" s="8"/>
      <c r="Q80" s="8"/>
      <c r="R80" s="8"/>
    </row>
    <row x14ac:dyDescent="0.25" r="81" customHeight="1" ht="18.75">
      <c r="A81" s="3">
        <v>28</v>
      </c>
      <c r="B81" s="11">
        <f>IFERROR((A81-$P$3) / $R$3, "")</f>
      </c>
      <c r="C81" s="38">
        <f>IF(ABS(B81)&gt;2,"Yes","No")</f>
      </c>
      <c r="D81" s="2"/>
      <c r="E81" s="9"/>
      <c r="F81" s="8"/>
      <c r="G81" s="9"/>
      <c r="H81" s="9"/>
      <c r="I81" s="8"/>
      <c r="J81" s="8"/>
      <c r="K81" s="8"/>
      <c r="L81" s="8"/>
      <c r="M81" s="2"/>
      <c r="N81" s="2"/>
      <c r="O81" s="8"/>
      <c r="P81" s="8"/>
      <c r="Q81" s="8"/>
      <c r="R81" s="8"/>
    </row>
    <row x14ac:dyDescent="0.25" r="82" customHeight="1" ht="18.75">
      <c r="A82" s="3">
        <v>23</v>
      </c>
      <c r="B82" s="11">
        <f>IFERROR((A82-$P$3) / $R$3, "")</f>
      </c>
      <c r="C82" s="38">
        <f>IF(ABS(B82)&gt;2,"Yes","No")</f>
      </c>
      <c r="D82" s="2"/>
      <c r="E82" s="9"/>
      <c r="F82" s="8"/>
      <c r="G82" s="9"/>
      <c r="H82" s="9"/>
      <c r="I82" s="8"/>
      <c r="J82" s="8"/>
      <c r="K82" s="8"/>
      <c r="L82" s="8"/>
      <c r="M82" s="2"/>
      <c r="N82" s="2"/>
      <c r="O82" s="8"/>
      <c r="P82" s="8"/>
      <c r="Q82" s="8"/>
      <c r="R82" s="8"/>
    </row>
    <row x14ac:dyDescent="0.25" r="83" customHeight="1" ht="18.75">
      <c r="A83" s="3">
        <v>18</v>
      </c>
      <c r="B83" s="11">
        <f>IFERROR((A83-$P$3) / $R$3, "")</f>
      </c>
      <c r="C83" s="38">
        <f>IF(ABS(B83)&gt;2,"Yes","No")</f>
      </c>
      <c r="D83" s="2"/>
      <c r="E83" s="9"/>
      <c r="F83" s="8"/>
      <c r="G83" s="9"/>
      <c r="H83" s="9"/>
      <c r="I83" s="8"/>
      <c r="J83" s="8"/>
      <c r="K83" s="8"/>
      <c r="L83" s="8"/>
      <c r="M83" s="2"/>
      <c r="N83" s="2"/>
      <c r="O83" s="8"/>
      <c r="P83" s="8"/>
      <c r="Q83" s="8"/>
      <c r="R83" s="8"/>
    </row>
    <row x14ac:dyDescent="0.25" r="84" customHeight="1" ht="18.75">
      <c r="A84" s="3">
        <v>22</v>
      </c>
      <c r="B84" s="11">
        <f>IFERROR((A84-$P$3) / $R$3, "")</f>
      </c>
      <c r="C84" s="38">
        <f>IF(ABS(B84)&gt;2,"Yes","No")</f>
      </c>
      <c r="D84" s="2"/>
      <c r="E84" s="9"/>
      <c r="F84" s="8"/>
      <c r="G84" s="9"/>
      <c r="H84" s="9"/>
      <c r="I84" s="8"/>
      <c r="J84" s="8"/>
      <c r="K84" s="8"/>
      <c r="L84" s="8"/>
      <c r="M84" s="2"/>
      <c r="N84" s="2"/>
      <c r="O84" s="8"/>
      <c r="P84" s="8"/>
      <c r="Q84" s="8"/>
      <c r="R84" s="8"/>
    </row>
    <row x14ac:dyDescent="0.25" r="85" customHeight="1" ht="18.75">
      <c r="A85" s="3">
        <v>20</v>
      </c>
      <c r="B85" s="11">
        <f>IFERROR((A85-$P$3) / $R$3, "")</f>
      </c>
      <c r="C85" s="38">
        <f>IF(ABS(B85)&gt;2,"Yes","No")</f>
      </c>
      <c r="D85" s="2"/>
      <c r="E85" s="9"/>
      <c r="F85" s="8"/>
      <c r="G85" s="9"/>
      <c r="H85" s="9"/>
      <c r="I85" s="8"/>
      <c r="J85" s="8"/>
      <c r="K85" s="8"/>
      <c r="L85" s="8"/>
      <c r="M85" s="2"/>
      <c r="N85" s="2"/>
      <c r="O85" s="8"/>
      <c r="P85" s="8"/>
      <c r="Q85" s="8"/>
      <c r="R85" s="8"/>
    </row>
    <row x14ac:dyDescent="0.25" r="86" customHeight="1" ht="18.75">
      <c r="A86" s="3">
        <v>20</v>
      </c>
      <c r="B86" s="11">
        <f>IFERROR((A86-$P$3) / $R$3, "")</f>
      </c>
      <c r="C86" s="38">
        <f>IF(ABS(B86)&gt;2,"Yes","No")</f>
      </c>
      <c r="D86" s="2"/>
      <c r="E86" s="9"/>
      <c r="F86" s="8"/>
      <c r="G86" s="9"/>
      <c r="H86" s="9"/>
      <c r="I86" s="8"/>
      <c r="J86" s="8"/>
      <c r="K86" s="8"/>
      <c r="L86" s="8"/>
      <c r="M86" s="2"/>
      <c r="N86" s="2"/>
      <c r="O86" s="8"/>
      <c r="P86" s="8"/>
      <c r="Q86" s="8"/>
      <c r="R86" s="8"/>
    </row>
    <row x14ac:dyDescent="0.25" r="87" customHeight="1" ht="18.75">
      <c r="A87" s="3">
        <v>24</v>
      </c>
      <c r="B87" s="11">
        <f>IFERROR((A87-$P$3) / $R$3, "")</f>
      </c>
      <c r="C87" s="38">
        <f>IF(ABS(B87)&gt;2,"Yes","No")</f>
      </c>
      <c r="D87" s="2"/>
      <c r="E87" s="9"/>
      <c r="F87" s="8"/>
      <c r="G87" s="9"/>
      <c r="H87" s="9"/>
      <c r="I87" s="8"/>
      <c r="J87" s="8"/>
      <c r="K87" s="8"/>
      <c r="L87" s="8"/>
      <c r="M87" s="2"/>
      <c r="N87" s="2"/>
      <c r="O87" s="8"/>
      <c r="P87" s="8"/>
      <c r="Q87" s="8"/>
      <c r="R87" s="8"/>
    </row>
    <row x14ac:dyDescent="0.25" r="88" customHeight="1" ht="18.75">
      <c r="A88" s="3">
        <v>26</v>
      </c>
      <c r="B88" s="11">
        <f>IFERROR((A88-$P$3) / $R$3, "")</f>
      </c>
      <c r="C88" s="38">
        <f>IF(ABS(B88)&gt;2,"Yes","No")</f>
      </c>
      <c r="D88" s="2"/>
      <c r="E88" s="9"/>
      <c r="F88" s="8"/>
      <c r="G88" s="9"/>
      <c r="H88" s="9"/>
      <c r="I88" s="8"/>
      <c r="J88" s="8"/>
      <c r="K88" s="8"/>
      <c r="L88" s="8"/>
      <c r="M88" s="2"/>
      <c r="N88" s="2"/>
      <c r="O88" s="8"/>
      <c r="P88" s="8"/>
      <c r="Q88" s="8"/>
      <c r="R88" s="8"/>
    </row>
    <row x14ac:dyDescent="0.25" r="89" customHeight="1" ht="18.75">
      <c r="A89" s="3">
        <v>32</v>
      </c>
      <c r="B89" s="11">
        <f>IFERROR((A89-$P$3) / $R$3, "")</f>
      </c>
      <c r="C89" s="38">
        <f>IF(ABS(B89)&gt;2,"Yes","No")</f>
      </c>
      <c r="D89" s="2"/>
      <c r="E89" s="9"/>
      <c r="F89" s="8"/>
      <c r="G89" s="9"/>
      <c r="H89" s="9"/>
      <c r="I89" s="8"/>
      <c r="J89" s="8"/>
      <c r="K89" s="8"/>
      <c r="L89" s="8"/>
      <c r="M89" s="2"/>
      <c r="N89" s="2"/>
      <c r="O89" s="8"/>
      <c r="P89" s="8"/>
      <c r="Q89" s="8"/>
      <c r="R89" s="8"/>
    </row>
    <row x14ac:dyDescent="0.25" r="90" customHeight="1" ht="18.75">
      <c r="A90" s="3">
        <v>31</v>
      </c>
      <c r="B90" s="11">
        <f>IFERROR((A90-$P$3) / $R$3, "")</f>
      </c>
      <c r="C90" s="38">
        <f>IF(ABS(B90)&gt;2,"Yes","No")</f>
      </c>
      <c r="D90" s="2"/>
      <c r="E90" s="9"/>
      <c r="F90" s="8"/>
      <c r="G90" s="9"/>
      <c r="H90" s="9"/>
      <c r="I90" s="8"/>
      <c r="J90" s="8"/>
      <c r="K90" s="8"/>
      <c r="L90" s="8"/>
      <c r="M90" s="2"/>
      <c r="N90" s="2"/>
      <c r="O90" s="8"/>
      <c r="P90" s="8"/>
      <c r="Q90" s="8"/>
      <c r="R90" s="8"/>
    </row>
    <row x14ac:dyDescent="0.25" r="91" customHeight="1" ht="18.75">
      <c r="A91" s="3">
        <v>31</v>
      </c>
      <c r="B91" s="11">
        <f>IFERROR((A91-$P$3) / $R$3, "")</f>
      </c>
      <c r="C91" s="38">
        <f>IF(ABS(B91)&gt;2,"Yes","No")</f>
      </c>
      <c r="D91" s="2"/>
      <c r="E91" s="9"/>
      <c r="F91" s="8"/>
      <c r="G91" s="9"/>
      <c r="H91" s="9"/>
      <c r="I91" s="8"/>
      <c r="J91" s="8"/>
      <c r="K91" s="8"/>
      <c r="L91" s="8"/>
      <c r="M91" s="2"/>
      <c r="N91" s="2"/>
      <c r="O91" s="8"/>
      <c r="P91" s="8"/>
      <c r="Q91" s="8"/>
      <c r="R91" s="8"/>
    </row>
    <row x14ac:dyDescent="0.25" r="92" customHeight="1" ht="18.75">
      <c r="A92" s="3">
        <v>32</v>
      </c>
      <c r="B92" s="11">
        <f>IFERROR((A92-$P$3) / $R$3, "")</f>
      </c>
      <c r="C92" s="38">
        <f>IF(ABS(B92)&gt;2,"Yes","No")</f>
      </c>
      <c r="D92" s="2"/>
      <c r="E92" s="9"/>
      <c r="F92" s="8"/>
      <c r="G92" s="9"/>
      <c r="H92" s="9"/>
      <c r="I92" s="8"/>
      <c r="J92" s="8"/>
      <c r="K92" s="8"/>
      <c r="L92" s="8"/>
      <c r="M92" s="2"/>
      <c r="N92" s="2"/>
      <c r="O92" s="8"/>
      <c r="P92" s="8"/>
      <c r="Q92" s="8"/>
      <c r="R92" s="8"/>
    </row>
    <row x14ac:dyDescent="0.25" r="93" customHeight="1" ht="18.75">
      <c r="A93" s="3">
        <v>24</v>
      </c>
      <c r="B93" s="11">
        <f>IFERROR((A93-$P$3) / $R$3, "")</f>
      </c>
      <c r="C93" s="38">
        <f>IF(ABS(B93)&gt;2,"Yes","No")</f>
      </c>
      <c r="D93" s="2"/>
      <c r="E93" s="9"/>
      <c r="F93" s="8"/>
      <c r="G93" s="9"/>
      <c r="H93" s="9"/>
      <c r="I93" s="8"/>
      <c r="J93" s="8"/>
      <c r="K93" s="8"/>
      <c r="L93" s="8"/>
      <c r="M93" s="2"/>
      <c r="N93" s="2"/>
      <c r="O93" s="8"/>
      <c r="P93" s="8"/>
      <c r="Q93" s="8"/>
      <c r="R93" s="8"/>
    </row>
    <row x14ac:dyDescent="0.25" r="94" customHeight="1" ht="18.75">
      <c r="A94" s="3">
        <v>24</v>
      </c>
      <c r="B94" s="11">
        <f>IFERROR((A94-$P$3) / $R$3, "")</f>
      </c>
      <c r="C94" s="38">
        <f>IF(ABS(B94)&gt;2,"Yes","No")</f>
      </c>
      <c r="D94" s="2"/>
      <c r="E94" s="9"/>
      <c r="F94" s="8"/>
      <c r="G94" s="9"/>
      <c r="H94" s="9"/>
      <c r="I94" s="8"/>
      <c r="J94" s="8"/>
      <c r="K94" s="8"/>
      <c r="L94" s="8"/>
      <c r="M94" s="2"/>
      <c r="N94" s="2"/>
      <c r="O94" s="8"/>
      <c r="P94" s="8"/>
      <c r="Q94" s="8"/>
      <c r="R94" s="8"/>
    </row>
    <row x14ac:dyDescent="0.25" r="95" customHeight="1" ht="18.75">
      <c r="A95" s="3">
        <v>29</v>
      </c>
      <c r="B95" s="11">
        <f>IFERROR((A95-$P$3) / $R$3, "")</f>
      </c>
      <c r="C95" s="38">
        <f>IF(ABS(B95)&gt;2,"Yes","No")</f>
      </c>
      <c r="D95" s="2"/>
      <c r="E95" s="9"/>
      <c r="F95" s="8"/>
      <c r="G95" s="9"/>
      <c r="H95" s="9"/>
      <c r="I95" s="8"/>
      <c r="J95" s="8"/>
      <c r="K95" s="8"/>
      <c r="L95" s="8"/>
      <c r="M95" s="2"/>
      <c r="N95" s="2"/>
      <c r="O95" s="8"/>
      <c r="P95" s="8"/>
      <c r="Q95" s="8"/>
      <c r="R95" s="8"/>
    </row>
    <row x14ac:dyDescent="0.25" r="96" customHeight="1" ht="18.75">
      <c r="A96" s="3">
        <v>33</v>
      </c>
      <c r="B96" s="11">
        <f>IFERROR((A96-$P$3) / $R$3, "")</f>
      </c>
      <c r="C96" s="38">
        <f>IF(ABS(B96)&gt;2,"Yes","No")</f>
      </c>
      <c r="D96" s="2"/>
      <c r="E96" s="9"/>
      <c r="F96" s="8"/>
      <c r="G96" s="9"/>
      <c r="H96" s="9"/>
      <c r="I96" s="8"/>
      <c r="J96" s="8"/>
      <c r="K96" s="8"/>
      <c r="L96" s="8"/>
      <c r="M96" s="2"/>
      <c r="N96" s="2"/>
      <c r="O96" s="8"/>
      <c r="P96" s="8"/>
      <c r="Q96" s="8"/>
      <c r="R96" s="8"/>
    </row>
    <row x14ac:dyDescent="0.25" r="97" customHeight="1" ht="18.75">
      <c r="A97" s="3">
        <v>32</v>
      </c>
      <c r="B97" s="11">
        <f>IFERROR((A97-$P$3) / $R$3, "")</f>
      </c>
      <c r="C97" s="38">
        <f>IF(ABS(B97)&gt;2,"Yes","No")</f>
      </c>
      <c r="D97" s="2"/>
      <c r="E97" s="9"/>
      <c r="F97" s="8"/>
      <c r="G97" s="9"/>
      <c r="H97" s="9"/>
      <c r="I97" s="8"/>
      <c r="J97" s="8"/>
      <c r="K97" s="8"/>
      <c r="L97" s="8"/>
      <c r="M97" s="2"/>
      <c r="N97" s="2"/>
      <c r="O97" s="8"/>
      <c r="P97" s="8"/>
      <c r="Q97" s="8"/>
      <c r="R97" s="8"/>
    </row>
    <row x14ac:dyDescent="0.25" r="98" customHeight="1" ht="18.75">
      <c r="A98" s="3">
        <v>28</v>
      </c>
      <c r="B98" s="11">
        <f>IFERROR((A98-$P$3) / $R$3, "")</f>
      </c>
      <c r="C98" s="38">
        <f>IF(ABS(B98)&gt;2,"Yes","No")</f>
      </c>
      <c r="D98" s="2"/>
      <c r="E98" s="9"/>
      <c r="F98" s="8"/>
      <c r="G98" s="9"/>
      <c r="H98" s="9"/>
      <c r="I98" s="8"/>
      <c r="J98" s="8"/>
      <c r="K98" s="8"/>
      <c r="L98" s="8"/>
      <c r="M98" s="2"/>
      <c r="N98" s="2"/>
      <c r="O98" s="8"/>
      <c r="P98" s="8"/>
      <c r="Q98" s="8"/>
      <c r="R98" s="8"/>
    </row>
    <row x14ac:dyDescent="0.25" r="99" customHeight="1" ht="18.75">
      <c r="A99" s="3">
        <v>33</v>
      </c>
      <c r="B99" s="11">
        <f>IFERROR((A99-$P$3) / $R$3, "")</f>
      </c>
      <c r="C99" s="38">
        <f>IF(ABS(B99)&gt;2,"Yes","No")</f>
      </c>
      <c r="D99" s="2"/>
      <c r="E99" s="9"/>
      <c r="F99" s="8"/>
      <c r="G99" s="9"/>
      <c r="H99" s="9"/>
      <c r="I99" s="8"/>
      <c r="J99" s="8"/>
      <c r="K99" s="8"/>
      <c r="L99" s="8"/>
      <c r="M99" s="2"/>
      <c r="N99" s="2"/>
      <c r="O99" s="8"/>
      <c r="P99" s="8"/>
      <c r="Q99" s="8"/>
      <c r="R99" s="8"/>
    </row>
    <row x14ac:dyDescent="0.25" r="100" customHeight="1" ht="18.75">
      <c r="A100" s="3">
        <v>19</v>
      </c>
      <c r="B100" s="11">
        <f>IFERROR((A100-$P$3) / $R$3, "")</f>
      </c>
      <c r="C100" s="38">
        <f>IF(ABS(B100)&gt;2,"Yes","No")</f>
      </c>
      <c r="D100" s="2"/>
      <c r="E100" s="9"/>
      <c r="F100" s="8"/>
      <c r="G100" s="9"/>
      <c r="H100" s="9"/>
      <c r="I100" s="8"/>
      <c r="J100" s="8"/>
      <c r="K100" s="8"/>
      <c r="L100" s="8"/>
      <c r="M100" s="2"/>
      <c r="N100" s="2"/>
      <c r="O100" s="8"/>
      <c r="P100" s="8"/>
      <c r="Q100" s="8"/>
      <c r="R100" s="8"/>
    </row>
    <row x14ac:dyDescent="0.25" r="101" customHeight="1" ht="18.75">
      <c r="A101" s="11">
        <v>21.5</v>
      </c>
      <c r="B101" s="11">
        <f>IFERROR((A101-$P$3) / $R$3, "")</f>
      </c>
      <c r="C101" s="38">
        <f>IF(ABS(B101)&gt;2,"Yes","No")</f>
      </c>
      <c r="D101" s="2"/>
      <c r="E101" s="9"/>
      <c r="F101" s="8"/>
      <c r="G101" s="9"/>
      <c r="H101" s="9"/>
      <c r="I101" s="8"/>
      <c r="J101" s="8"/>
      <c r="K101" s="8"/>
      <c r="L101" s="8"/>
      <c r="M101" s="2"/>
      <c r="N101" s="2"/>
      <c r="O101" s="8"/>
      <c r="P101" s="8"/>
      <c r="Q101" s="8"/>
      <c r="R101" s="8"/>
    </row>
    <row x14ac:dyDescent="0.25" r="102" customHeight="1" ht="18.75">
      <c r="A102" s="11">
        <v>33.5</v>
      </c>
      <c r="B102" s="11">
        <f>IFERROR((A102-$P$3) / $R$3, "")</f>
      </c>
      <c r="C102" s="38">
        <f>IF(ABS(B102)&gt;2,"Yes","No")</f>
      </c>
      <c r="D102" s="2"/>
      <c r="E102" s="9"/>
      <c r="F102" s="8"/>
      <c r="G102" s="9"/>
      <c r="H102" s="9"/>
      <c r="I102" s="8"/>
      <c r="J102" s="8"/>
      <c r="K102" s="8"/>
      <c r="L102" s="8"/>
      <c r="M102" s="2"/>
      <c r="N102" s="2"/>
      <c r="O102" s="8"/>
      <c r="P102" s="8"/>
      <c r="Q102" s="8"/>
      <c r="R102" s="8"/>
    </row>
    <row x14ac:dyDescent="0.25" r="103" customHeight="1" ht="18.75">
      <c r="A103" s="3">
        <v>30</v>
      </c>
      <c r="B103" s="11">
        <f>IFERROR((A103-$P$3) / $R$3, "")</f>
      </c>
      <c r="C103" s="38">
        <f>IF(ABS(B103)&gt;2,"Yes","No")</f>
      </c>
      <c r="D103" s="2"/>
      <c r="E103" s="9"/>
      <c r="F103" s="8"/>
      <c r="G103" s="9"/>
      <c r="H103" s="9"/>
      <c r="I103" s="8"/>
      <c r="J103" s="8"/>
      <c r="K103" s="8"/>
      <c r="L103" s="8"/>
      <c r="M103" s="2"/>
      <c r="N103" s="2"/>
      <c r="O103" s="8"/>
      <c r="P103" s="8"/>
      <c r="Q103" s="8"/>
      <c r="R103" s="8"/>
    </row>
    <row x14ac:dyDescent="0.25" r="104" customHeight="1" ht="18.75">
      <c r="A104" s="11">
        <v>31.5</v>
      </c>
      <c r="B104" s="11">
        <f>IFERROR((A104-$P$3) / $R$3, "")</f>
      </c>
      <c r="C104" s="38">
        <f>IF(ABS(B104)&gt;2,"Yes","No")</f>
      </c>
      <c r="D104" s="2"/>
      <c r="E104" s="9"/>
      <c r="F104" s="8"/>
      <c r="G104" s="9"/>
      <c r="H104" s="9"/>
      <c r="I104" s="8"/>
      <c r="J104" s="8"/>
      <c r="K104" s="8"/>
      <c r="L104" s="8"/>
      <c r="M104" s="2"/>
      <c r="N104" s="2"/>
      <c r="O104" s="8"/>
      <c r="P104" s="8"/>
      <c r="Q104" s="8"/>
      <c r="R104" s="8"/>
    </row>
    <row x14ac:dyDescent="0.25" r="105" customHeight="1" ht="18.75">
      <c r="A105" s="3">
        <v>26</v>
      </c>
      <c r="B105" s="11">
        <f>IFERROR((A105-$P$3) / $R$3, "")</f>
      </c>
      <c r="C105" s="38">
        <f>IF(ABS(B105)&gt;2,"Yes","No")</f>
      </c>
      <c r="D105" s="2"/>
      <c r="E105" s="9"/>
      <c r="F105" s="8"/>
      <c r="G105" s="9"/>
      <c r="H105" s="9"/>
      <c r="I105" s="8"/>
      <c r="J105" s="8"/>
      <c r="K105" s="8"/>
      <c r="L105" s="8"/>
      <c r="M105" s="2"/>
      <c r="N105" s="2"/>
      <c r="O105" s="8"/>
      <c r="P105" s="8"/>
      <c r="Q105" s="8"/>
      <c r="R105" s="8"/>
    </row>
    <row x14ac:dyDescent="0.25" r="106" customHeight="1" ht="18.75">
      <c r="A106" s="3">
        <v>22</v>
      </c>
      <c r="B106" s="11">
        <f>IFERROR((A106-$P$3) / $R$3, "")</f>
      </c>
      <c r="C106" s="38">
        <f>IF(ABS(B106)&gt;2,"Yes","No")</f>
      </c>
      <c r="D106" s="2"/>
      <c r="E106" s="9"/>
      <c r="F106" s="8"/>
      <c r="G106" s="9"/>
      <c r="H106" s="9"/>
      <c r="I106" s="8"/>
      <c r="J106" s="8"/>
      <c r="K106" s="8"/>
      <c r="L106" s="8"/>
      <c r="M106" s="2"/>
      <c r="N106" s="2"/>
      <c r="O106" s="8"/>
      <c r="P106" s="8"/>
      <c r="Q106" s="8"/>
      <c r="R106" s="8"/>
    </row>
    <row x14ac:dyDescent="0.25" r="107" customHeight="1" ht="18.75">
      <c r="A107" s="11">
        <v>27.2</v>
      </c>
      <c r="B107" s="11">
        <f>IFERROR((A107-$P$3) / $R$3, "")</f>
      </c>
      <c r="C107" s="38">
        <f>IF(ABS(B107)&gt;2,"Yes","No")</f>
      </c>
      <c r="D107" s="2"/>
      <c r="E107" s="9"/>
      <c r="F107" s="8"/>
      <c r="G107" s="9"/>
      <c r="H107" s="9"/>
      <c r="I107" s="8"/>
      <c r="J107" s="8"/>
      <c r="K107" s="8"/>
      <c r="L107" s="8"/>
      <c r="M107" s="2"/>
      <c r="N107" s="2"/>
      <c r="O107" s="8"/>
      <c r="P107" s="8"/>
      <c r="Q107" s="8"/>
      <c r="R107" s="8"/>
    </row>
    <row x14ac:dyDescent="0.25" r="108" customHeight="1" ht="18.75">
      <c r="A108" s="11">
        <v>23.9</v>
      </c>
      <c r="B108" s="11">
        <f>IFERROR((A108-$P$3) / $R$3, "")</f>
      </c>
      <c r="C108" s="38">
        <f>IF(ABS(B108)&gt;2,"Yes","No")</f>
      </c>
      <c r="D108" s="2"/>
      <c r="E108" s="9"/>
      <c r="F108" s="8"/>
      <c r="G108" s="9"/>
      <c r="H108" s="9"/>
      <c r="I108" s="8"/>
      <c r="J108" s="8"/>
      <c r="K108" s="8"/>
      <c r="L108" s="8"/>
      <c r="M108" s="2"/>
      <c r="N108" s="2"/>
      <c r="O108" s="8"/>
      <c r="P108" s="8"/>
      <c r="Q108" s="8"/>
      <c r="R108" s="8"/>
    </row>
    <row x14ac:dyDescent="0.25" r="109" customHeight="1" ht="18.75">
      <c r="A109" s="11">
        <v>21.1</v>
      </c>
      <c r="B109" s="11">
        <f>IFERROR((A109-$P$3) / $R$3, "")</f>
      </c>
      <c r="C109" s="38">
        <f>IF(ABS(B109)&gt;2,"Yes","No")</f>
      </c>
      <c r="D109" s="2"/>
      <c r="E109" s="9"/>
      <c r="F109" s="8"/>
      <c r="G109" s="9"/>
      <c r="H109" s="9"/>
      <c r="I109" s="8"/>
      <c r="J109" s="8"/>
      <c r="K109" s="8"/>
      <c r="L109" s="8"/>
      <c r="M109" s="2"/>
      <c r="N109" s="2"/>
      <c r="O109" s="8"/>
      <c r="P109" s="8"/>
      <c r="Q109" s="8"/>
      <c r="R109" s="8"/>
    </row>
    <row x14ac:dyDescent="0.25" r="110" customHeight="1" ht="18.75">
      <c r="A110" s="11">
        <v>27.5</v>
      </c>
      <c r="B110" s="11">
        <f>IFERROR((A110-$P$3) / $R$3, "")</f>
      </c>
      <c r="C110" s="38">
        <f>IF(ABS(B110)&gt;2,"Yes","No")</f>
      </c>
      <c r="D110" s="2"/>
      <c r="E110" s="9"/>
      <c r="F110" s="8"/>
      <c r="G110" s="9"/>
      <c r="H110" s="9"/>
      <c r="I110" s="8"/>
      <c r="J110" s="8"/>
      <c r="K110" s="8"/>
      <c r="L110" s="8"/>
      <c r="M110" s="2"/>
      <c r="N110" s="2"/>
      <c r="O110" s="8"/>
      <c r="P110" s="8"/>
      <c r="Q110" s="8"/>
      <c r="R110" s="8"/>
    </row>
    <row x14ac:dyDescent="0.25" r="111" customHeight="1" ht="18.75">
      <c r="A111" s="11">
        <v>39.4</v>
      </c>
      <c r="B111" s="11">
        <f>IFERROR((A111-$P$3) / $R$3, "")</f>
      </c>
      <c r="C111" s="38">
        <f>IF(ABS(B111)&gt;2,"Yes","No")</f>
      </c>
      <c r="D111" s="2"/>
      <c r="E111" s="9"/>
      <c r="F111" s="8"/>
      <c r="G111" s="9"/>
      <c r="H111" s="9"/>
      <c r="I111" s="8"/>
      <c r="J111" s="8"/>
      <c r="K111" s="8"/>
      <c r="L111" s="8"/>
      <c r="M111" s="2"/>
      <c r="N111" s="2"/>
      <c r="O111" s="8"/>
      <c r="P111" s="8"/>
      <c r="Q111" s="8"/>
      <c r="R111" s="8"/>
    </row>
    <row x14ac:dyDescent="0.25" r="112" customHeight="1" ht="18.75">
      <c r="A112" s="11">
        <v>36.1</v>
      </c>
      <c r="B112" s="11">
        <f>IFERROR((A112-$P$3) / $R$3, "")</f>
      </c>
      <c r="C112" s="38">
        <f>IF(ABS(B112)&gt;2,"Yes","No")</f>
      </c>
      <c r="D112" s="2"/>
      <c r="E112" s="9"/>
      <c r="F112" s="8"/>
      <c r="G112" s="9"/>
      <c r="H112" s="9"/>
      <c r="I112" s="8"/>
      <c r="J112" s="8"/>
      <c r="K112" s="8"/>
      <c r="L112" s="8"/>
      <c r="M112" s="2"/>
      <c r="N112" s="2"/>
      <c r="O112" s="8"/>
      <c r="P112" s="8"/>
      <c r="Q112" s="8"/>
      <c r="R112" s="8"/>
    </row>
    <row x14ac:dyDescent="0.25" r="113" customHeight="1" ht="18.75">
      <c r="A113" s="11">
        <v>29.5</v>
      </c>
      <c r="B113" s="11">
        <f>IFERROR((A113-$P$3) / $R$3, "")</f>
      </c>
      <c r="C113" s="38">
        <f>IF(ABS(B113)&gt;2,"Yes","No")</f>
      </c>
      <c r="D113" s="2"/>
      <c r="E113" s="9"/>
      <c r="F113" s="8"/>
      <c r="G113" s="9"/>
      <c r="H113" s="9"/>
      <c r="I113" s="8"/>
      <c r="J113" s="8"/>
      <c r="K113" s="8"/>
      <c r="L113" s="8"/>
      <c r="M113" s="2"/>
      <c r="N113" s="2"/>
      <c r="O113" s="8"/>
      <c r="P113" s="8"/>
      <c r="Q113" s="8"/>
      <c r="R113" s="8"/>
    </row>
    <row x14ac:dyDescent="0.25" r="114" customHeight="1" ht="18.75">
      <c r="A114" s="11">
        <v>32.8</v>
      </c>
      <c r="B114" s="11">
        <f>IFERROR((A114-$P$3) / $R$3, "")</f>
      </c>
      <c r="C114" s="38">
        <f>IF(ABS(B114)&gt;2,"Yes","No")</f>
      </c>
      <c r="D114" s="2"/>
      <c r="E114" s="9"/>
      <c r="F114" s="8"/>
      <c r="G114" s="9"/>
      <c r="H114" s="9"/>
      <c r="I114" s="8"/>
      <c r="J114" s="8"/>
      <c r="K114" s="8"/>
      <c r="L114" s="8"/>
      <c r="M114" s="2"/>
      <c r="N114" s="2"/>
      <c r="O114" s="8"/>
      <c r="P114" s="8"/>
      <c r="Q114" s="8"/>
      <c r="R114" s="8"/>
    </row>
    <row x14ac:dyDescent="0.25" r="115" customHeight="1" ht="18.75">
      <c r="A115" s="11">
        <v>34.1</v>
      </c>
      <c r="B115" s="11">
        <f>IFERROR((A115-$P$3) / $R$3, "")</f>
      </c>
      <c r="C115" s="38">
        <f>IF(ABS(B115)&gt;2,"Yes","No")</f>
      </c>
      <c r="D115" s="2"/>
      <c r="E115" s="9"/>
      <c r="F115" s="8"/>
      <c r="G115" s="9"/>
      <c r="H115" s="9"/>
      <c r="I115" s="8"/>
      <c r="J115" s="8"/>
      <c r="K115" s="8"/>
      <c r="L115" s="8"/>
      <c r="M115" s="2"/>
      <c r="N115" s="2"/>
      <c r="O115" s="8"/>
      <c r="P115" s="8"/>
      <c r="Q115" s="8"/>
      <c r="R115" s="8"/>
    </row>
    <row x14ac:dyDescent="0.25" r="116" customHeight="1" ht="18.75">
      <c r="A116" s="11">
        <v>31.8</v>
      </c>
      <c r="B116" s="11">
        <f>IFERROR((A116-$P$3) / $R$3, "")</f>
      </c>
      <c r="C116" s="38">
        <f>IF(ABS(B116)&gt;2,"Yes","No")</f>
      </c>
      <c r="D116" s="2"/>
      <c r="E116" s="9"/>
      <c r="F116" s="8"/>
      <c r="G116" s="9"/>
      <c r="H116" s="9"/>
      <c r="I116" s="8"/>
      <c r="J116" s="8"/>
      <c r="K116" s="8"/>
      <c r="L116" s="8"/>
      <c r="M116" s="2"/>
      <c r="N116" s="2"/>
      <c r="O116" s="8"/>
      <c r="P116" s="8"/>
      <c r="Q116" s="8"/>
      <c r="R116" s="8"/>
    </row>
    <row x14ac:dyDescent="0.25" r="117" customHeight="1" ht="18.75">
      <c r="A117" s="11">
        <v>23.7</v>
      </c>
      <c r="B117" s="11">
        <f>IFERROR((A117-$P$3) / $R$3, "")</f>
      </c>
      <c r="C117" s="38">
        <f>IF(ABS(B117)&gt;2,"Yes","No")</f>
      </c>
      <c r="D117" s="2"/>
      <c r="E117" s="9"/>
      <c r="F117" s="8"/>
      <c r="G117" s="9"/>
      <c r="H117" s="9"/>
      <c r="I117" s="8"/>
      <c r="J117" s="8"/>
      <c r="K117" s="8"/>
      <c r="L117" s="8"/>
      <c r="M117" s="2"/>
      <c r="N117" s="2"/>
      <c r="O117" s="8"/>
      <c r="P117" s="8"/>
      <c r="Q117" s="8"/>
      <c r="R117" s="8"/>
    </row>
    <row x14ac:dyDescent="0.25" r="118" customHeight="1" ht="18.75">
      <c r="A118" s="3">
        <v>37</v>
      </c>
      <c r="B118" s="11">
        <f>IFERROR((A118-$P$3) / $R$3, "")</f>
      </c>
      <c r="C118" s="38">
        <f>IF(ABS(B118)&gt;2,"Yes","No")</f>
      </c>
      <c r="D118" s="2"/>
      <c r="E118" s="9"/>
      <c r="F118" s="8"/>
      <c r="G118" s="9"/>
      <c r="H118" s="9"/>
      <c r="I118" s="8"/>
      <c r="J118" s="8"/>
      <c r="K118" s="8"/>
      <c r="L118" s="8"/>
      <c r="M118" s="2"/>
      <c r="N118" s="2"/>
      <c r="O118" s="8"/>
      <c r="P118" s="8"/>
      <c r="Q118" s="8"/>
      <c r="R118" s="8"/>
    </row>
    <row x14ac:dyDescent="0.25" r="119" customHeight="1" ht="18.75">
      <c r="A119" s="11">
        <v>44.6</v>
      </c>
      <c r="B119" s="11">
        <f>IFERROR((A119-$P$3) / $R$3, "")</f>
      </c>
      <c r="C119" s="38">
        <f>IF(ABS(B119)&gt;2,"Yes","No")</f>
      </c>
      <c r="D119" s="2"/>
      <c r="E119" s="9"/>
      <c r="F119" s="8"/>
      <c r="G119" s="9"/>
      <c r="H119" s="9"/>
      <c r="I119" s="8"/>
      <c r="J119" s="8"/>
      <c r="K119" s="8"/>
      <c r="L119" s="8"/>
      <c r="M119" s="2"/>
      <c r="N119" s="2"/>
      <c r="O119" s="8"/>
      <c r="P119" s="8"/>
      <c r="Q119" s="8"/>
      <c r="R119" s="8"/>
    </row>
    <row x14ac:dyDescent="0.25" r="120" customHeight="1" ht="18.75">
      <c r="A120" s="11">
        <v>29.8</v>
      </c>
      <c r="B120" s="11">
        <f>IFERROR((A120-$P$3) / $R$3, "")</f>
      </c>
      <c r="C120" s="38">
        <f>IF(ABS(B120)&gt;2,"Yes","No")</f>
      </c>
      <c r="D120" s="2"/>
      <c r="E120" s="9"/>
      <c r="F120" s="8"/>
      <c r="G120" s="9"/>
      <c r="H120" s="9"/>
      <c r="I120" s="8"/>
      <c r="J120" s="8"/>
      <c r="K120" s="8"/>
      <c r="L120" s="8"/>
      <c r="M120" s="2"/>
      <c r="N120" s="2"/>
      <c r="O120" s="8"/>
      <c r="P120" s="8"/>
      <c r="Q120" s="8"/>
      <c r="R120" s="8"/>
    </row>
    <row x14ac:dyDescent="0.25" r="121" customHeight="1" ht="18.75">
      <c r="A121" s="11">
        <v>32.2</v>
      </c>
      <c r="B121" s="11">
        <f>IFERROR((A121-$P$3) / $R$3, "")</f>
      </c>
      <c r="C121" s="38">
        <f>IF(ABS(B121)&gt;2,"Yes","No")</f>
      </c>
      <c r="D121" s="2"/>
      <c r="E121" s="9"/>
      <c r="F121" s="8"/>
      <c r="G121" s="9"/>
      <c r="H121" s="9"/>
      <c r="I121" s="8"/>
      <c r="J121" s="8"/>
      <c r="K121" s="8"/>
      <c r="L121" s="8"/>
      <c r="M121" s="2"/>
      <c r="N121" s="2"/>
      <c r="O121" s="8"/>
      <c r="P121" s="8"/>
      <c r="Q121" s="8"/>
      <c r="R121" s="8"/>
    </row>
    <row x14ac:dyDescent="0.25" r="122" customHeight="1" ht="18.75">
      <c r="A122" s="11">
        <v>37.2</v>
      </c>
      <c r="B122" s="11">
        <f>IFERROR((A122-$P$3) / $R$3, "")</f>
      </c>
      <c r="C122" s="38">
        <f>IF(ABS(B122)&gt;2,"Yes","No")</f>
      </c>
      <c r="D122" s="2"/>
      <c r="E122" s="9"/>
      <c r="F122" s="8"/>
      <c r="G122" s="9"/>
      <c r="H122" s="9"/>
      <c r="I122" s="8"/>
      <c r="J122" s="8"/>
      <c r="K122" s="8"/>
      <c r="L122" s="8"/>
      <c r="M122" s="2"/>
      <c r="N122" s="2"/>
      <c r="O122" s="8"/>
      <c r="P122" s="8"/>
      <c r="Q122" s="8"/>
      <c r="R122" s="8"/>
    </row>
    <row x14ac:dyDescent="0.25" r="123" customHeight="1" ht="18.75">
      <c r="A123" s="11">
        <v>32.4</v>
      </c>
      <c r="B123" s="11">
        <f>IFERROR((A123-$P$3) / $R$3, "")</f>
      </c>
      <c r="C123" s="38">
        <f>IF(ABS(B123)&gt;2,"Yes","No")</f>
      </c>
      <c r="D123" s="2"/>
      <c r="E123" s="9"/>
      <c r="F123" s="8"/>
      <c r="G123" s="9"/>
      <c r="H123" s="9"/>
      <c r="I123" s="8"/>
      <c r="J123" s="8"/>
      <c r="K123" s="8"/>
      <c r="L123" s="8"/>
      <c r="M123" s="2"/>
      <c r="N123" s="2"/>
      <c r="O123" s="8"/>
      <c r="P123" s="8"/>
      <c r="Q123" s="8"/>
      <c r="R123" s="8"/>
    </row>
    <row x14ac:dyDescent="0.25" r="124" customHeight="1" ht="18.75">
      <c r="A124" s="11">
        <v>33.8</v>
      </c>
      <c r="B124" s="11">
        <f>IFERROR((A124-$P$3) / $R$3, "")</f>
      </c>
      <c r="C124" s="38">
        <f>IF(ABS(B124)&gt;2,"Yes","No")</f>
      </c>
      <c r="D124" s="2"/>
      <c r="E124" s="9"/>
      <c r="F124" s="8"/>
      <c r="G124" s="9"/>
      <c r="H124" s="9"/>
      <c r="I124" s="8"/>
      <c r="J124" s="8"/>
      <c r="K124" s="8"/>
      <c r="L124" s="8"/>
      <c r="M124" s="2"/>
      <c r="N124" s="2"/>
      <c r="O124" s="8"/>
      <c r="P124" s="8"/>
      <c r="Q124" s="8"/>
      <c r="R124" s="8"/>
    </row>
    <row x14ac:dyDescent="0.25" r="125" customHeight="1" ht="18.75">
      <c r="A125" s="11">
        <v>40.8</v>
      </c>
      <c r="B125" s="11">
        <f>IFERROR((A125-$P$3) / $R$3, "")</f>
      </c>
      <c r="C125" s="38">
        <f>IF(ABS(B125)&gt;2,"Yes","No")</f>
      </c>
      <c r="D125" s="2"/>
      <c r="E125" s="9"/>
      <c r="F125" s="8"/>
      <c r="G125" s="9"/>
      <c r="H125" s="9"/>
      <c r="I125" s="8"/>
      <c r="J125" s="8"/>
      <c r="K125" s="8"/>
      <c r="L125" s="8"/>
      <c r="M125" s="2"/>
      <c r="N125" s="2"/>
      <c r="O125" s="8"/>
      <c r="P125" s="8"/>
      <c r="Q125" s="8"/>
      <c r="R125" s="8"/>
    </row>
    <row x14ac:dyDescent="0.25" r="126" customHeight="1" ht="18.75">
      <c r="A126" s="11">
        <v>46.6</v>
      </c>
      <c r="B126" s="11">
        <f>IFERROR((A126-$P$3) / $R$3, "")</f>
      </c>
      <c r="C126" s="38">
        <f>IF(ABS(B126)&gt;2,"Yes","No")</f>
      </c>
      <c r="D126" s="2"/>
      <c r="E126" s="9"/>
      <c r="F126" s="8"/>
      <c r="G126" s="9"/>
      <c r="H126" s="9"/>
      <c r="I126" s="8"/>
      <c r="J126" s="8"/>
      <c r="K126" s="8"/>
      <c r="L126" s="8"/>
      <c r="M126" s="2"/>
      <c r="N126" s="2"/>
      <c r="O126" s="8"/>
      <c r="P126" s="8"/>
      <c r="Q126" s="8"/>
      <c r="R126" s="8"/>
    </row>
    <row x14ac:dyDescent="0.25" r="127" customHeight="1" ht="18.75">
      <c r="A127" s="11">
        <v>38.1</v>
      </c>
      <c r="B127" s="11">
        <f>IFERROR((A127-$P$3) / $R$3, "")</f>
      </c>
      <c r="C127" s="38">
        <f>IF(ABS(B127)&gt;2,"Yes","No")</f>
      </c>
      <c r="D127" s="2"/>
      <c r="E127" s="9"/>
      <c r="F127" s="8"/>
      <c r="G127" s="9"/>
      <c r="H127" s="9"/>
      <c r="I127" s="8"/>
      <c r="J127" s="8"/>
      <c r="K127" s="8"/>
      <c r="L127" s="8"/>
      <c r="M127" s="2"/>
      <c r="N127" s="2"/>
      <c r="O127" s="8"/>
      <c r="P127" s="8"/>
      <c r="Q127" s="8"/>
      <c r="R127" s="8"/>
    </row>
    <row x14ac:dyDescent="0.25" r="128" customHeight="1" ht="18.75">
      <c r="A128" s="11">
        <v>31.3</v>
      </c>
      <c r="B128" s="11">
        <f>IFERROR((A128-$P$3) / $R$3, "")</f>
      </c>
      <c r="C128" s="38">
        <f>IF(ABS(B128)&gt;2,"Yes","No")</f>
      </c>
      <c r="D128" s="2"/>
      <c r="E128" s="9"/>
      <c r="F128" s="8"/>
      <c r="G128" s="9"/>
      <c r="H128" s="9"/>
      <c r="I128" s="8"/>
      <c r="J128" s="8"/>
      <c r="K128" s="8"/>
      <c r="L128" s="8"/>
      <c r="M128" s="2"/>
      <c r="N128" s="2"/>
      <c r="O128" s="8"/>
      <c r="P128" s="8"/>
      <c r="Q128" s="8"/>
      <c r="R128" s="8"/>
    </row>
    <row x14ac:dyDescent="0.25" r="129" customHeight="1" ht="18.75">
      <c r="A129" s="11">
        <v>32.7</v>
      </c>
      <c r="B129" s="11">
        <f>IFERROR((A129-$P$3) / $R$3, "")</f>
      </c>
      <c r="C129" s="38">
        <f>IF(ABS(B129)&gt;2,"Yes","No")</f>
      </c>
      <c r="D129" s="2"/>
      <c r="E129" s="9"/>
      <c r="F129" s="8"/>
      <c r="G129" s="9"/>
      <c r="H129" s="9"/>
      <c r="I129" s="8"/>
      <c r="J129" s="8"/>
      <c r="K129" s="8"/>
      <c r="L129" s="8"/>
      <c r="M129" s="2"/>
      <c r="N129" s="2"/>
      <c r="O129" s="8"/>
      <c r="P129" s="8"/>
      <c r="Q129" s="8"/>
      <c r="R129" s="8"/>
    </row>
    <row x14ac:dyDescent="0.25" r="130" customHeight="1" ht="18.75">
      <c r="A130" s="11">
        <v>32.9</v>
      </c>
      <c r="B130" s="11">
        <f>IFERROR((A130-$P$3) / $R$3, "")</f>
      </c>
      <c r="C130" s="38">
        <f>IF(ABS(B130)&gt;2,"Yes","No")</f>
      </c>
      <c r="D130" s="2"/>
      <c r="E130" s="9"/>
      <c r="F130" s="8"/>
      <c r="G130" s="9"/>
      <c r="H130" s="9"/>
      <c r="I130" s="8"/>
      <c r="J130" s="8"/>
      <c r="K130" s="8"/>
      <c r="L130" s="8"/>
      <c r="M130" s="2"/>
      <c r="N130" s="2"/>
      <c r="O130" s="8"/>
      <c r="P130" s="8"/>
      <c r="Q130" s="8"/>
      <c r="R130" s="8"/>
    </row>
    <row x14ac:dyDescent="0.25" r="131" customHeight="1" ht="18.75">
      <c r="A131" s="11">
        <v>34.1</v>
      </c>
      <c r="B131" s="11">
        <f>IFERROR((A131-$P$3) / $R$3, "")</f>
      </c>
      <c r="C131" s="38">
        <f>IF(ABS(B131)&gt;2,"Yes","No")</f>
      </c>
      <c r="D131" s="2"/>
      <c r="E131" s="9"/>
      <c r="F131" s="8"/>
      <c r="G131" s="9"/>
      <c r="H131" s="9"/>
      <c r="I131" s="8"/>
      <c r="J131" s="8"/>
      <c r="K131" s="8"/>
      <c r="L131" s="8"/>
      <c r="M131" s="2"/>
      <c r="N131" s="2"/>
      <c r="O131" s="8"/>
      <c r="P131" s="8"/>
      <c r="Q131" s="8"/>
      <c r="R131" s="8"/>
    </row>
    <row x14ac:dyDescent="0.25" r="132" customHeight="1" ht="18.75">
      <c r="A132" s="11">
        <v>35.1</v>
      </c>
      <c r="B132" s="11">
        <f>IFERROR((A132-$P$3) / $R$3, "")</f>
      </c>
      <c r="C132" s="38">
        <f>IF(ABS(B132)&gt;2,"Yes","No")</f>
      </c>
      <c r="D132" s="2"/>
      <c r="E132" s="9"/>
      <c r="F132" s="8"/>
      <c r="G132" s="9"/>
      <c r="H132" s="9"/>
      <c r="I132" s="8"/>
      <c r="J132" s="8"/>
      <c r="K132" s="8"/>
      <c r="L132" s="8"/>
      <c r="M132" s="2"/>
      <c r="N132" s="2"/>
      <c r="O132" s="8"/>
      <c r="P132" s="8"/>
      <c r="Q132" s="8"/>
      <c r="R132" s="8"/>
    </row>
    <row x14ac:dyDescent="0.25" r="133" customHeight="1" ht="18.75">
      <c r="A133" s="11">
        <v>33.7</v>
      </c>
      <c r="B133" s="11">
        <f>IFERROR((A133-$P$3) / $R$3, "")</f>
      </c>
      <c r="C133" s="38">
        <f>IF(ABS(B133)&gt;2,"Yes","No")</f>
      </c>
      <c r="D133" s="2"/>
      <c r="E133" s="9"/>
      <c r="F133" s="8"/>
      <c r="G133" s="9"/>
      <c r="H133" s="9"/>
      <c r="I133" s="8"/>
      <c r="J133" s="8"/>
      <c r="K133" s="8"/>
      <c r="L133" s="8"/>
      <c r="M133" s="2"/>
      <c r="N133" s="2"/>
      <c r="O133" s="8"/>
      <c r="P133" s="8"/>
      <c r="Q133" s="8"/>
      <c r="R133" s="8"/>
    </row>
    <row x14ac:dyDescent="0.25" r="134" customHeight="1" ht="18.75">
      <c r="A134" s="11">
        <v>39.1</v>
      </c>
      <c r="B134" s="11">
        <f>IFERROR((A134-$P$3) / $R$3, "")</f>
      </c>
      <c r="C134" s="38">
        <f>IF(ABS(B134)&gt;2,"Yes","No")</f>
      </c>
      <c r="D134" s="2"/>
      <c r="E134" s="9"/>
      <c r="F134" s="8"/>
      <c r="G134" s="9"/>
      <c r="H134" s="9"/>
      <c r="I134" s="8"/>
      <c r="J134" s="8"/>
      <c r="K134" s="8"/>
      <c r="L134" s="8"/>
      <c r="M134" s="2"/>
      <c r="N134" s="2"/>
      <c r="O134" s="8"/>
      <c r="P134" s="8"/>
      <c r="Q134" s="8"/>
      <c r="R134" s="8"/>
    </row>
    <row x14ac:dyDescent="0.25" r="135" customHeight="1" ht="18.75">
      <c r="A135" s="3">
        <v>37</v>
      </c>
      <c r="B135" s="11">
        <f>IFERROR((A135-$P$3) / $R$3, "")</f>
      </c>
      <c r="C135" s="38">
        <f>IF(ABS(B135)&gt;2,"Yes","No")</f>
      </c>
      <c r="D135" s="2"/>
      <c r="E135" s="9"/>
      <c r="F135" s="8"/>
      <c r="G135" s="9"/>
      <c r="H135" s="9"/>
      <c r="I135" s="8"/>
      <c r="J135" s="8"/>
      <c r="K135" s="8"/>
      <c r="L135" s="8"/>
      <c r="M135" s="2"/>
      <c r="N135" s="2"/>
      <c r="O135" s="8"/>
      <c r="P135" s="8"/>
      <c r="Q135" s="8"/>
      <c r="R135" s="8"/>
    </row>
    <row x14ac:dyDescent="0.25" r="136" customHeight="1" ht="18.75">
      <c r="A136" s="11">
        <v>32.3</v>
      </c>
      <c r="B136" s="11">
        <f>IFERROR((A136-$P$3) / $R$3, "")</f>
      </c>
      <c r="C136" s="38">
        <f>IF(ABS(B136)&gt;2,"Yes","No")</f>
      </c>
      <c r="D136" s="2"/>
      <c r="E136" s="9"/>
      <c r="F136" s="8"/>
      <c r="G136" s="9"/>
      <c r="H136" s="9"/>
      <c r="I136" s="8"/>
      <c r="J136" s="8"/>
      <c r="K136" s="8"/>
      <c r="L136" s="8"/>
      <c r="M136" s="2"/>
      <c r="N136" s="2"/>
      <c r="O136" s="8"/>
      <c r="P136" s="8"/>
      <c r="Q136" s="8"/>
      <c r="R136" s="8"/>
    </row>
    <row x14ac:dyDescent="0.25" r="137" customHeight="1" ht="18.75">
      <c r="A137" s="11">
        <v>32.4</v>
      </c>
      <c r="B137" s="11">
        <f>IFERROR((A137-$P$3) / $R$3, "")</f>
      </c>
      <c r="C137" s="38">
        <f>IF(ABS(B137)&gt;2,"Yes","No")</f>
      </c>
      <c r="D137" s="2"/>
      <c r="E137" s="9"/>
      <c r="F137" s="8"/>
      <c r="G137" s="9"/>
      <c r="H137" s="9"/>
      <c r="I137" s="8"/>
      <c r="J137" s="8"/>
      <c r="K137" s="8"/>
      <c r="L137" s="8"/>
      <c r="M137" s="2"/>
      <c r="N137" s="2"/>
      <c r="O137" s="8"/>
      <c r="P137" s="8"/>
      <c r="Q137" s="8"/>
      <c r="R137" s="8"/>
    </row>
    <row x14ac:dyDescent="0.25" r="138" customHeight="1" ht="18.75">
      <c r="A138" s="11">
        <v>37.7</v>
      </c>
      <c r="B138" s="11">
        <f>IFERROR((A138-$P$3) / $R$3, "")</f>
      </c>
      <c r="C138" s="38">
        <f>IF(ABS(B138)&gt;2,"Yes","No")</f>
      </c>
      <c r="D138" s="2"/>
      <c r="E138" s="9"/>
      <c r="F138" s="8"/>
      <c r="G138" s="9"/>
      <c r="H138" s="9"/>
      <c r="I138" s="8"/>
      <c r="J138" s="8"/>
      <c r="K138" s="8"/>
      <c r="L138" s="8"/>
      <c r="M138" s="2"/>
      <c r="N138" s="2"/>
      <c r="O138" s="8"/>
      <c r="P138" s="8"/>
      <c r="Q138" s="8"/>
      <c r="R138" s="8"/>
    </row>
    <row x14ac:dyDescent="0.25" r="139" customHeight="1" ht="18.75">
      <c r="A139" s="11">
        <v>31.6</v>
      </c>
      <c r="B139" s="11">
        <f>IFERROR((A139-$P$3) / $R$3, "")</f>
      </c>
      <c r="C139" s="38">
        <f>IF(ABS(B139)&gt;2,"Yes","No")</f>
      </c>
      <c r="D139" s="2"/>
      <c r="E139" s="9"/>
      <c r="F139" s="8"/>
      <c r="G139" s="9"/>
      <c r="H139" s="9"/>
      <c r="I139" s="8"/>
      <c r="J139" s="8"/>
      <c r="K139" s="8"/>
      <c r="L139" s="8"/>
      <c r="M139" s="2"/>
      <c r="N139" s="2"/>
      <c r="O139" s="8"/>
      <c r="P139" s="8"/>
      <c r="Q139" s="8"/>
      <c r="R139" s="8"/>
    </row>
    <row x14ac:dyDescent="0.25" r="140" customHeight="1" ht="18.75">
      <c r="A140" s="11">
        <v>24.2</v>
      </c>
      <c r="B140" s="11">
        <f>IFERROR((A140-$P$3) / $R$3, "")</f>
      </c>
      <c r="C140" s="38">
        <f>IF(ABS(B140)&gt;2,"Yes","No")</f>
      </c>
      <c r="D140" s="2"/>
      <c r="E140" s="9"/>
      <c r="F140" s="8"/>
      <c r="G140" s="9"/>
      <c r="H140" s="9"/>
      <c r="I140" s="8"/>
      <c r="J140" s="8"/>
      <c r="K140" s="8"/>
      <c r="L140" s="8"/>
      <c r="M140" s="2"/>
      <c r="N140" s="2"/>
      <c r="O140" s="8"/>
      <c r="P140" s="8"/>
      <c r="Q140" s="8"/>
      <c r="R140" s="8"/>
    </row>
    <row x14ac:dyDescent="0.25" r="141" customHeight="1" ht="18.75">
      <c r="A141" s="11">
        <v>25.4</v>
      </c>
      <c r="B141" s="11">
        <f>IFERROR((A141-$P$3) / $R$3, "")</f>
      </c>
      <c r="C141" s="38">
        <f>IF(ABS(B141)&gt;2,"Yes","No")</f>
      </c>
      <c r="D141" s="2"/>
      <c r="E141" s="9"/>
      <c r="F141" s="8"/>
      <c r="G141" s="9"/>
      <c r="H141" s="9"/>
      <c r="I141" s="8"/>
      <c r="J141" s="8"/>
      <c r="K141" s="8"/>
      <c r="L141" s="8"/>
      <c r="M141" s="2"/>
      <c r="N141" s="2"/>
      <c r="O141" s="8"/>
      <c r="P141" s="8"/>
      <c r="Q141" s="8"/>
      <c r="R141" s="8"/>
    </row>
    <row x14ac:dyDescent="0.25" r="142" customHeight="1" ht="18.75">
      <c r="A142" s="3">
        <v>36</v>
      </c>
      <c r="B142" s="11">
        <f>IFERROR((A142-$P$3) / $R$3, "")</f>
      </c>
      <c r="C142" s="38">
        <f>IF(ABS(B142)&gt;2,"Yes","No")</f>
      </c>
      <c r="D142" s="2"/>
      <c r="E142" s="9"/>
      <c r="F142" s="8"/>
      <c r="G142" s="9"/>
      <c r="H142" s="9"/>
      <c r="I142" s="8"/>
      <c r="J142" s="8"/>
      <c r="K142" s="8"/>
      <c r="L142" s="8"/>
      <c r="M142" s="2"/>
      <c r="N142" s="2"/>
      <c r="O142" s="8"/>
      <c r="P142" s="8"/>
      <c r="Q142" s="8"/>
      <c r="R142" s="8"/>
    </row>
    <row x14ac:dyDescent="0.25" r="143" customHeight="1" ht="18.75">
      <c r="A143" s="3">
        <v>32</v>
      </c>
      <c r="B143" s="11">
        <f>IFERROR((A143-$P$3) / $R$3, "")</f>
      </c>
      <c r="C143" s="38">
        <f>IF(ABS(B143)&gt;2,"Yes","No")</f>
      </c>
      <c r="D143" s="2"/>
      <c r="E143" s="9"/>
      <c r="F143" s="8"/>
      <c r="G143" s="9"/>
      <c r="H143" s="9"/>
      <c r="I143" s="8"/>
      <c r="J143" s="8"/>
      <c r="K143" s="8"/>
      <c r="L143" s="8"/>
      <c r="M143" s="2"/>
      <c r="N143" s="2"/>
      <c r="O143" s="8"/>
      <c r="P143" s="8"/>
      <c r="Q143" s="8"/>
      <c r="R143" s="8"/>
    </row>
    <row x14ac:dyDescent="0.25" r="144" customHeight="1" ht="18.75">
      <c r="A144" s="3">
        <v>31</v>
      </c>
      <c r="B144" s="11">
        <f>IFERROR((A144-$P$3) / $R$3, "")</f>
      </c>
      <c r="C144" s="38">
        <f>IF(ABS(B144)&gt;2,"Yes","No")</f>
      </c>
      <c r="D144" s="2"/>
      <c r="E144" s="9"/>
      <c r="F144" s="8"/>
      <c r="G144" s="9"/>
      <c r="H144" s="9"/>
      <c r="I144" s="8"/>
      <c r="J144" s="8"/>
      <c r="K144" s="8"/>
      <c r="L144" s="8"/>
      <c r="M144" s="2"/>
      <c r="N144" s="2"/>
      <c r="O144" s="8"/>
      <c r="P144" s="8"/>
      <c r="Q144" s="8"/>
      <c r="R144" s="8"/>
    </row>
    <row x14ac:dyDescent="0.25" r="145" customHeight="1" ht="18.75">
      <c r="A145" s="3">
        <v>38</v>
      </c>
      <c r="B145" s="11">
        <f>IFERROR((A145-$P$3) / $R$3, "")</f>
      </c>
      <c r="C145" s="38">
        <f>IF(ABS(B145)&gt;2,"Yes","No")</f>
      </c>
      <c r="D145" s="2"/>
      <c r="E145" s="9"/>
      <c r="F145" s="8"/>
      <c r="G145" s="9"/>
      <c r="H145" s="9"/>
      <c r="I145" s="8"/>
      <c r="J145" s="8"/>
      <c r="K145" s="8"/>
      <c r="L145" s="8"/>
      <c r="M145" s="2"/>
      <c r="N145" s="2"/>
      <c r="O145" s="8"/>
      <c r="P145" s="8"/>
      <c r="Q145" s="8"/>
      <c r="R145" s="8"/>
    </row>
    <row x14ac:dyDescent="0.25" r="146" customHeight="1" ht="18.75">
      <c r="A146" s="3">
        <v>32</v>
      </c>
      <c r="B146" s="11">
        <f>IFERROR((A146-$P$3) / $R$3, "")</f>
      </c>
      <c r="C146" s="38">
        <f>IF(ABS(B146)&gt;2,"Yes","No")</f>
      </c>
      <c r="D146" s="2"/>
      <c r="E146" s="9"/>
      <c r="F146" s="8"/>
      <c r="G146" s="9"/>
      <c r="H146" s="9"/>
      <c r="I146" s="8"/>
      <c r="J146" s="8"/>
      <c r="K146" s="8"/>
      <c r="L146" s="8"/>
      <c r="M146" s="2"/>
      <c r="N146" s="2"/>
      <c r="O146" s="8"/>
      <c r="P146" s="8"/>
      <c r="Q146" s="8"/>
      <c r="R146" s="8"/>
    </row>
    <row x14ac:dyDescent="0.25" r="147" customHeight="1" ht="18.75">
      <c r="A147" s="3">
        <v>36</v>
      </c>
      <c r="B147" s="11">
        <f>IFERROR((A147-$P$3) / $R$3, "")</f>
      </c>
      <c r="C147" s="38">
        <f>IF(ABS(B147)&gt;2,"Yes","No")</f>
      </c>
      <c r="D147" s="2"/>
      <c r="E147" s="9"/>
      <c r="F147" s="8"/>
      <c r="G147" s="9"/>
      <c r="H147" s="9"/>
      <c r="I147" s="8"/>
      <c r="J147" s="8"/>
      <c r="K147" s="8"/>
      <c r="L147" s="8"/>
      <c r="M147" s="2"/>
      <c r="N147" s="2"/>
      <c r="O147" s="8"/>
      <c r="P147" s="8"/>
      <c r="Q147" s="8"/>
      <c r="R147" s="8"/>
    </row>
    <row x14ac:dyDescent="0.25" r="148" customHeight="1" ht="18.75">
      <c r="A148" s="3">
        <v>38</v>
      </c>
      <c r="B148" s="11">
        <f>IFERROR((A148-$P$3) / $R$3, "")</f>
      </c>
      <c r="C148" s="38">
        <f>IF(ABS(B148)&gt;2,"Yes","No")</f>
      </c>
      <c r="D148" s="2"/>
      <c r="E148" s="9"/>
      <c r="F148" s="8"/>
      <c r="G148" s="9"/>
      <c r="H148" s="9"/>
      <c r="I148" s="8"/>
      <c r="J148" s="8"/>
      <c r="K148" s="8"/>
      <c r="L148" s="8"/>
      <c r="M148" s="2"/>
      <c r="N148" s="2"/>
      <c r="O148" s="8"/>
      <c r="P148" s="8"/>
      <c r="Q148" s="8"/>
      <c r="R148" s="8"/>
    </row>
    <row x14ac:dyDescent="0.25" r="149" customHeight="1" ht="18.75">
      <c r="A149" s="3">
        <v>37</v>
      </c>
      <c r="B149" s="11">
        <f>IFERROR((A149-$P$3) / $R$3, "")</f>
      </c>
      <c r="C149" s="38">
        <f>IF(ABS(B149)&gt;2,"Yes","No")</f>
      </c>
      <c r="D149" s="2"/>
      <c r="E149" s="9"/>
      <c r="F149" s="8"/>
      <c r="G149" s="9"/>
      <c r="H149" s="9"/>
      <c r="I149" s="8"/>
      <c r="J149" s="8"/>
      <c r="K149" s="8"/>
      <c r="L149" s="8"/>
      <c r="M149" s="2"/>
      <c r="N149" s="2"/>
      <c r="O149" s="8"/>
      <c r="P149" s="8"/>
      <c r="Q149" s="8"/>
      <c r="R149" s="8"/>
    </row>
    <row x14ac:dyDescent="0.25" r="150" customHeight="1" ht="18.75">
      <c r="A150" s="3">
        <v>34</v>
      </c>
      <c r="B150" s="11">
        <f>IFERROR((A150-$P$3) / $R$3, "")</f>
      </c>
      <c r="C150" s="38">
        <f>IF(ABS(B150)&gt;2,"Yes","No")</f>
      </c>
      <c r="D150" s="2"/>
      <c r="E150" s="9"/>
      <c r="F150" s="8"/>
      <c r="G150" s="9"/>
      <c r="H150" s="9"/>
      <c r="I150" s="8"/>
      <c r="J150" s="8"/>
      <c r="K150" s="8"/>
      <c r="L150" s="8"/>
      <c r="M150" s="2"/>
      <c r="N150" s="2"/>
      <c r="O150" s="8"/>
      <c r="P150" s="8"/>
      <c r="Q150" s="8"/>
      <c r="R150" s="8"/>
    </row>
    <row x14ac:dyDescent="0.25" r="151" customHeight="1" ht="18.75">
      <c r="A151" s="3">
        <v>18</v>
      </c>
      <c r="B151" s="11">
        <f>IFERROR((A151-$P$3) / $R$3, "")</f>
      </c>
      <c r="C151" s="38">
        <f>IF(ABS(B151)&gt;2,"Yes","No")</f>
      </c>
      <c r="D151" s="2"/>
      <c r="E151" s="9"/>
      <c r="F151" s="8"/>
      <c r="G151" s="9"/>
      <c r="H151" s="9"/>
      <c r="I151" s="8"/>
      <c r="J151" s="8"/>
      <c r="K151" s="8"/>
      <c r="L151" s="8"/>
      <c r="M151" s="2"/>
      <c r="N151" s="2"/>
      <c r="O151" s="8"/>
      <c r="P151" s="8"/>
      <c r="Q151" s="8"/>
      <c r="R151" s="8"/>
    </row>
    <row x14ac:dyDescent="0.25" r="152" customHeight="1" ht="18.75">
      <c r="A152" s="3">
        <v>21</v>
      </c>
      <c r="B152" s="11">
        <f>IFERROR((A152-$P$3) / $R$3, "")</f>
      </c>
      <c r="C152" s="38">
        <f>IF(ABS(B152)&gt;2,"Yes","No")</f>
      </c>
      <c r="D152" s="2"/>
      <c r="E152" s="9"/>
      <c r="F152" s="8"/>
      <c r="G152" s="9"/>
      <c r="H152" s="9"/>
      <c r="I152" s="8"/>
      <c r="J152" s="8"/>
      <c r="K152" s="8"/>
      <c r="L152" s="8"/>
      <c r="M152" s="2"/>
      <c r="N152" s="2"/>
      <c r="O152" s="8"/>
      <c r="P152" s="8"/>
      <c r="Q152" s="8"/>
      <c r="R152" s="8"/>
    </row>
    <row x14ac:dyDescent="0.25" r="153" customHeight="1" ht="18.75">
      <c r="A153" s="3">
        <v>22</v>
      </c>
      <c r="B153" s="11">
        <f>IFERROR((A153-$P$3) / $R$3, "")</f>
      </c>
      <c r="C153" s="38">
        <f>IF(ABS(B153)&gt;2,"Yes","No")</f>
      </c>
      <c r="D153" s="2"/>
      <c r="E153" s="9"/>
      <c r="F153" s="8"/>
      <c r="G153" s="9"/>
      <c r="H153" s="9"/>
      <c r="I153" s="8"/>
      <c r="J153" s="8"/>
      <c r="K153" s="8"/>
      <c r="L153" s="8"/>
      <c r="M153" s="2"/>
      <c r="N153" s="2"/>
      <c r="O153" s="8"/>
      <c r="P153" s="8"/>
      <c r="Q153" s="8"/>
      <c r="R153" s="8"/>
    </row>
    <row x14ac:dyDescent="0.25" r="154" customHeight="1" ht="18.75">
      <c r="A154" s="3">
        <v>21</v>
      </c>
      <c r="B154" s="11">
        <f>IFERROR((A154-$P$3) / $R$3, "")</f>
      </c>
      <c r="C154" s="38">
        <f>IF(ABS(B154)&gt;2,"Yes","No")</f>
      </c>
      <c r="D154" s="2"/>
      <c r="E154" s="9"/>
      <c r="F154" s="8"/>
      <c r="G154" s="9"/>
      <c r="H154" s="9"/>
      <c r="I154" s="8"/>
      <c r="J154" s="8"/>
      <c r="K154" s="8"/>
      <c r="L154" s="8"/>
      <c r="M154" s="2"/>
      <c r="N154" s="2"/>
      <c r="O154" s="8"/>
      <c r="P154" s="8"/>
      <c r="Q154" s="8"/>
      <c r="R154" s="8"/>
    </row>
    <row x14ac:dyDescent="0.25" r="155" customHeight="1" ht="18.75">
      <c r="A155" s="3">
        <v>14</v>
      </c>
      <c r="B155" s="11">
        <f>IFERROR((A155-$P$3) / $R$3, "")</f>
      </c>
      <c r="C155" s="38">
        <f>IF(ABS(B155)&gt;2,"Yes","No")</f>
      </c>
      <c r="D155" s="2"/>
      <c r="E155" s="9"/>
      <c r="F155" s="8"/>
      <c r="G155" s="9"/>
      <c r="H155" s="9"/>
      <c r="I155" s="8"/>
      <c r="J155" s="8"/>
      <c r="K155" s="8"/>
      <c r="L155" s="8"/>
      <c r="M155" s="2"/>
      <c r="N155" s="2"/>
      <c r="O155" s="8"/>
      <c r="P155" s="8"/>
      <c r="Q155" s="8"/>
      <c r="R155" s="8"/>
    </row>
    <row x14ac:dyDescent="0.25" r="156" customHeight="1" ht="18.75">
      <c r="A156" s="3">
        <v>14</v>
      </c>
      <c r="B156" s="11">
        <f>IFERROR((A156-$P$3) / $R$3, "")</f>
      </c>
      <c r="C156" s="38">
        <f>IF(ABS(B156)&gt;2,"Yes","No")</f>
      </c>
      <c r="D156" s="2"/>
      <c r="E156" s="9"/>
      <c r="F156" s="8"/>
      <c r="G156" s="9"/>
      <c r="H156" s="9"/>
      <c r="I156" s="8"/>
      <c r="J156" s="8"/>
      <c r="K156" s="8"/>
      <c r="L156" s="8"/>
      <c r="M156" s="2"/>
      <c r="N156" s="2"/>
      <c r="O156" s="8"/>
      <c r="P156" s="8"/>
      <c r="Q156" s="8"/>
      <c r="R156" s="8"/>
    </row>
    <row x14ac:dyDescent="0.25" r="157" customHeight="1" ht="18.75">
      <c r="A157" s="3">
        <v>14</v>
      </c>
      <c r="B157" s="11">
        <f>IFERROR((A157-$P$3) / $R$3, "")</f>
      </c>
      <c r="C157" s="38">
        <f>IF(ABS(B157)&gt;2,"Yes","No")</f>
      </c>
      <c r="D157" s="2"/>
      <c r="E157" s="9"/>
      <c r="F157" s="8"/>
      <c r="G157" s="9"/>
      <c r="H157" s="9"/>
      <c r="I157" s="8"/>
      <c r="J157" s="8"/>
      <c r="K157" s="8"/>
      <c r="L157" s="8"/>
      <c r="M157" s="2"/>
      <c r="N157" s="2"/>
      <c r="O157" s="8"/>
      <c r="P157" s="8"/>
      <c r="Q157" s="8"/>
      <c r="R157" s="8"/>
    </row>
    <row x14ac:dyDescent="0.25" r="158" customHeight="1" ht="18.75">
      <c r="A158" s="3">
        <v>14</v>
      </c>
      <c r="B158" s="11">
        <f>IFERROR((A158-$P$3) / $R$3, "")</f>
      </c>
      <c r="C158" s="38">
        <f>IF(ABS(B158)&gt;2,"Yes","No")</f>
      </c>
      <c r="D158" s="2"/>
      <c r="E158" s="9"/>
      <c r="F158" s="8"/>
      <c r="G158" s="9"/>
      <c r="H158" s="9"/>
      <c r="I158" s="8"/>
      <c r="J158" s="8"/>
      <c r="K158" s="8"/>
      <c r="L158" s="8"/>
      <c r="M158" s="2"/>
      <c r="N158" s="2"/>
      <c r="O158" s="8"/>
      <c r="P158" s="8"/>
      <c r="Q158" s="8"/>
      <c r="R158" s="8"/>
    </row>
    <row x14ac:dyDescent="0.25" r="159" customHeight="1" ht="18.75">
      <c r="A159" s="3">
        <v>15</v>
      </c>
      <c r="B159" s="11">
        <f>IFERROR((A159-$P$3) / $R$3, "")</f>
      </c>
      <c r="C159" s="38">
        <f>IF(ABS(B159)&gt;2,"Yes","No")</f>
      </c>
      <c r="D159" s="2"/>
      <c r="E159" s="9"/>
      <c r="F159" s="8"/>
      <c r="G159" s="9"/>
      <c r="H159" s="9"/>
      <c r="I159" s="8"/>
      <c r="J159" s="8"/>
      <c r="K159" s="8"/>
      <c r="L159" s="8"/>
      <c r="M159" s="2"/>
      <c r="N159" s="2"/>
      <c r="O159" s="8"/>
      <c r="P159" s="8"/>
      <c r="Q159" s="8"/>
      <c r="R159" s="8"/>
    </row>
    <row x14ac:dyDescent="0.25" r="160" customHeight="1" ht="18.75">
      <c r="A160" s="3">
        <v>11</v>
      </c>
      <c r="B160" s="11">
        <f>IFERROR((A160-$P$3) / $R$3, "")</f>
      </c>
      <c r="C160" s="38">
        <f>IF(ABS(B160)&gt;2,"Yes","No")</f>
      </c>
      <c r="D160" s="2"/>
      <c r="E160" s="9"/>
      <c r="F160" s="8"/>
      <c r="G160" s="9"/>
      <c r="H160" s="9"/>
      <c r="I160" s="8"/>
      <c r="J160" s="8"/>
      <c r="K160" s="8"/>
      <c r="L160" s="8"/>
      <c r="M160" s="2"/>
      <c r="N160" s="2"/>
      <c r="O160" s="8"/>
      <c r="P160" s="8"/>
      <c r="Q160" s="8"/>
      <c r="R160" s="8"/>
    </row>
    <row x14ac:dyDescent="0.25" r="161" customHeight="1" ht="18.75">
      <c r="A161" s="3">
        <v>15</v>
      </c>
      <c r="B161" s="11">
        <f>IFERROR((A161-$P$3) / $R$3, "")</f>
      </c>
      <c r="C161" s="38">
        <f>IF(ABS(B161)&gt;2,"Yes","No")</f>
      </c>
      <c r="D161" s="2"/>
      <c r="E161" s="9"/>
      <c r="F161" s="8"/>
      <c r="G161" s="9"/>
      <c r="H161" s="9"/>
      <c r="I161" s="8"/>
      <c r="J161" s="8"/>
      <c r="K161" s="8"/>
      <c r="L161" s="8"/>
      <c r="M161" s="2"/>
      <c r="N161" s="2"/>
      <c r="O161" s="8"/>
      <c r="P161" s="8"/>
      <c r="Q161" s="8"/>
      <c r="R161" s="8"/>
    </row>
    <row x14ac:dyDescent="0.25" r="162" customHeight="1" ht="18.75">
      <c r="A162" s="3">
        <v>10</v>
      </c>
      <c r="B162" s="11">
        <f>IFERROR((A162-$P$3) / $R$3, "")</f>
      </c>
      <c r="C162" s="38">
        <f>IF(ABS(B162)&gt;2,"Yes","No")</f>
      </c>
      <c r="D162" s="2"/>
      <c r="E162" s="9"/>
      <c r="F162" s="8"/>
      <c r="G162" s="9"/>
      <c r="H162" s="9"/>
      <c r="I162" s="8"/>
      <c r="J162" s="8"/>
      <c r="K162" s="8"/>
      <c r="L162" s="8"/>
      <c r="M162" s="2"/>
      <c r="N162" s="2"/>
      <c r="O162" s="8"/>
      <c r="P162" s="8"/>
      <c r="Q162" s="8"/>
      <c r="R162" s="8"/>
    </row>
    <row x14ac:dyDescent="0.25" r="163" customHeight="1" ht="18.75">
      <c r="A163" s="3">
        <v>10</v>
      </c>
      <c r="B163" s="11">
        <f>IFERROR((A163-$P$3) / $R$3, "")</f>
      </c>
      <c r="C163" s="38">
        <f>IF(ABS(B163)&gt;2,"Yes","No")</f>
      </c>
      <c r="D163" s="2"/>
      <c r="E163" s="9"/>
      <c r="F163" s="8"/>
      <c r="G163" s="9"/>
      <c r="H163" s="9"/>
      <c r="I163" s="8"/>
      <c r="J163" s="8"/>
      <c r="K163" s="8"/>
      <c r="L163" s="8"/>
      <c r="M163" s="2"/>
      <c r="N163" s="2"/>
      <c r="O163" s="8"/>
      <c r="P163" s="8"/>
      <c r="Q163" s="8"/>
      <c r="R163" s="8"/>
    </row>
    <row x14ac:dyDescent="0.25" r="164" customHeight="1" ht="18.75">
      <c r="A164" s="3">
        <v>15</v>
      </c>
      <c r="B164" s="11">
        <f>IFERROR((A164-$P$3) / $R$3, "")</f>
      </c>
      <c r="C164" s="38">
        <f>IF(ABS(B164)&gt;2,"Yes","No")</f>
      </c>
      <c r="D164" s="2"/>
      <c r="E164" s="9"/>
      <c r="F164" s="8"/>
      <c r="G164" s="9"/>
      <c r="H164" s="9"/>
      <c r="I164" s="8"/>
      <c r="J164" s="8"/>
      <c r="K164" s="8"/>
      <c r="L164" s="8"/>
      <c r="M164" s="2"/>
      <c r="N164" s="2"/>
      <c r="O164" s="8"/>
      <c r="P164" s="8"/>
      <c r="Q164" s="8"/>
      <c r="R164" s="8"/>
    </row>
    <row x14ac:dyDescent="0.25" r="165" customHeight="1" ht="18.75">
      <c r="A165" s="3">
        <v>15</v>
      </c>
      <c r="B165" s="11">
        <f>IFERROR((A165-$P$3) / $R$3, "")</f>
      </c>
      <c r="C165" s="38">
        <f>IF(ABS(B165)&gt;2,"Yes","No")</f>
      </c>
      <c r="D165" s="2"/>
      <c r="E165" s="9"/>
      <c r="F165" s="8"/>
      <c r="G165" s="9"/>
      <c r="H165" s="9"/>
      <c r="I165" s="8"/>
      <c r="J165" s="8"/>
      <c r="K165" s="8"/>
      <c r="L165" s="8"/>
      <c r="M165" s="2"/>
      <c r="N165" s="2"/>
      <c r="O165" s="8"/>
      <c r="P165" s="8"/>
      <c r="Q165" s="8"/>
      <c r="R165" s="8"/>
    </row>
    <row x14ac:dyDescent="0.25" r="166" customHeight="1" ht="18.75">
      <c r="A166" s="3">
        <v>14</v>
      </c>
      <c r="B166" s="11">
        <f>IFERROR((A166-$P$3) / $R$3, "")</f>
      </c>
      <c r="C166" s="38">
        <f>IF(ABS(B166)&gt;2,"Yes","No")</f>
      </c>
      <c r="D166" s="2"/>
      <c r="E166" s="9"/>
      <c r="F166" s="8"/>
      <c r="G166" s="9"/>
      <c r="H166" s="9"/>
      <c r="I166" s="8"/>
      <c r="J166" s="8"/>
      <c r="K166" s="8"/>
      <c r="L166" s="8"/>
      <c r="M166" s="2"/>
      <c r="N166" s="2"/>
      <c r="O166" s="8"/>
      <c r="P166" s="8"/>
      <c r="Q166" s="8"/>
      <c r="R166" s="8"/>
    </row>
    <row x14ac:dyDescent="0.25" r="167" customHeight="1" ht="18.75">
      <c r="A167" s="3">
        <v>16</v>
      </c>
      <c r="B167" s="11">
        <f>IFERROR((A167-$P$3) / $R$3, "")</f>
      </c>
      <c r="C167" s="38">
        <f>IF(ABS(B167)&gt;2,"Yes","No")</f>
      </c>
      <c r="D167" s="2"/>
      <c r="E167" s="9"/>
      <c r="F167" s="8"/>
      <c r="G167" s="9"/>
      <c r="H167" s="9"/>
      <c r="I167" s="8"/>
      <c r="J167" s="8"/>
      <c r="K167" s="8"/>
      <c r="L167" s="8"/>
      <c r="M167" s="2"/>
      <c r="N167" s="2"/>
      <c r="O167" s="8"/>
      <c r="P167" s="8"/>
      <c r="Q167" s="8"/>
      <c r="R167" s="8"/>
    </row>
    <row x14ac:dyDescent="0.25" r="168" customHeight="1" ht="18.75">
      <c r="A168" s="3">
        <v>18</v>
      </c>
      <c r="B168" s="11">
        <f>IFERROR((A168-$P$3) / $R$3, "")</f>
      </c>
      <c r="C168" s="38">
        <f>IF(ABS(B168)&gt;2,"Yes","No")</f>
      </c>
      <c r="D168" s="2"/>
      <c r="E168" s="9"/>
      <c r="F168" s="8"/>
      <c r="G168" s="9"/>
      <c r="H168" s="9"/>
      <c r="I168" s="8"/>
      <c r="J168" s="8"/>
      <c r="K168" s="8"/>
      <c r="L168" s="8"/>
      <c r="M168" s="2"/>
      <c r="N168" s="2"/>
      <c r="O168" s="8"/>
      <c r="P168" s="8"/>
      <c r="Q168" s="8"/>
      <c r="R168" s="8"/>
    </row>
    <row x14ac:dyDescent="0.25" r="169" customHeight="1" ht="18.75">
      <c r="A169" s="3">
        <v>9</v>
      </c>
      <c r="B169" s="11">
        <f>IFERROR((A169-$P$3) / $R$3, "")</f>
      </c>
      <c r="C169" s="38">
        <f>IF(ABS(B169)&gt;2,"Yes","No")</f>
      </c>
      <c r="D169" s="2"/>
      <c r="E169" s="9"/>
      <c r="F169" s="8"/>
      <c r="G169" s="9"/>
      <c r="H169" s="9"/>
      <c r="I169" s="8"/>
      <c r="J169" s="8"/>
      <c r="K169" s="8"/>
      <c r="L169" s="8"/>
      <c r="M169" s="2"/>
      <c r="N169" s="2"/>
      <c r="O169" s="8"/>
      <c r="P169" s="8"/>
      <c r="Q169" s="8"/>
      <c r="R169" s="8"/>
    </row>
    <row x14ac:dyDescent="0.25" r="170" customHeight="1" ht="18.75">
      <c r="A170" s="3">
        <v>17</v>
      </c>
      <c r="B170" s="11">
        <f>IFERROR((A170-$P$3) / $R$3, "")</f>
      </c>
      <c r="C170" s="38">
        <f>IF(ABS(B170)&gt;2,"Yes","No")</f>
      </c>
      <c r="D170" s="2"/>
      <c r="E170" s="9"/>
      <c r="F170" s="8"/>
      <c r="G170" s="9"/>
      <c r="H170" s="9"/>
      <c r="I170" s="8"/>
      <c r="J170" s="8"/>
      <c r="K170" s="8"/>
      <c r="L170" s="8"/>
      <c r="M170" s="2"/>
      <c r="N170" s="2"/>
      <c r="O170" s="8"/>
      <c r="P170" s="8"/>
      <c r="Q170" s="8"/>
      <c r="R170" s="8"/>
    </row>
    <row x14ac:dyDescent="0.25" r="171" customHeight="1" ht="18.75">
      <c r="A171" s="3">
        <v>15</v>
      </c>
      <c r="B171" s="11">
        <f>IFERROR((A171-$P$3) / $R$3, "")</f>
      </c>
      <c r="C171" s="38">
        <f>IF(ABS(B171)&gt;2,"Yes","No")</f>
      </c>
      <c r="D171" s="2"/>
      <c r="E171" s="9"/>
      <c r="F171" s="8"/>
      <c r="G171" s="9"/>
      <c r="H171" s="9"/>
      <c r="I171" s="8"/>
      <c r="J171" s="8"/>
      <c r="K171" s="8"/>
      <c r="L171" s="8"/>
      <c r="M171" s="2"/>
      <c r="N171" s="2"/>
      <c r="O171" s="8"/>
      <c r="P171" s="8"/>
      <c r="Q171" s="8"/>
      <c r="R171" s="8"/>
    </row>
    <row x14ac:dyDescent="0.25" r="172" customHeight="1" ht="18.75">
      <c r="A172" s="3">
        <v>18</v>
      </c>
      <c r="B172" s="11">
        <f>IFERROR((A172-$P$3) / $R$3, "")</f>
      </c>
      <c r="C172" s="38">
        <f>IF(ABS(B172)&gt;2,"Yes","No")</f>
      </c>
      <c r="D172" s="2"/>
      <c r="E172" s="9"/>
      <c r="F172" s="8"/>
      <c r="G172" s="9"/>
      <c r="H172" s="9"/>
      <c r="I172" s="8"/>
      <c r="J172" s="8"/>
      <c r="K172" s="8"/>
      <c r="L172" s="8"/>
      <c r="M172" s="2"/>
      <c r="N172" s="2"/>
      <c r="O172" s="8"/>
      <c r="P172" s="8"/>
      <c r="Q172" s="8"/>
      <c r="R172" s="8"/>
    </row>
    <row x14ac:dyDescent="0.25" r="173" customHeight="1" ht="18.75">
      <c r="A173" s="3">
        <v>28</v>
      </c>
      <c r="B173" s="11">
        <f>IFERROR((A173-$P$3) / $R$3, "")</f>
      </c>
      <c r="C173" s="38">
        <f>IF(ABS(B173)&gt;2,"Yes","No")</f>
      </c>
      <c r="D173" s="2"/>
      <c r="E173" s="9"/>
      <c r="F173" s="8"/>
      <c r="G173" s="9"/>
      <c r="H173" s="9"/>
      <c r="I173" s="8"/>
      <c r="J173" s="8"/>
      <c r="K173" s="8"/>
      <c r="L173" s="8"/>
      <c r="M173" s="2"/>
      <c r="N173" s="2"/>
      <c r="O173" s="8"/>
      <c r="P173" s="8"/>
      <c r="Q173" s="8"/>
      <c r="R173" s="8"/>
    </row>
    <row x14ac:dyDescent="0.25" r="174" customHeight="1" ht="18.75">
      <c r="A174" s="3">
        <v>23</v>
      </c>
      <c r="B174" s="11">
        <f>IFERROR((A174-$P$3) / $R$3, "")</f>
      </c>
      <c r="C174" s="38">
        <f>IF(ABS(B174)&gt;2,"Yes","No")</f>
      </c>
      <c r="D174" s="2"/>
      <c r="E174" s="9"/>
      <c r="F174" s="8"/>
      <c r="G174" s="9"/>
      <c r="H174" s="9"/>
      <c r="I174" s="8"/>
      <c r="J174" s="8"/>
      <c r="K174" s="8"/>
      <c r="L174" s="8"/>
      <c r="M174" s="2"/>
      <c r="N174" s="2"/>
      <c r="O174" s="8"/>
      <c r="P174" s="8"/>
      <c r="Q174" s="8"/>
      <c r="R174" s="8"/>
    </row>
    <row x14ac:dyDescent="0.25" r="175" customHeight="1" ht="18.75">
      <c r="A175" s="3">
        <v>26</v>
      </c>
      <c r="B175" s="11">
        <f>IFERROR((A175-$P$3) / $R$3, "")</f>
      </c>
      <c r="C175" s="38">
        <f>IF(ABS(B175)&gt;2,"Yes","No")</f>
      </c>
      <c r="D175" s="2"/>
      <c r="E175" s="9"/>
      <c r="F175" s="8"/>
      <c r="G175" s="9"/>
      <c r="H175" s="9"/>
      <c r="I175" s="8"/>
      <c r="J175" s="8"/>
      <c r="K175" s="8"/>
      <c r="L175" s="8"/>
      <c r="M175" s="2"/>
      <c r="N175" s="2"/>
      <c r="O175" s="8"/>
      <c r="P175" s="8"/>
      <c r="Q175" s="8"/>
      <c r="R175" s="8"/>
    </row>
    <row x14ac:dyDescent="0.25" r="176" customHeight="1" ht="18.75">
      <c r="A176" s="3">
        <v>22</v>
      </c>
      <c r="B176" s="11">
        <f>IFERROR((A176-$P$3) / $R$3, "")</f>
      </c>
      <c r="C176" s="38">
        <f>IF(ABS(B176)&gt;2,"Yes","No")</f>
      </c>
      <c r="D176" s="2"/>
      <c r="E176" s="9"/>
      <c r="F176" s="8"/>
      <c r="G176" s="9"/>
      <c r="H176" s="9"/>
      <c r="I176" s="8"/>
      <c r="J176" s="8"/>
      <c r="K176" s="8"/>
      <c r="L176" s="8"/>
      <c r="M176" s="2"/>
      <c r="N176" s="2"/>
      <c r="O176" s="8"/>
      <c r="P176" s="8"/>
      <c r="Q176" s="8"/>
      <c r="R176" s="8"/>
    </row>
    <row x14ac:dyDescent="0.25" r="177" customHeight="1" ht="18.75">
      <c r="A177" s="3">
        <v>25</v>
      </c>
      <c r="B177" s="11">
        <f>IFERROR((A177-$P$3) / $R$3, "")</f>
      </c>
      <c r="C177" s="38">
        <f>IF(ABS(B177)&gt;2,"Yes","No")</f>
      </c>
      <c r="D177" s="2"/>
      <c r="E177" s="9"/>
      <c r="F177" s="8"/>
      <c r="G177" s="9"/>
      <c r="H177" s="9"/>
      <c r="I177" s="8"/>
      <c r="J177" s="8"/>
      <c r="K177" s="8"/>
      <c r="L177" s="8"/>
      <c r="M177" s="2"/>
      <c r="N177" s="2"/>
      <c r="O177" s="8"/>
      <c r="P177" s="8"/>
      <c r="Q177" s="8"/>
      <c r="R177" s="8"/>
    </row>
    <row x14ac:dyDescent="0.25" r="178" customHeight="1" ht="18.75">
      <c r="A178" s="3">
        <v>19</v>
      </c>
      <c r="B178" s="11">
        <f>IFERROR((A178-$P$3) / $R$3, "")</f>
      </c>
      <c r="C178" s="38">
        <f>IF(ABS(B178)&gt;2,"Yes","No")</f>
      </c>
      <c r="D178" s="2"/>
      <c r="E178" s="9"/>
      <c r="F178" s="8"/>
      <c r="G178" s="9"/>
      <c r="H178" s="9"/>
      <c r="I178" s="8"/>
      <c r="J178" s="8"/>
      <c r="K178" s="8"/>
      <c r="L178" s="8"/>
      <c r="M178" s="2"/>
      <c r="N178" s="2"/>
      <c r="O178" s="8"/>
      <c r="P178" s="8"/>
      <c r="Q178" s="8"/>
      <c r="R178" s="8"/>
    </row>
    <row x14ac:dyDescent="0.25" r="179" customHeight="1" ht="18.75">
      <c r="A179" s="3">
        <v>18</v>
      </c>
      <c r="B179" s="11">
        <f>IFERROR((A179-$P$3) / $R$3, "")</f>
      </c>
      <c r="C179" s="38">
        <f>IF(ABS(B179)&gt;2,"Yes","No")</f>
      </c>
      <c r="D179" s="2"/>
      <c r="E179" s="9"/>
      <c r="F179" s="8"/>
      <c r="G179" s="9"/>
      <c r="H179" s="9"/>
      <c r="I179" s="8"/>
      <c r="J179" s="8"/>
      <c r="K179" s="8"/>
      <c r="L179" s="8"/>
      <c r="M179" s="2"/>
      <c r="N179" s="2"/>
      <c r="O179" s="8"/>
      <c r="P179" s="8"/>
      <c r="Q179" s="8"/>
      <c r="R179" s="8"/>
    </row>
    <row x14ac:dyDescent="0.25" r="180" customHeight="1" ht="18.75">
      <c r="A180" s="3">
        <v>16</v>
      </c>
      <c r="B180" s="11">
        <f>IFERROR((A180-$P$3) / $R$3, "")</f>
      </c>
      <c r="C180" s="38">
        <f>IF(ABS(B180)&gt;2,"Yes","No")</f>
      </c>
      <c r="D180" s="2"/>
      <c r="E180" s="9"/>
      <c r="F180" s="8"/>
      <c r="G180" s="9"/>
      <c r="H180" s="9"/>
      <c r="I180" s="8"/>
      <c r="J180" s="8"/>
      <c r="K180" s="8"/>
      <c r="L180" s="8"/>
      <c r="M180" s="2"/>
      <c r="N180" s="2"/>
      <c r="O180" s="8"/>
      <c r="P180" s="8"/>
      <c r="Q180" s="8"/>
      <c r="R180" s="8"/>
    </row>
    <row x14ac:dyDescent="0.25" r="181" customHeight="1" ht="18.75">
      <c r="A181" s="3">
        <v>19</v>
      </c>
      <c r="B181" s="11">
        <f>IFERROR((A181-$P$3) / $R$3, "")</f>
      </c>
      <c r="C181" s="38">
        <f>IF(ABS(B181)&gt;2,"Yes","No")</f>
      </c>
      <c r="D181" s="2"/>
      <c r="E181" s="9"/>
      <c r="F181" s="8"/>
      <c r="G181" s="9"/>
      <c r="H181" s="9"/>
      <c r="I181" s="8"/>
      <c r="J181" s="8"/>
      <c r="K181" s="8"/>
      <c r="L181" s="8"/>
      <c r="M181" s="2"/>
      <c r="N181" s="2"/>
      <c r="O181" s="8"/>
      <c r="P181" s="8"/>
      <c r="Q181" s="8"/>
      <c r="R181" s="8"/>
    </row>
    <row x14ac:dyDescent="0.25" r="182" customHeight="1" ht="18.75">
      <c r="A182" s="3">
        <v>18</v>
      </c>
      <c r="B182" s="11">
        <f>IFERROR((A182-$P$3) / $R$3, "")</f>
      </c>
      <c r="C182" s="38">
        <f>IF(ABS(B182)&gt;2,"Yes","No")</f>
      </c>
      <c r="D182" s="2"/>
      <c r="E182" s="9"/>
      <c r="F182" s="8"/>
      <c r="G182" s="9"/>
      <c r="H182" s="9"/>
      <c r="I182" s="8"/>
      <c r="J182" s="8"/>
      <c r="K182" s="8"/>
      <c r="L182" s="8"/>
      <c r="M182" s="2"/>
      <c r="N182" s="2"/>
      <c r="O182" s="8"/>
      <c r="P182" s="8"/>
      <c r="Q182" s="8"/>
      <c r="R182" s="8"/>
    </row>
    <row x14ac:dyDescent="0.25" r="183" customHeight="1" ht="18.75">
      <c r="A183" s="3">
        <v>17</v>
      </c>
      <c r="B183" s="11">
        <f>IFERROR((A183-$P$3) / $R$3, "")</f>
      </c>
      <c r="C183" s="38">
        <f>IF(ABS(B183)&gt;2,"Yes","No")</f>
      </c>
      <c r="D183" s="2"/>
      <c r="E183" s="9"/>
      <c r="F183" s="8"/>
      <c r="G183" s="9"/>
      <c r="H183" s="9"/>
      <c r="I183" s="8"/>
      <c r="J183" s="8"/>
      <c r="K183" s="8"/>
      <c r="L183" s="8"/>
      <c r="M183" s="2"/>
      <c r="N183" s="2"/>
      <c r="O183" s="8"/>
      <c r="P183" s="8"/>
      <c r="Q183" s="8"/>
      <c r="R183" s="8"/>
    </row>
    <row x14ac:dyDescent="0.25" r="184" customHeight="1" ht="18.75">
      <c r="A184" s="3">
        <v>18</v>
      </c>
      <c r="B184" s="11">
        <f>IFERROR((A184-$P$3) / $R$3, "")</f>
      </c>
      <c r="C184" s="38">
        <f>IF(ABS(B184)&gt;2,"Yes","No")</f>
      </c>
      <c r="D184" s="2"/>
      <c r="E184" s="9"/>
      <c r="F184" s="8"/>
      <c r="G184" s="9"/>
      <c r="H184" s="9"/>
      <c r="I184" s="8"/>
      <c r="J184" s="8"/>
      <c r="K184" s="8"/>
      <c r="L184" s="8"/>
      <c r="M184" s="2"/>
      <c r="N184" s="2"/>
      <c r="O184" s="8"/>
      <c r="P184" s="8"/>
      <c r="Q184" s="8"/>
      <c r="R184" s="8"/>
    </row>
    <row x14ac:dyDescent="0.25" r="185" customHeight="1" ht="18.75">
      <c r="A185" s="3">
        <v>19</v>
      </c>
      <c r="B185" s="11">
        <f>IFERROR((A185-$P$3) / $R$3, "")</f>
      </c>
      <c r="C185" s="38">
        <f>IF(ABS(B185)&gt;2,"Yes","No")</f>
      </c>
      <c r="D185" s="2"/>
      <c r="E185" s="9"/>
      <c r="F185" s="8"/>
      <c r="G185" s="9"/>
      <c r="H185" s="9"/>
      <c r="I185" s="8"/>
      <c r="J185" s="8"/>
      <c r="K185" s="8"/>
      <c r="L185" s="8"/>
      <c r="M185" s="2"/>
      <c r="N185" s="2"/>
      <c r="O185" s="8"/>
      <c r="P185" s="8"/>
      <c r="Q185" s="8"/>
      <c r="R185" s="8"/>
    </row>
    <row x14ac:dyDescent="0.25" r="186" customHeight="1" ht="18.75">
      <c r="A186" s="3">
        <v>14</v>
      </c>
      <c r="B186" s="11">
        <f>IFERROR((A186-$P$3) / $R$3, "")</f>
      </c>
      <c r="C186" s="38">
        <f>IF(ABS(B186)&gt;2,"Yes","No")</f>
      </c>
      <c r="D186" s="2"/>
      <c r="E186" s="9"/>
      <c r="F186" s="8"/>
      <c r="G186" s="9"/>
      <c r="H186" s="9"/>
      <c r="I186" s="8"/>
      <c r="J186" s="8"/>
      <c r="K186" s="8"/>
      <c r="L186" s="8"/>
      <c r="M186" s="2"/>
      <c r="N186" s="2"/>
      <c r="O186" s="8"/>
      <c r="P186" s="8"/>
      <c r="Q186" s="8"/>
      <c r="R186" s="8"/>
    </row>
    <row x14ac:dyDescent="0.25" r="187" customHeight="1" ht="18.75">
      <c r="A187" s="3">
        <v>14</v>
      </c>
      <c r="B187" s="11">
        <f>IFERROR((A187-$P$3) / $R$3, "")</f>
      </c>
      <c r="C187" s="38">
        <f>IF(ABS(B187)&gt;2,"Yes","No")</f>
      </c>
      <c r="D187" s="2"/>
      <c r="E187" s="9"/>
      <c r="F187" s="8"/>
      <c r="G187" s="9"/>
      <c r="H187" s="9"/>
      <c r="I187" s="8"/>
      <c r="J187" s="8"/>
      <c r="K187" s="8"/>
      <c r="L187" s="8"/>
      <c r="M187" s="2"/>
      <c r="N187" s="2"/>
      <c r="O187" s="8"/>
      <c r="P187" s="8"/>
      <c r="Q187" s="8"/>
      <c r="R187" s="8"/>
    </row>
    <row x14ac:dyDescent="0.25" r="188" customHeight="1" ht="18.75">
      <c r="A188" s="3">
        <v>14</v>
      </c>
      <c r="B188" s="11">
        <f>IFERROR((A188-$P$3) / $R$3, "")</f>
      </c>
      <c r="C188" s="38">
        <f>IF(ABS(B188)&gt;2,"Yes","No")</f>
      </c>
      <c r="D188" s="2"/>
      <c r="E188" s="9"/>
      <c r="F188" s="8"/>
      <c r="G188" s="9"/>
      <c r="H188" s="9"/>
      <c r="I188" s="8"/>
      <c r="J188" s="8"/>
      <c r="K188" s="8"/>
      <c r="L188" s="8"/>
      <c r="M188" s="2"/>
      <c r="N188" s="2"/>
      <c r="O188" s="8"/>
      <c r="P188" s="8"/>
      <c r="Q188" s="8"/>
      <c r="R188" s="8"/>
    </row>
    <row x14ac:dyDescent="0.25" r="189" customHeight="1" ht="18.75">
      <c r="A189" s="3">
        <v>14</v>
      </c>
      <c r="B189" s="11">
        <f>IFERROR((A189-$P$3) / $R$3, "")</f>
      </c>
      <c r="C189" s="38">
        <f>IF(ABS(B189)&gt;2,"Yes","No")</f>
      </c>
      <c r="D189" s="2"/>
      <c r="E189" s="9"/>
      <c r="F189" s="8"/>
      <c r="G189" s="9"/>
      <c r="H189" s="9"/>
      <c r="I189" s="8"/>
      <c r="J189" s="8"/>
      <c r="K189" s="8"/>
      <c r="L189" s="8"/>
      <c r="M189" s="2"/>
      <c r="N189" s="2"/>
      <c r="O189" s="8"/>
      <c r="P189" s="8"/>
      <c r="Q189" s="8"/>
      <c r="R189" s="8"/>
    </row>
    <row x14ac:dyDescent="0.25" r="190" customHeight="1" ht="18.75">
      <c r="A190" s="3">
        <v>12</v>
      </c>
      <c r="B190" s="11">
        <f>IFERROR((A190-$P$3) / $R$3, "")</f>
      </c>
      <c r="C190" s="38">
        <f>IF(ABS(B190)&gt;2,"Yes","No")</f>
      </c>
      <c r="D190" s="2"/>
      <c r="E190" s="9"/>
      <c r="F190" s="8"/>
      <c r="G190" s="9"/>
      <c r="H190" s="9"/>
      <c r="I190" s="8"/>
      <c r="J190" s="8"/>
      <c r="K190" s="8"/>
      <c r="L190" s="8"/>
      <c r="M190" s="2"/>
      <c r="N190" s="2"/>
      <c r="O190" s="8"/>
      <c r="P190" s="8"/>
      <c r="Q190" s="8"/>
      <c r="R190" s="8"/>
    </row>
    <row x14ac:dyDescent="0.25" r="191" customHeight="1" ht="18.75">
      <c r="A191" s="3">
        <v>13</v>
      </c>
      <c r="B191" s="11">
        <f>IFERROR((A191-$P$3) / $R$3, "")</f>
      </c>
      <c r="C191" s="38">
        <f>IF(ABS(B191)&gt;2,"Yes","No")</f>
      </c>
      <c r="D191" s="2"/>
      <c r="E191" s="9"/>
      <c r="F191" s="8"/>
      <c r="G191" s="9"/>
      <c r="H191" s="9"/>
      <c r="I191" s="8"/>
      <c r="J191" s="8"/>
      <c r="K191" s="8"/>
      <c r="L191" s="8"/>
      <c r="M191" s="2"/>
      <c r="N191" s="2"/>
      <c r="O191" s="8"/>
      <c r="P191" s="8"/>
      <c r="Q191" s="8"/>
      <c r="R191" s="8"/>
    </row>
    <row x14ac:dyDescent="0.25" r="192" customHeight="1" ht="18.75">
      <c r="A192" s="3">
        <v>13</v>
      </c>
      <c r="B192" s="11">
        <f>IFERROR((A192-$P$3) / $R$3, "")</f>
      </c>
      <c r="C192" s="38">
        <f>IF(ABS(B192)&gt;2,"Yes","No")</f>
      </c>
      <c r="D192" s="2"/>
      <c r="E192" s="9"/>
      <c r="F192" s="8"/>
      <c r="G192" s="9"/>
      <c r="H192" s="9"/>
      <c r="I192" s="8"/>
      <c r="J192" s="8"/>
      <c r="K192" s="8"/>
      <c r="L192" s="8"/>
      <c r="M192" s="2"/>
      <c r="N192" s="2"/>
      <c r="O192" s="8"/>
      <c r="P192" s="8"/>
      <c r="Q192" s="8"/>
      <c r="R192" s="8"/>
    </row>
    <row x14ac:dyDescent="0.25" r="193" customHeight="1" ht="18.75">
      <c r="A193" s="3">
        <v>21</v>
      </c>
      <c r="B193" s="11">
        <f>IFERROR((A193-$P$3) / $R$3, "")</f>
      </c>
      <c r="C193" s="38">
        <f>IF(ABS(B193)&gt;2,"Yes","No")</f>
      </c>
      <c r="D193" s="2"/>
      <c r="E193" s="9"/>
      <c r="F193" s="8"/>
      <c r="G193" s="9"/>
      <c r="H193" s="9"/>
      <c r="I193" s="8"/>
      <c r="J193" s="8"/>
      <c r="K193" s="8"/>
      <c r="L193" s="8"/>
      <c r="M193" s="2"/>
      <c r="N193" s="2"/>
      <c r="O193" s="8"/>
      <c r="P193" s="8"/>
      <c r="Q193" s="8"/>
      <c r="R193" s="8"/>
    </row>
    <row x14ac:dyDescent="0.25" r="194" customHeight="1" ht="18.75">
      <c r="A194" s="3">
        <v>25</v>
      </c>
      <c r="B194" s="11">
        <f>IFERROR((A194-$P$3) / $R$3, "")</f>
      </c>
      <c r="C194" s="38">
        <f>IF(ABS(B194)&gt;2,"Yes","No")</f>
      </c>
      <c r="D194" s="2"/>
      <c r="E194" s="9"/>
      <c r="F194" s="8"/>
      <c r="G194" s="9"/>
      <c r="H194" s="9"/>
      <c r="I194" s="8"/>
      <c r="J194" s="8"/>
      <c r="K194" s="8"/>
      <c r="L194" s="8"/>
      <c r="M194" s="2"/>
      <c r="N194" s="2"/>
      <c r="O194" s="8"/>
      <c r="P194" s="8"/>
      <c r="Q194" s="8"/>
      <c r="R194" s="8"/>
    </row>
    <row x14ac:dyDescent="0.25" r="195" customHeight="1" ht="18.75">
      <c r="A195" s="3">
        <v>20</v>
      </c>
      <c r="B195" s="11">
        <f>IFERROR((A195-$P$3) / $R$3, "")</f>
      </c>
      <c r="C195" s="38">
        <f>IF(ABS(B195)&gt;2,"Yes","No")</f>
      </c>
      <c r="D195" s="2"/>
      <c r="E195" s="9"/>
      <c r="F195" s="8"/>
      <c r="G195" s="9"/>
      <c r="H195" s="9"/>
      <c r="I195" s="8"/>
      <c r="J195" s="8"/>
      <c r="K195" s="8"/>
      <c r="L195" s="8"/>
      <c r="M195" s="2"/>
      <c r="N195" s="2"/>
      <c r="O195" s="8"/>
      <c r="P195" s="8"/>
      <c r="Q195" s="8"/>
      <c r="R195" s="8"/>
    </row>
    <row x14ac:dyDescent="0.25" r="196" customHeight="1" ht="18.75">
      <c r="A196" s="3">
        <v>28</v>
      </c>
      <c r="B196" s="11">
        <f>IFERROR((A196-$P$3) / $R$3, "")</f>
      </c>
      <c r="C196" s="38">
        <f>IF(ABS(B196)&gt;2,"Yes","No")</f>
      </c>
      <c r="D196" s="2"/>
      <c r="E196" s="9"/>
      <c r="F196" s="8"/>
      <c r="G196" s="9"/>
      <c r="H196" s="9"/>
      <c r="I196" s="8"/>
      <c r="J196" s="8"/>
      <c r="K196" s="8"/>
      <c r="L196" s="8"/>
      <c r="M196" s="2"/>
      <c r="N196" s="2"/>
      <c r="O196" s="8"/>
      <c r="P196" s="8"/>
      <c r="Q196" s="8"/>
      <c r="R196" s="8"/>
    </row>
    <row x14ac:dyDescent="0.25" r="197" customHeight="1" ht="18.75">
      <c r="A197" s="3">
        <v>22</v>
      </c>
      <c r="B197" s="11">
        <f>IFERROR((A197-$P$3) / $R$3, "")</f>
      </c>
      <c r="C197" s="38">
        <f>IF(ABS(B197)&gt;2,"Yes","No")</f>
      </c>
      <c r="D197" s="2"/>
      <c r="E197" s="9"/>
      <c r="F197" s="8"/>
      <c r="G197" s="9"/>
      <c r="H197" s="9"/>
      <c r="I197" s="8"/>
      <c r="J197" s="8"/>
      <c r="K197" s="8"/>
      <c r="L197" s="8"/>
      <c r="M197" s="2"/>
      <c r="N197" s="2"/>
      <c r="O197" s="8"/>
      <c r="P197" s="8"/>
      <c r="Q197" s="8"/>
      <c r="R197" s="8"/>
    </row>
    <row x14ac:dyDescent="0.25" r="198" customHeight="1" ht="18.75">
      <c r="A198" s="3">
        <v>11</v>
      </c>
      <c r="B198" s="11">
        <f>IFERROR((A198-$P$3) / $R$3, "")</f>
      </c>
      <c r="C198" s="38">
        <f>IF(ABS(B198)&gt;2,"Yes","No")</f>
      </c>
      <c r="D198" s="2"/>
      <c r="E198" s="9"/>
      <c r="F198" s="8"/>
      <c r="G198" s="9"/>
      <c r="H198" s="9"/>
      <c r="I198" s="8"/>
      <c r="J198" s="8"/>
      <c r="K198" s="8"/>
      <c r="L198" s="8"/>
      <c r="M198" s="2"/>
      <c r="N198" s="2"/>
      <c r="O198" s="8"/>
      <c r="P198" s="8"/>
      <c r="Q198" s="8"/>
      <c r="R198" s="8"/>
    </row>
    <row x14ac:dyDescent="0.25" r="199" customHeight="1" ht="18.75">
      <c r="A199" s="3">
        <v>13</v>
      </c>
      <c r="B199" s="11">
        <f>IFERROR((A199-$P$3) / $R$3, "")</f>
      </c>
      <c r="C199" s="38">
        <f>IF(ABS(B199)&gt;2,"Yes","No")</f>
      </c>
      <c r="D199" s="2"/>
      <c r="E199" s="9"/>
      <c r="F199" s="8"/>
      <c r="G199" s="9"/>
      <c r="H199" s="9"/>
      <c r="I199" s="8"/>
      <c r="J199" s="8"/>
      <c r="K199" s="8"/>
      <c r="L199" s="8"/>
      <c r="M199" s="2"/>
      <c r="N199" s="2"/>
      <c r="O199" s="8"/>
      <c r="P199" s="8"/>
      <c r="Q199" s="8"/>
      <c r="R199" s="8"/>
    </row>
    <row x14ac:dyDescent="0.25" r="200" customHeight="1" ht="18.75">
      <c r="A200" s="3">
        <v>17</v>
      </c>
      <c r="B200" s="11">
        <f>IFERROR((A200-$P$3) / $R$3, "")</f>
      </c>
      <c r="C200" s="38">
        <f>IF(ABS(B200)&gt;2,"Yes","No")</f>
      </c>
      <c r="D200" s="2"/>
      <c r="E200" s="9"/>
      <c r="F200" s="8"/>
      <c r="G200" s="9"/>
      <c r="H200" s="9"/>
      <c r="I200" s="8"/>
      <c r="J200" s="8"/>
      <c r="K200" s="8"/>
      <c r="L200" s="8"/>
      <c r="M200" s="2"/>
      <c r="N200" s="2"/>
      <c r="O200" s="8"/>
      <c r="P200" s="8"/>
      <c r="Q200" s="8"/>
      <c r="R200" s="8"/>
    </row>
    <row x14ac:dyDescent="0.25" r="201" customHeight="1" ht="18.75">
      <c r="A201" s="3">
        <v>14</v>
      </c>
      <c r="B201" s="11">
        <f>IFERROR((A201-$P$3) / $R$3, "")</f>
      </c>
      <c r="C201" s="38">
        <f>IF(ABS(B201)&gt;2,"Yes","No")</f>
      </c>
      <c r="D201" s="2"/>
      <c r="E201" s="9"/>
      <c r="F201" s="8"/>
      <c r="G201" s="9"/>
      <c r="H201" s="9"/>
      <c r="I201" s="8"/>
      <c r="J201" s="8"/>
      <c r="K201" s="8"/>
      <c r="L201" s="8"/>
      <c r="M201" s="2"/>
      <c r="N201" s="2"/>
      <c r="O201" s="8"/>
      <c r="P201" s="8"/>
      <c r="Q201" s="8"/>
      <c r="R201" s="8"/>
    </row>
    <row x14ac:dyDescent="0.25" r="202" customHeight="1" ht="18.75">
      <c r="A202" s="3">
        <v>13</v>
      </c>
      <c r="B202" s="11">
        <f>IFERROR((A202-$P$3) / $R$3, "")</f>
      </c>
      <c r="C202" s="38">
        <f>IF(ABS(B202)&gt;2,"Yes","No")</f>
      </c>
      <c r="D202" s="2"/>
      <c r="E202" s="9"/>
      <c r="F202" s="8"/>
      <c r="G202" s="9"/>
      <c r="H202" s="9"/>
      <c r="I202" s="8"/>
      <c r="J202" s="8"/>
      <c r="K202" s="8"/>
      <c r="L202" s="8"/>
      <c r="M202" s="2"/>
      <c r="N202" s="2"/>
      <c r="O202" s="8"/>
      <c r="P202" s="8"/>
      <c r="Q202" s="8"/>
      <c r="R202" s="8"/>
    </row>
    <row x14ac:dyDescent="0.25" r="203" customHeight="1" ht="18.75">
      <c r="A203" s="3">
        <v>15</v>
      </c>
      <c r="B203" s="11">
        <f>IFERROR((A203-$P$3) / $R$3, "")</f>
      </c>
      <c r="C203" s="38">
        <f>IF(ABS(B203)&gt;2,"Yes","No")</f>
      </c>
      <c r="D203" s="2"/>
      <c r="E203" s="9"/>
      <c r="F203" s="8"/>
      <c r="G203" s="9"/>
      <c r="H203" s="9"/>
      <c r="I203" s="8"/>
      <c r="J203" s="8"/>
      <c r="K203" s="8"/>
      <c r="L203" s="8"/>
      <c r="M203" s="2"/>
      <c r="N203" s="2"/>
      <c r="O203" s="8"/>
      <c r="P203" s="8"/>
      <c r="Q203" s="8"/>
      <c r="R203" s="8"/>
    </row>
    <row x14ac:dyDescent="0.25" r="204" customHeight="1" ht="18.75">
      <c r="A204" s="3">
        <v>14</v>
      </c>
      <c r="B204" s="11">
        <f>IFERROR((A204-$P$3) / $R$3, "")</f>
      </c>
      <c r="C204" s="38">
        <f>IF(ABS(B204)&gt;2,"Yes","No")</f>
      </c>
      <c r="D204" s="2"/>
      <c r="E204" s="9"/>
      <c r="F204" s="8"/>
      <c r="G204" s="9"/>
      <c r="H204" s="9"/>
      <c r="I204" s="8"/>
      <c r="J204" s="8"/>
      <c r="K204" s="8"/>
      <c r="L204" s="8"/>
      <c r="M204" s="2"/>
      <c r="N204" s="2"/>
      <c r="O204" s="8"/>
      <c r="P204" s="8"/>
      <c r="Q204" s="8"/>
      <c r="R204" s="8"/>
    </row>
    <row x14ac:dyDescent="0.25" r="205" customHeight="1" ht="18.75">
      <c r="A205" s="3">
        <v>14</v>
      </c>
      <c r="B205" s="11">
        <f>IFERROR((A205-$P$3) / $R$3, "")</f>
      </c>
      <c r="C205" s="38">
        <f>IF(ABS(B205)&gt;2,"Yes","No")</f>
      </c>
      <c r="D205" s="2"/>
      <c r="E205" s="9"/>
      <c r="F205" s="8"/>
      <c r="G205" s="9"/>
      <c r="H205" s="9"/>
      <c r="I205" s="8"/>
      <c r="J205" s="8"/>
      <c r="K205" s="8"/>
      <c r="L205" s="8"/>
      <c r="M205" s="2"/>
      <c r="N205" s="2"/>
      <c r="O205" s="8"/>
      <c r="P205" s="8"/>
      <c r="Q205" s="8"/>
      <c r="R205" s="8"/>
    </row>
    <row x14ac:dyDescent="0.25" r="206" customHeight="1" ht="18.75">
      <c r="A206" s="3">
        <v>15</v>
      </c>
      <c r="B206" s="11">
        <f>IFERROR((A206-$P$3) / $R$3, "")</f>
      </c>
      <c r="C206" s="38">
        <f>IF(ABS(B206)&gt;2,"Yes","No")</f>
      </c>
      <c r="D206" s="2"/>
      <c r="E206" s="9"/>
      <c r="F206" s="8"/>
      <c r="G206" s="9"/>
      <c r="H206" s="9"/>
      <c r="I206" s="8"/>
      <c r="J206" s="8"/>
      <c r="K206" s="8"/>
      <c r="L206" s="8"/>
      <c r="M206" s="2"/>
      <c r="N206" s="2"/>
      <c r="O206" s="8"/>
      <c r="P206" s="8"/>
      <c r="Q206" s="8"/>
      <c r="R206" s="8"/>
    </row>
    <row x14ac:dyDescent="0.25" r="207" customHeight="1" ht="18.75">
      <c r="A207" s="3">
        <v>12</v>
      </c>
      <c r="B207" s="11">
        <f>IFERROR((A207-$P$3) / $R$3, "")</f>
      </c>
      <c r="C207" s="38">
        <f>IF(ABS(B207)&gt;2,"Yes","No")</f>
      </c>
      <c r="D207" s="2"/>
      <c r="E207" s="9"/>
      <c r="F207" s="8"/>
      <c r="G207" s="9"/>
      <c r="H207" s="9"/>
      <c r="I207" s="8"/>
      <c r="J207" s="8"/>
      <c r="K207" s="8"/>
      <c r="L207" s="8"/>
      <c r="M207" s="2"/>
      <c r="N207" s="2"/>
      <c r="O207" s="8"/>
      <c r="P207" s="8"/>
      <c r="Q207" s="8"/>
      <c r="R207" s="8"/>
    </row>
    <row x14ac:dyDescent="0.25" r="208" customHeight="1" ht="18.75">
      <c r="A208" s="3">
        <v>13</v>
      </c>
      <c r="B208" s="11">
        <f>IFERROR((A208-$P$3) / $R$3, "")</f>
      </c>
      <c r="C208" s="38">
        <f>IF(ABS(B208)&gt;2,"Yes","No")</f>
      </c>
      <c r="D208" s="2"/>
      <c r="E208" s="9"/>
      <c r="F208" s="8"/>
      <c r="G208" s="9"/>
      <c r="H208" s="9"/>
      <c r="I208" s="8"/>
      <c r="J208" s="8"/>
      <c r="K208" s="8"/>
      <c r="L208" s="8"/>
      <c r="M208" s="2"/>
      <c r="N208" s="2"/>
      <c r="O208" s="8"/>
      <c r="P208" s="8"/>
      <c r="Q208" s="8"/>
      <c r="R208" s="8"/>
    </row>
    <row x14ac:dyDescent="0.25" r="209" customHeight="1" ht="18.75">
      <c r="A209" s="3">
        <v>13</v>
      </c>
      <c r="B209" s="11">
        <f>IFERROR((A209-$P$3) / $R$3, "")</f>
      </c>
      <c r="C209" s="38">
        <f>IF(ABS(B209)&gt;2,"Yes","No")</f>
      </c>
      <c r="D209" s="2"/>
      <c r="E209" s="9"/>
      <c r="F209" s="8"/>
      <c r="G209" s="9"/>
      <c r="H209" s="9"/>
      <c r="I209" s="8"/>
      <c r="J209" s="8"/>
      <c r="K209" s="8"/>
      <c r="L209" s="8"/>
      <c r="M209" s="2"/>
      <c r="N209" s="2"/>
      <c r="O209" s="8"/>
      <c r="P209" s="8"/>
      <c r="Q209" s="8"/>
      <c r="R209" s="8"/>
    </row>
    <row x14ac:dyDescent="0.25" r="210" customHeight="1" ht="18.75">
      <c r="A210" s="3">
        <v>13</v>
      </c>
      <c r="B210" s="11">
        <f>IFERROR((A210-$P$3) / $R$3, "")</f>
      </c>
      <c r="C210" s="38">
        <f>IF(ABS(B210)&gt;2,"Yes","No")</f>
      </c>
      <c r="D210" s="2"/>
      <c r="E210" s="9"/>
      <c r="F210" s="8"/>
      <c r="G210" s="9"/>
      <c r="H210" s="9"/>
      <c r="I210" s="8"/>
      <c r="J210" s="8"/>
      <c r="K210" s="8"/>
      <c r="L210" s="8"/>
      <c r="M210" s="2"/>
      <c r="N210" s="2"/>
      <c r="O210" s="8"/>
      <c r="P210" s="8"/>
      <c r="Q210" s="8"/>
      <c r="R210" s="8"/>
    </row>
    <row x14ac:dyDescent="0.25" r="211" customHeight="1" ht="18.75">
      <c r="A211" s="3">
        <v>19</v>
      </c>
      <c r="B211" s="11">
        <f>IFERROR((A211-$P$3) / $R$3, "")</f>
      </c>
      <c r="C211" s="38">
        <f>IF(ABS(B211)&gt;2,"Yes","No")</f>
      </c>
      <c r="D211" s="2"/>
      <c r="E211" s="9"/>
      <c r="F211" s="8"/>
      <c r="G211" s="9"/>
      <c r="H211" s="9"/>
      <c r="I211" s="8"/>
      <c r="J211" s="8"/>
      <c r="K211" s="8"/>
      <c r="L211" s="8"/>
      <c r="M211" s="2"/>
      <c r="N211" s="2"/>
      <c r="O211" s="8"/>
      <c r="P211" s="8"/>
      <c r="Q211" s="8"/>
      <c r="R211" s="8"/>
    </row>
    <row x14ac:dyDescent="0.25" r="212" customHeight="1" ht="18.75">
      <c r="A212" s="3">
        <v>21</v>
      </c>
      <c r="B212" s="11">
        <f>IFERROR((A212-$P$3) / $R$3, "")</f>
      </c>
      <c r="C212" s="38">
        <f>IF(ABS(B212)&gt;2,"Yes","No")</f>
      </c>
      <c r="D212" s="2"/>
      <c r="E212" s="9"/>
      <c r="F212" s="8"/>
      <c r="G212" s="9"/>
      <c r="H212" s="9"/>
      <c r="I212" s="8"/>
      <c r="J212" s="8"/>
      <c r="K212" s="8"/>
      <c r="L212" s="8"/>
      <c r="M212" s="2"/>
      <c r="N212" s="2"/>
      <c r="O212" s="8"/>
      <c r="P212" s="8"/>
      <c r="Q212" s="8"/>
      <c r="R212" s="8"/>
    </row>
    <row x14ac:dyDescent="0.25" r="213" customHeight="1" ht="18.75">
      <c r="A213" s="3">
        <v>21</v>
      </c>
      <c r="B213" s="11">
        <f>IFERROR((A213-$P$3) / $R$3, "")</f>
      </c>
      <c r="C213" s="38">
        <f>IF(ABS(B213)&gt;2,"Yes","No")</f>
      </c>
      <c r="D213" s="2"/>
      <c r="E213" s="9"/>
      <c r="F213" s="8"/>
      <c r="G213" s="9"/>
      <c r="H213" s="9"/>
      <c r="I213" s="8"/>
      <c r="J213" s="8"/>
      <c r="K213" s="8"/>
      <c r="L213" s="8"/>
      <c r="M213" s="2"/>
      <c r="N213" s="2"/>
      <c r="O213" s="8"/>
      <c r="P213" s="8"/>
      <c r="Q213" s="8"/>
      <c r="R213" s="8"/>
    </row>
    <row x14ac:dyDescent="0.25" r="214" customHeight="1" ht="18.75">
      <c r="A214" s="3">
        <v>18</v>
      </c>
      <c r="B214" s="11">
        <f>IFERROR((A214-$P$3) / $R$3, "")</f>
      </c>
      <c r="C214" s="38">
        <f>IF(ABS(B214)&gt;2,"Yes","No")</f>
      </c>
      <c r="D214" s="2"/>
      <c r="E214" s="9"/>
      <c r="F214" s="8"/>
      <c r="G214" s="9"/>
      <c r="H214" s="9"/>
      <c r="I214" s="8"/>
      <c r="J214" s="8"/>
      <c r="K214" s="8"/>
      <c r="L214" s="8"/>
      <c r="M214" s="2"/>
      <c r="N214" s="2"/>
      <c r="O214" s="8"/>
      <c r="P214" s="8"/>
      <c r="Q214" s="8"/>
      <c r="R214" s="8"/>
    </row>
    <row x14ac:dyDescent="0.25" r="215" customHeight="1" ht="18.75">
      <c r="A215" s="3">
        <v>18</v>
      </c>
      <c r="B215" s="11">
        <f>IFERROR((A215-$P$3) / $R$3, "")</f>
      </c>
      <c r="C215" s="38">
        <f>IF(ABS(B215)&gt;2,"Yes","No")</f>
      </c>
      <c r="D215" s="2"/>
      <c r="E215" s="9"/>
      <c r="F215" s="8"/>
      <c r="G215" s="9"/>
      <c r="H215" s="9"/>
      <c r="I215" s="8"/>
      <c r="J215" s="8"/>
      <c r="K215" s="8"/>
      <c r="L215" s="8"/>
      <c r="M215" s="2"/>
      <c r="N215" s="2"/>
      <c r="O215" s="8"/>
      <c r="P215" s="8"/>
      <c r="Q215" s="8"/>
      <c r="R215" s="8"/>
    </row>
    <row x14ac:dyDescent="0.25" r="216" customHeight="1" ht="18.75">
      <c r="A216" s="3">
        <v>18</v>
      </c>
      <c r="B216" s="11">
        <f>IFERROR((A216-$P$3) / $R$3, "")</f>
      </c>
      <c r="C216" s="38">
        <f>IF(ABS(B216)&gt;2,"Yes","No")</f>
      </c>
      <c r="D216" s="2"/>
      <c r="E216" s="9"/>
      <c r="F216" s="8"/>
      <c r="G216" s="9"/>
      <c r="H216" s="9"/>
      <c r="I216" s="8"/>
      <c r="J216" s="8"/>
      <c r="K216" s="8"/>
      <c r="L216" s="8"/>
      <c r="M216" s="2"/>
      <c r="N216" s="2"/>
      <c r="O216" s="8"/>
      <c r="P216" s="8"/>
      <c r="Q216" s="8"/>
      <c r="R216" s="8"/>
    </row>
    <row x14ac:dyDescent="0.25" r="217" customHeight="1" ht="18.75">
      <c r="A217" s="3">
        <v>23</v>
      </c>
      <c r="B217" s="11">
        <f>IFERROR((A217-$P$3) / $R$3, "")</f>
      </c>
      <c r="C217" s="38">
        <f>IF(ABS(B217)&gt;2,"Yes","No")</f>
      </c>
      <c r="D217" s="2"/>
      <c r="E217" s="9"/>
      <c r="F217" s="8"/>
      <c r="G217" s="9"/>
      <c r="H217" s="9"/>
      <c r="I217" s="8"/>
      <c r="J217" s="8"/>
      <c r="K217" s="8"/>
      <c r="L217" s="8"/>
      <c r="M217" s="2"/>
      <c r="N217" s="2"/>
      <c r="O217" s="8"/>
      <c r="P217" s="8"/>
      <c r="Q217" s="8"/>
      <c r="R217" s="8"/>
    </row>
    <row x14ac:dyDescent="0.25" r="218" customHeight="1" ht="18.75">
      <c r="A218" s="3">
        <v>16</v>
      </c>
      <c r="B218" s="11">
        <f>IFERROR((A218-$P$3) / $R$3, "")</f>
      </c>
      <c r="C218" s="38">
        <f>IF(ABS(B218)&gt;2,"Yes","No")</f>
      </c>
      <c r="D218" s="2"/>
      <c r="E218" s="9"/>
      <c r="F218" s="8"/>
      <c r="G218" s="9"/>
      <c r="H218" s="9"/>
      <c r="I218" s="8"/>
      <c r="J218" s="8"/>
      <c r="K218" s="8"/>
      <c r="L218" s="8"/>
      <c r="M218" s="2"/>
      <c r="N218" s="2"/>
      <c r="O218" s="8"/>
      <c r="P218" s="8"/>
      <c r="Q218" s="8"/>
      <c r="R218" s="8"/>
    </row>
    <row x14ac:dyDescent="0.25" r="219" customHeight="1" ht="18.75">
      <c r="A219" s="3">
        <v>18</v>
      </c>
      <c r="B219" s="11">
        <f>IFERROR((A219-$P$3) / $R$3, "")</f>
      </c>
      <c r="C219" s="38">
        <f>IF(ABS(B219)&gt;2,"Yes","No")</f>
      </c>
      <c r="D219" s="2"/>
      <c r="E219" s="9"/>
      <c r="F219" s="8"/>
      <c r="G219" s="9"/>
      <c r="H219" s="9"/>
      <c r="I219" s="8"/>
      <c r="J219" s="8"/>
      <c r="K219" s="8"/>
      <c r="L219" s="8"/>
      <c r="M219" s="2"/>
      <c r="N219" s="2"/>
      <c r="O219" s="8"/>
      <c r="P219" s="8"/>
      <c r="Q219" s="8"/>
      <c r="R219" s="8"/>
    </row>
    <row x14ac:dyDescent="0.25" r="220" customHeight="1" ht="18.75">
      <c r="A220" s="3">
        <v>16</v>
      </c>
      <c r="B220" s="11">
        <f>IFERROR((A220-$P$3) / $R$3, "")</f>
      </c>
      <c r="C220" s="38">
        <f>IF(ABS(B220)&gt;2,"Yes","No")</f>
      </c>
      <c r="D220" s="2"/>
      <c r="E220" s="9"/>
      <c r="F220" s="8"/>
      <c r="G220" s="9"/>
      <c r="H220" s="9"/>
      <c r="I220" s="8"/>
      <c r="J220" s="8"/>
      <c r="K220" s="8"/>
      <c r="L220" s="8"/>
      <c r="M220" s="2"/>
      <c r="N220" s="2"/>
      <c r="O220" s="8"/>
      <c r="P220" s="8"/>
      <c r="Q220" s="8"/>
      <c r="R220" s="8"/>
    </row>
    <row x14ac:dyDescent="0.25" r="221" customHeight="1" ht="18.75">
      <c r="A221" s="3">
        <v>11</v>
      </c>
      <c r="B221" s="11">
        <f>IFERROR((A221-$P$3) / $R$3, "")</f>
      </c>
      <c r="C221" s="38">
        <f>IF(ABS(B221)&gt;2,"Yes","No")</f>
      </c>
      <c r="D221" s="2"/>
      <c r="E221" s="9"/>
      <c r="F221" s="8"/>
      <c r="G221" s="9"/>
      <c r="H221" s="9"/>
      <c r="I221" s="8"/>
      <c r="J221" s="8"/>
      <c r="K221" s="8"/>
      <c r="L221" s="8"/>
      <c r="M221" s="2"/>
      <c r="N221" s="2"/>
      <c r="O221" s="8"/>
      <c r="P221" s="8"/>
      <c r="Q221" s="8"/>
      <c r="R221" s="8"/>
    </row>
    <row x14ac:dyDescent="0.25" r="222" customHeight="1" ht="18.75">
      <c r="A222" s="3">
        <v>13</v>
      </c>
      <c r="B222" s="11">
        <f>IFERROR((A222-$P$3) / $R$3, "")</f>
      </c>
      <c r="C222" s="38">
        <f>IF(ABS(B222)&gt;2,"Yes","No")</f>
      </c>
      <c r="D222" s="2"/>
      <c r="E222" s="9"/>
      <c r="F222" s="8"/>
      <c r="G222" s="9"/>
      <c r="H222" s="9"/>
      <c r="I222" s="8"/>
      <c r="J222" s="8"/>
      <c r="K222" s="8"/>
      <c r="L222" s="8"/>
      <c r="M222" s="2"/>
      <c r="N222" s="2"/>
      <c r="O222" s="8"/>
      <c r="P222" s="8"/>
      <c r="Q222" s="8"/>
      <c r="R222" s="8"/>
    </row>
    <row x14ac:dyDescent="0.25" r="223" customHeight="1" ht="18.75">
      <c r="A223" s="3">
        <v>12</v>
      </c>
      <c r="B223" s="11">
        <f>IFERROR((A223-$P$3) / $R$3, "")</f>
      </c>
      <c r="C223" s="38">
        <f>IF(ABS(B223)&gt;2,"Yes","No")</f>
      </c>
      <c r="D223" s="2"/>
      <c r="E223" s="9"/>
      <c r="F223" s="8"/>
      <c r="G223" s="9"/>
      <c r="H223" s="9"/>
      <c r="I223" s="8"/>
      <c r="J223" s="8"/>
      <c r="K223" s="8"/>
      <c r="L223" s="8"/>
      <c r="M223" s="2"/>
      <c r="N223" s="2"/>
      <c r="O223" s="8"/>
      <c r="P223" s="8"/>
      <c r="Q223" s="8"/>
      <c r="R223" s="8"/>
    </row>
    <row x14ac:dyDescent="0.25" r="224" customHeight="1" ht="18.75">
      <c r="A224" s="3">
        <v>13</v>
      </c>
      <c r="B224" s="11">
        <f>IFERROR((A224-$P$3) / $R$3, "")</f>
      </c>
      <c r="C224" s="38">
        <f>IF(ABS(B224)&gt;2,"Yes","No")</f>
      </c>
      <c r="D224" s="2"/>
      <c r="E224" s="9"/>
      <c r="F224" s="8"/>
      <c r="G224" s="9"/>
      <c r="H224" s="9"/>
      <c r="I224" s="8"/>
      <c r="J224" s="8"/>
      <c r="K224" s="8"/>
      <c r="L224" s="8"/>
      <c r="M224" s="2"/>
      <c r="N224" s="2"/>
      <c r="O224" s="8"/>
      <c r="P224" s="8"/>
      <c r="Q224" s="8"/>
      <c r="R224" s="8"/>
    </row>
    <row x14ac:dyDescent="0.25" r="225" customHeight="1" ht="18.75">
      <c r="A225" s="3">
        <v>15</v>
      </c>
      <c r="B225" s="11">
        <f>IFERROR((A225-$P$3) / $R$3, "")</f>
      </c>
      <c r="C225" s="38">
        <f>IF(ABS(B225)&gt;2,"Yes","No")</f>
      </c>
      <c r="D225" s="2"/>
      <c r="E225" s="9"/>
      <c r="F225" s="8"/>
      <c r="G225" s="9"/>
      <c r="H225" s="9"/>
      <c r="I225" s="8"/>
      <c r="J225" s="8"/>
      <c r="K225" s="8"/>
      <c r="L225" s="8"/>
      <c r="M225" s="2"/>
      <c r="N225" s="2"/>
      <c r="O225" s="8"/>
      <c r="P225" s="8"/>
      <c r="Q225" s="8"/>
      <c r="R225" s="8"/>
    </row>
    <row x14ac:dyDescent="0.25" r="226" customHeight="1" ht="18.75">
      <c r="A226" s="3">
        <v>13</v>
      </c>
      <c r="B226" s="11">
        <f>IFERROR((A226-$P$3) / $R$3, "")</f>
      </c>
      <c r="C226" s="38">
        <f>IF(ABS(B226)&gt;2,"Yes","No")</f>
      </c>
      <c r="D226" s="2"/>
      <c r="E226" s="9"/>
      <c r="F226" s="8"/>
      <c r="G226" s="9"/>
      <c r="H226" s="9"/>
      <c r="I226" s="8"/>
      <c r="J226" s="8"/>
      <c r="K226" s="8"/>
      <c r="L226" s="8"/>
      <c r="M226" s="2"/>
      <c r="N226" s="2"/>
      <c r="O226" s="8"/>
      <c r="P226" s="8"/>
      <c r="Q226" s="8"/>
      <c r="R226" s="8"/>
    </row>
    <row x14ac:dyDescent="0.25" r="227" customHeight="1" ht="18.75">
      <c r="A227" s="3">
        <v>14</v>
      </c>
      <c r="B227" s="11">
        <f>IFERROR((A227-$P$3) / $R$3, "")</f>
      </c>
      <c r="C227" s="38">
        <f>IF(ABS(B227)&gt;2,"Yes","No")</f>
      </c>
      <c r="D227" s="2"/>
      <c r="E227" s="9"/>
      <c r="F227" s="8"/>
      <c r="G227" s="9"/>
      <c r="H227" s="9"/>
      <c r="I227" s="8"/>
      <c r="J227" s="8"/>
      <c r="K227" s="8"/>
      <c r="L227" s="8"/>
      <c r="M227" s="2"/>
      <c r="N227" s="2"/>
      <c r="O227" s="8"/>
      <c r="P227" s="8"/>
      <c r="Q227" s="8"/>
      <c r="R227" s="8"/>
    </row>
    <row x14ac:dyDescent="0.25" r="228" customHeight="1" ht="18.75">
      <c r="A228" s="3">
        <v>12</v>
      </c>
      <c r="B228" s="11">
        <f>IFERROR((A228-$P$3) / $R$3, "")</f>
      </c>
      <c r="C228" s="38">
        <f>IF(ABS(B228)&gt;2,"Yes","No")</f>
      </c>
      <c r="D228" s="2"/>
      <c r="E228" s="9"/>
      <c r="F228" s="8"/>
      <c r="G228" s="9"/>
      <c r="H228" s="9"/>
      <c r="I228" s="8"/>
      <c r="J228" s="8"/>
      <c r="K228" s="8"/>
      <c r="L228" s="8"/>
      <c r="M228" s="2"/>
      <c r="N228" s="2"/>
      <c r="O228" s="8"/>
      <c r="P228" s="8"/>
      <c r="Q228" s="8"/>
      <c r="R228" s="8"/>
    </row>
    <row x14ac:dyDescent="0.25" r="229" customHeight="1" ht="18.75">
      <c r="A229" s="3">
        <v>12</v>
      </c>
      <c r="B229" s="11">
        <f>IFERROR((A229-$P$3) / $R$3, "")</f>
      </c>
      <c r="C229" s="38">
        <f>IF(ABS(B229)&gt;2,"Yes","No")</f>
      </c>
      <c r="D229" s="2"/>
      <c r="E229" s="9"/>
      <c r="F229" s="8"/>
      <c r="G229" s="9"/>
      <c r="H229" s="9"/>
      <c r="I229" s="8"/>
      <c r="J229" s="8"/>
      <c r="K229" s="8"/>
      <c r="L229" s="8"/>
      <c r="M229" s="2"/>
      <c r="N229" s="2"/>
      <c r="O229" s="8"/>
      <c r="P229" s="8"/>
      <c r="Q229" s="8"/>
      <c r="R229" s="8"/>
    </row>
    <row x14ac:dyDescent="0.25" r="230" customHeight="1" ht="18.75">
      <c r="A230" s="3">
        <v>15</v>
      </c>
      <c r="B230" s="11">
        <f>IFERROR((A230-$P$3) / $R$3, "")</f>
      </c>
      <c r="C230" s="38">
        <f>IF(ABS(B230)&gt;2,"Yes","No")</f>
      </c>
      <c r="D230" s="2"/>
      <c r="E230" s="9"/>
      <c r="F230" s="8"/>
      <c r="G230" s="9"/>
      <c r="H230" s="9"/>
      <c r="I230" s="8"/>
      <c r="J230" s="8"/>
      <c r="K230" s="8"/>
      <c r="L230" s="8"/>
      <c r="M230" s="2"/>
      <c r="N230" s="2"/>
      <c r="O230" s="8"/>
      <c r="P230" s="8"/>
      <c r="Q230" s="8"/>
      <c r="R230" s="8"/>
    </row>
    <row x14ac:dyDescent="0.25" r="231" customHeight="1" ht="18.75">
      <c r="A231" s="3">
        <v>13</v>
      </c>
      <c r="B231" s="11">
        <f>IFERROR((A231-$P$3) / $R$3, "")</f>
      </c>
      <c r="C231" s="38">
        <f>IF(ABS(B231)&gt;2,"Yes","No")</f>
      </c>
      <c r="D231" s="2"/>
      <c r="E231" s="9"/>
      <c r="F231" s="8"/>
      <c r="G231" s="9"/>
      <c r="H231" s="9"/>
      <c r="I231" s="8"/>
      <c r="J231" s="8"/>
      <c r="K231" s="8"/>
      <c r="L231" s="8"/>
      <c r="M231" s="2"/>
      <c r="N231" s="2"/>
      <c r="O231" s="8"/>
      <c r="P231" s="8"/>
      <c r="Q231" s="8"/>
      <c r="R231" s="8"/>
    </row>
    <row x14ac:dyDescent="0.25" r="232" customHeight="1" ht="18.75">
      <c r="A232" s="3">
        <v>13</v>
      </c>
      <c r="B232" s="11">
        <f>IFERROR((A232-$P$3) / $R$3, "")</f>
      </c>
      <c r="C232" s="38">
        <f>IF(ABS(B232)&gt;2,"Yes","No")</f>
      </c>
      <c r="D232" s="2"/>
      <c r="E232" s="9"/>
      <c r="F232" s="8"/>
      <c r="G232" s="9"/>
      <c r="H232" s="9"/>
      <c r="I232" s="8"/>
      <c r="J232" s="8"/>
      <c r="K232" s="8"/>
      <c r="L232" s="8"/>
      <c r="M232" s="2"/>
      <c r="N232" s="2"/>
      <c r="O232" s="8"/>
      <c r="P232" s="8"/>
      <c r="Q232" s="8"/>
      <c r="R232" s="8"/>
    </row>
    <row x14ac:dyDescent="0.25" r="233" customHeight="1" ht="18.75">
      <c r="A233" s="3">
        <v>13</v>
      </c>
      <c r="B233" s="11">
        <f>IFERROR((A233-$P$3) / $R$3, "")</f>
      </c>
      <c r="C233" s="38">
        <f>IF(ABS(B233)&gt;2,"Yes","No")</f>
      </c>
      <c r="D233" s="2"/>
      <c r="E233" s="9"/>
      <c r="F233" s="8"/>
      <c r="G233" s="9"/>
      <c r="H233" s="9"/>
      <c r="I233" s="8"/>
      <c r="J233" s="8"/>
      <c r="K233" s="8"/>
      <c r="L233" s="8"/>
      <c r="M233" s="2"/>
      <c r="N233" s="2"/>
      <c r="O233" s="8"/>
      <c r="P233" s="8"/>
      <c r="Q233" s="8"/>
      <c r="R233" s="8"/>
    </row>
    <row x14ac:dyDescent="0.25" r="234" customHeight="1" ht="18.75">
      <c r="A234" s="3">
        <v>15</v>
      </c>
      <c r="B234" s="11">
        <f>IFERROR((A234-$P$3) / $R$3, "")</f>
      </c>
      <c r="C234" s="38">
        <f>IF(ABS(B234)&gt;2,"Yes","No")</f>
      </c>
      <c r="D234" s="2"/>
      <c r="E234" s="9"/>
      <c r="F234" s="8"/>
      <c r="G234" s="9"/>
      <c r="H234" s="9"/>
      <c r="I234" s="8"/>
      <c r="J234" s="8"/>
      <c r="K234" s="8"/>
      <c r="L234" s="8"/>
      <c r="M234" s="2"/>
      <c r="N234" s="2"/>
      <c r="O234" s="8"/>
      <c r="P234" s="8"/>
      <c r="Q234" s="8"/>
      <c r="R234" s="8"/>
    </row>
    <row x14ac:dyDescent="0.25" r="235" customHeight="1" ht="18.75">
      <c r="A235" s="3">
        <v>14</v>
      </c>
      <c r="B235" s="11">
        <f>IFERROR((A235-$P$3) / $R$3, "")</f>
      </c>
      <c r="C235" s="38">
        <f>IF(ABS(B235)&gt;2,"Yes","No")</f>
      </c>
      <c r="D235" s="2"/>
      <c r="E235" s="9"/>
      <c r="F235" s="8"/>
      <c r="G235" s="9"/>
      <c r="H235" s="9"/>
      <c r="I235" s="8"/>
      <c r="J235" s="8"/>
      <c r="K235" s="8"/>
      <c r="L235" s="8"/>
      <c r="M235" s="2"/>
      <c r="N235" s="2"/>
      <c r="O235" s="8"/>
      <c r="P235" s="8"/>
      <c r="Q235" s="8"/>
      <c r="R235" s="8"/>
    </row>
    <row x14ac:dyDescent="0.25" r="236" customHeight="1" ht="18.75">
      <c r="A236" s="3">
        <v>12</v>
      </c>
      <c r="B236" s="11">
        <f>IFERROR((A236-$P$3) / $R$3, "")</f>
      </c>
      <c r="C236" s="38">
        <f>IF(ABS(B236)&gt;2,"Yes","No")</f>
      </c>
      <c r="D236" s="2"/>
      <c r="E236" s="9"/>
      <c r="F236" s="8"/>
      <c r="G236" s="9"/>
      <c r="H236" s="9"/>
      <c r="I236" s="8"/>
      <c r="J236" s="8"/>
      <c r="K236" s="8"/>
      <c r="L236" s="8"/>
      <c r="M236" s="2"/>
      <c r="N236" s="2"/>
      <c r="O236" s="8"/>
      <c r="P236" s="8"/>
      <c r="Q236" s="8"/>
      <c r="R236" s="8"/>
    </row>
    <row x14ac:dyDescent="0.25" r="237" customHeight="1" ht="18.75">
      <c r="A237" s="3">
        <v>14</v>
      </c>
      <c r="B237" s="11">
        <f>IFERROR((A237-$P$3) / $R$3, "")</f>
      </c>
      <c r="C237" s="38">
        <f>IF(ABS(B237)&gt;2,"Yes","No")</f>
      </c>
      <c r="D237" s="2"/>
      <c r="E237" s="9"/>
      <c r="F237" s="8"/>
      <c r="G237" s="9"/>
      <c r="H237" s="9"/>
      <c r="I237" s="8"/>
      <c r="J237" s="8"/>
      <c r="K237" s="8"/>
      <c r="L237" s="8"/>
      <c r="M237" s="2"/>
      <c r="N237" s="2"/>
      <c r="O237" s="8"/>
      <c r="P237" s="8"/>
      <c r="Q237" s="8"/>
      <c r="R237" s="8"/>
    </row>
    <row x14ac:dyDescent="0.25" r="238" customHeight="1" ht="18.75">
      <c r="A238" s="3">
        <v>13</v>
      </c>
      <c r="B238" s="11">
        <f>IFERROR((A238-$P$3) / $R$3, "")</f>
      </c>
      <c r="C238" s="38">
        <f>IF(ABS(B238)&gt;2,"Yes","No")</f>
      </c>
      <c r="D238" s="2"/>
      <c r="E238" s="9"/>
      <c r="F238" s="8"/>
      <c r="G238" s="9"/>
      <c r="H238" s="9"/>
      <c r="I238" s="8"/>
      <c r="J238" s="8"/>
      <c r="K238" s="8"/>
      <c r="L238" s="8"/>
      <c r="M238" s="2"/>
      <c r="N238" s="2"/>
      <c r="O238" s="8"/>
      <c r="P238" s="8"/>
      <c r="Q238" s="8"/>
      <c r="R238" s="8"/>
    </row>
    <row x14ac:dyDescent="0.25" r="239" customHeight="1" ht="18.75">
      <c r="A239" s="3">
        <v>11</v>
      </c>
      <c r="B239" s="11">
        <f>IFERROR((A239-$P$3) / $R$3, "")</f>
      </c>
      <c r="C239" s="38">
        <f>IF(ABS(B239)&gt;2,"Yes","No")</f>
      </c>
      <c r="D239" s="2"/>
      <c r="E239" s="9"/>
      <c r="F239" s="8"/>
      <c r="G239" s="9"/>
      <c r="H239" s="9"/>
      <c r="I239" s="8"/>
      <c r="J239" s="8"/>
      <c r="K239" s="8"/>
      <c r="L239" s="8"/>
      <c r="M239" s="2"/>
      <c r="N239" s="2"/>
      <c r="O239" s="8"/>
      <c r="P239" s="8"/>
      <c r="Q239" s="8"/>
      <c r="R239" s="8"/>
    </row>
    <row x14ac:dyDescent="0.25" r="240" customHeight="1" ht="18.75">
      <c r="A240" s="3">
        <v>28</v>
      </c>
      <c r="B240" s="11">
        <f>IFERROR((A240-$P$3) / $R$3, "")</f>
      </c>
      <c r="C240" s="38">
        <f>IF(ABS(B240)&gt;2,"Yes","No")</f>
      </c>
      <c r="D240" s="2"/>
      <c r="E240" s="9"/>
      <c r="F240" s="8"/>
      <c r="G240" s="9"/>
      <c r="H240" s="9"/>
      <c r="I240" s="8"/>
      <c r="J240" s="8"/>
      <c r="K240" s="8"/>
      <c r="L240" s="8"/>
      <c r="M240" s="2"/>
      <c r="N240" s="2"/>
      <c r="O240" s="8"/>
      <c r="P240" s="8"/>
      <c r="Q240" s="8"/>
      <c r="R240" s="8"/>
    </row>
    <row x14ac:dyDescent="0.25" r="241" customHeight="1" ht="18.75">
      <c r="A241" s="3">
        <v>26</v>
      </c>
      <c r="B241" s="11">
        <f>IFERROR((A241-$P$3) / $R$3, "")</f>
      </c>
      <c r="C241" s="38">
        <f>IF(ABS(B241)&gt;2,"Yes","No")</f>
      </c>
      <c r="D241" s="2"/>
      <c r="E241" s="9"/>
      <c r="F241" s="8"/>
      <c r="G241" s="9"/>
      <c r="H241" s="9"/>
      <c r="I241" s="8"/>
      <c r="J241" s="8"/>
      <c r="K241" s="8"/>
      <c r="L241" s="8"/>
      <c r="M241" s="2"/>
      <c r="N241" s="2"/>
      <c r="O241" s="8"/>
      <c r="P241" s="8"/>
      <c r="Q241" s="8"/>
      <c r="R241" s="8"/>
    </row>
    <row x14ac:dyDescent="0.25" r="242" customHeight="1" ht="18.75">
      <c r="A242" s="3">
        <v>25</v>
      </c>
      <c r="B242" s="11">
        <f>IFERROR((A242-$P$3) / $R$3, "")</f>
      </c>
      <c r="C242" s="38">
        <f>IF(ABS(B242)&gt;2,"Yes","No")</f>
      </c>
      <c r="D242" s="2"/>
      <c r="E242" s="9"/>
      <c r="F242" s="8"/>
      <c r="G242" s="9"/>
      <c r="H242" s="9"/>
      <c r="I242" s="8"/>
      <c r="J242" s="8"/>
      <c r="K242" s="8"/>
      <c r="L242" s="8"/>
      <c r="M242" s="2"/>
      <c r="N242" s="2"/>
      <c r="O242" s="8"/>
      <c r="P242" s="8"/>
      <c r="Q242" s="8"/>
      <c r="R242" s="8"/>
    </row>
    <row x14ac:dyDescent="0.25" r="243" customHeight="1" ht="18.75">
      <c r="A243" s="3">
        <v>19</v>
      </c>
      <c r="B243" s="11">
        <f>IFERROR((A243-$P$3) / $R$3, "")</f>
      </c>
      <c r="C243" s="38">
        <f>IF(ABS(B243)&gt;2,"Yes","No")</f>
      </c>
      <c r="D243" s="2"/>
      <c r="E243" s="9"/>
      <c r="F243" s="8"/>
      <c r="G243" s="9"/>
      <c r="H243" s="9"/>
      <c r="I243" s="8"/>
      <c r="J243" s="8"/>
      <c r="K243" s="8"/>
      <c r="L243" s="8"/>
      <c r="M243" s="2"/>
      <c r="N243" s="2"/>
      <c r="O243" s="8"/>
      <c r="P243" s="8"/>
      <c r="Q243" s="8"/>
      <c r="R243" s="8"/>
    </row>
    <row x14ac:dyDescent="0.25" r="244" customHeight="1" ht="18.75">
      <c r="A244" s="3">
        <v>20</v>
      </c>
      <c r="B244" s="11">
        <f>IFERROR((A244-$P$3) / $R$3, "")</f>
      </c>
      <c r="C244" s="38">
        <f>IF(ABS(B244)&gt;2,"Yes","No")</f>
      </c>
      <c r="D244" s="2"/>
      <c r="E244" s="9"/>
      <c r="F244" s="8"/>
      <c r="G244" s="9"/>
      <c r="H244" s="9"/>
      <c r="I244" s="8"/>
      <c r="J244" s="8"/>
      <c r="K244" s="8"/>
      <c r="L244" s="8"/>
      <c r="M244" s="2"/>
      <c r="N244" s="2"/>
      <c r="O244" s="8"/>
      <c r="P244" s="8"/>
      <c r="Q244" s="8"/>
      <c r="R244" s="8"/>
    </row>
    <row x14ac:dyDescent="0.25" r="245" customHeight="1" ht="18.75">
      <c r="A245" s="3">
        <v>16</v>
      </c>
      <c r="B245" s="11">
        <f>IFERROR((A245-$P$3) / $R$3, "")</f>
      </c>
      <c r="C245" s="38">
        <f>IF(ABS(B245)&gt;2,"Yes","No")</f>
      </c>
      <c r="D245" s="2"/>
      <c r="E245" s="9"/>
      <c r="F245" s="8"/>
      <c r="G245" s="9"/>
      <c r="H245" s="9"/>
      <c r="I245" s="8"/>
      <c r="J245" s="8"/>
      <c r="K245" s="8"/>
      <c r="L245" s="8"/>
      <c r="M245" s="2"/>
      <c r="N245" s="2"/>
      <c r="O245" s="8"/>
      <c r="P245" s="8"/>
      <c r="Q245" s="8"/>
      <c r="R245" s="8"/>
    </row>
    <row x14ac:dyDescent="0.25" r="246" customHeight="1" ht="18.75">
      <c r="A246" s="3">
        <v>15</v>
      </c>
      <c r="B246" s="11">
        <f>IFERROR((A246-$P$3) / $R$3, "")</f>
      </c>
      <c r="C246" s="38">
        <f>IF(ABS(B246)&gt;2,"Yes","No")</f>
      </c>
      <c r="D246" s="2"/>
      <c r="E246" s="9"/>
      <c r="F246" s="8"/>
      <c r="G246" s="9"/>
      <c r="H246" s="9"/>
      <c r="I246" s="8"/>
      <c r="J246" s="8"/>
      <c r="K246" s="8"/>
      <c r="L246" s="8"/>
      <c r="M246" s="2"/>
      <c r="N246" s="2"/>
      <c r="O246" s="8"/>
      <c r="P246" s="8"/>
      <c r="Q246" s="8"/>
      <c r="R246" s="8"/>
    </row>
    <row x14ac:dyDescent="0.25" r="247" customHeight="1" ht="18.75">
      <c r="A247" s="3">
        <v>18</v>
      </c>
      <c r="B247" s="11">
        <f>IFERROR((A247-$P$3) / $R$3, "")</f>
      </c>
      <c r="C247" s="38">
        <f>IF(ABS(B247)&gt;2,"Yes","No")</f>
      </c>
      <c r="D247" s="2"/>
      <c r="E247" s="9"/>
      <c r="F247" s="8"/>
      <c r="G247" s="9"/>
      <c r="H247" s="9"/>
      <c r="I247" s="8"/>
      <c r="J247" s="8"/>
      <c r="K247" s="8"/>
      <c r="L247" s="8"/>
      <c r="M247" s="2"/>
      <c r="N247" s="2"/>
      <c r="O247" s="8"/>
      <c r="P247" s="8"/>
      <c r="Q247" s="8"/>
      <c r="R247" s="8"/>
    </row>
    <row x14ac:dyDescent="0.25" r="248" customHeight="1" ht="18.75">
      <c r="A248" s="3">
        <v>16</v>
      </c>
      <c r="B248" s="11">
        <f>IFERROR((A248-$P$3) / $R$3, "")</f>
      </c>
      <c r="C248" s="38">
        <f>IF(ABS(B248)&gt;2,"Yes","No")</f>
      </c>
      <c r="D248" s="2"/>
      <c r="E248" s="9"/>
      <c r="F248" s="8"/>
      <c r="G248" s="9"/>
      <c r="H248" s="9"/>
      <c r="I248" s="8"/>
      <c r="J248" s="8"/>
      <c r="K248" s="8"/>
      <c r="L248" s="8"/>
      <c r="M248" s="2"/>
      <c r="N248" s="2"/>
      <c r="O248" s="8"/>
      <c r="P248" s="8"/>
      <c r="Q248" s="8"/>
      <c r="R248" s="8"/>
    </row>
    <row x14ac:dyDescent="0.25" r="249" customHeight="1" ht="18.75">
      <c r="A249" s="3">
        <v>21</v>
      </c>
      <c r="B249" s="11">
        <f>IFERROR((A249-$P$3) / $R$3, "")</f>
      </c>
      <c r="C249" s="38">
        <f>IF(ABS(B249)&gt;2,"Yes","No")</f>
      </c>
      <c r="D249" s="2"/>
      <c r="E249" s="9"/>
      <c r="F249" s="8"/>
      <c r="G249" s="9"/>
      <c r="H249" s="9"/>
      <c r="I249" s="8"/>
      <c r="J249" s="8"/>
      <c r="K249" s="8"/>
      <c r="L249" s="8"/>
      <c r="M249" s="2"/>
      <c r="N249" s="2"/>
      <c r="O249" s="8"/>
      <c r="P249" s="8"/>
      <c r="Q249" s="8"/>
      <c r="R249" s="8"/>
    </row>
    <row x14ac:dyDescent="0.25" r="250" customHeight="1" ht="18.75">
      <c r="A250" s="3">
        <v>14</v>
      </c>
      <c r="B250" s="11">
        <f>IFERROR((A250-$P$3) / $R$3, "")</f>
      </c>
      <c r="C250" s="38">
        <f>IF(ABS(B250)&gt;2,"Yes","No")</f>
      </c>
      <c r="D250" s="2"/>
      <c r="E250" s="9"/>
      <c r="F250" s="8"/>
      <c r="G250" s="9"/>
      <c r="H250" s="9"/>
      <c r="I250" s="8"/>
      <c r="J250" s="8"/>
      <c r="K250" s="8"/>
      <c r="L250" s="8"/>
      <c r="M250" s="2"/>
      <c r="N250" s="2"/>
      <c r="O250" s="8"/>
      <c r="P250" s="8"/>
      <c r="Q250" s="8"/>
      <c r="R250" s="8"/>
    </row>
    <row x14ac:dyDescent="0.25" r="251" customHeight="1" ht="18.75">
      <c r="A251" s="3">
        <v>16</v>
      </c>
      <c r="B251" s="11">
        <f>IFERROR((A251-$P$3) / $R$3, "")</f>
      </c>
      <c r="C251" s="38">
        <f>IF(ABS(B251)&gt;2,"Yes","No")</f>
      </c>
      <c r="D251" s="2"/>
      <c r="E251" s="9"/>
      <c r="F251" s="8"/>
      <c r="G251" s="9"/>
      <c r="H251" s="9"/>
      <c r="I251" s="8"/>
      <c r="J251" s="8"/>
      <c r="K251" s="8"/>
      <c r="L251" s="8"/>
      <c r="M251" s="2"/>
      <c r="N251" s="2"/>
      <c r="O251" s="8"/>
      <c r="P251" s="8"/>
      <c r="Q251" s="8"/>
      <c r="R251" s="8"/>
    </row>
    <row x14ac:dyDescent="0.25" r="252" customHeight="1" ht="18.75">
      <c r="A252" s="3">
        <v>14</v>
      </c>
      <c r="B252" s="11">
        <f>IFERROR((A252-$P$3) / $R$3, "")</f>
      </c>
      <c r="C252" s="38">
        <f>IF(ABS(B252)&gt;2,"Yes","No")</f>
      </c>
      <c r="D252" s="2"/>
      <c r="E252" s="9"/>
      <c r="F252" s="8"/>
      <c r="G252" s="9"/>
      <c r="H252" s="9"/>
      <c r="I252" s="8"/>
      <c r="J252" s="8"/>
      <c r="K252" s="8"/>
      <c r="L252" s="8"/>
      <c r="M252" s="2"/>
      <c r="N252" s="2"/>
      <c r="O252" s="8"/>
      <c r="P252" s="8"/>
      <c r="Q252" s="8"/>
      <c r="R252" s="8"/>
    </row>
    <row x14ac:dyDescent="0.25" r="253" customHeight="1" ht="18.75">
      <c r="A253" s="3">
        <v>13</v>
      </c>
      <c r="B253" s="11">
        <f>IFERROR((A253-$P$3) / $R$3, "")</f>
      </c>
      <c r="C253" s="38">
        <f>IF(ABS(B253)&gt;2,"Yes","No")</f>
      </c>
      <c r="D253" s="2"/>
      <c r="E253" s="9"/>
      <c r="F253" s="8"/>
      <c r="G253" s="9"/>
      <c r="H253" s="9"/>
      <c r="I253" s="8"/>
      <c r="J253" s="8"/>
      <c r="K253" s="8"/>
      <c r="L253" s="8"/>
      <c r="M253" s="2"/>
      <c r="N253" s="2"/>
      <c r="O253" s="8"/>
      <c r="P253" s="8"/>
      <c r="Q253" s="8"/>
      <c r="R253" s="8"/>
    </row>
    <row x14ac:dyDescent="0.25" r="254" customHeight="1" ht="18.75">
      <c r="A254" s="3">
        <v>14</v>
      </c>
      <c r="B254" s="11">
        <f>IFERROR((A254-$P$3) / $R$3, "")</f>
      </c>
      <c r="C254" s="38">
        <f>IF(ABS(B254)&gt;2,"Yes","No")</f>
      </c>
      <c r="D254" s="2"/>
      <c r="E254" s="9"/>
      <c r="F254" s="8"/>
      <c r="G254" s="9"/>
      <c r="H254" s="9"/>
      <c r="I254" s="8"/>
      <c r="J254" s="8"/>
      <c r="K254" s="8"/>
      <c r="L254" s="8"/>
      <c r="M254" s="2"/>
      <c r="N254" s="2"/>
      <c r="O254" s="8"/>
      <c r="P254" s="8"/>
      <c r="Q254" s="8"/>
      <c r="R254" s="8"/>
    </row>
    <row x14ac:dyDescent="0.25" r="255" customHeight="1" ht="18.75">
      <c r="A255" s="3">
        <v>23</v>
      </c>
      <c r="B255" s="11">
        <f>IFERROR((A255-$P$3) / $R$3, "")</f>
      </c>
      <c r="C255" s="38">
        <f>IF(ABS(B255)&gt;2,"Yes","No")</f>
      </c>
      <c r="D255" s="2"/>
      <c r="E255" s="9"/>
      <c r="F255" s="8"/>
      <c r="G255" s="9"/>
      <c r="H255" s="9"/>
      <c r="I255" s="8"/>
      <c r="J255" s="8"/>
      <c r="K255" s="8"/>
      <c r="L255" s="8"/>
      <c r="M255" s="2"/>
      <c r="N255" s="2"/>
      <c r="O255" s="8"/>
      <c r="P255" s="8"/>
      <c r="Q255" s="8"/>
      <c r="R255" s="8"/>
    </row>
    <row x14ac:dyDescent="0.25" r="256" customHeight="1" ht="18.75">
      <c r="A256" s="3">
        <v>23</v>
      </c>
      <c r="B256" s="11">
        <f>IFERROR((A256-$P$3) / $R$3, "")</f>
      </c>
      <c r="C256" s="38">
        <f>IF(ABS(B256)&gt;2,"Yes","No")</f>
      </c>
      <c r="D256" s="2"/>
      <c r="E256" s="9"/>
      <c r="F256" s="8"/>
      <c r="G256" s="9"/>
      <c r="H256" s="9"/>
      <c r="I256" s="8"/>
      <c r="J256" s="8"/>
      <c r="K256" s="8"/>
      <c r="L256" s="8"/>
      <c r="M256" s="2"/>
      <c r="N256" s="2"/>
      <c r="O256" s="8"/>
      <c r="P256" s="8"/>
      <c r="Q256" s="8"/>
      <c r="R256" s="8"/>
    </row>
    <row x14ac:dyDescent="0.25" r="257" customHeight="1" ht="18.75">
      <c r="A257" s="3">
        <v>21</v>
      </c>
      <c r="B257" s="11">
        <f>IFERROR((A257-$P$3) / $R$3, "")</f>
      </c>
      <c r="C257" s="38">
        <f>IF(ABS(B257)&gt;2,"Yes","No")</f>
      </c>
      <c r="D257" s="2"/>
      <c r="E257" s="9"/>
      <c r="F257" s="8"/>
      <c r="G257" s="9"/>
      <c r="H257" s="9"/>
      <c r="I257" s="8"/>
      <c r="J257" s="8"/>
      <c r="K257" s="8"/>
      <c r="L257" s="8"/>
      <c r="M257" s="2"/>
      <c r="N257" s="2"/>
      <c r="O257" s="8"/>
      <c r="P257" s="8"/>
      <c r="Q257" s="8"/>
      <c r="R257" s="8"/>
    </row>
    <row x14ac:dyDescent="0.25" r="258" customHeight="1" ht="18.75">
      <c r="A258" s="3">
        <v>20</v>
      </c>
      <c r="B258" s="11">
        <f>IFERROR((A258-$P$3) / $R$3, "")</f>
      </c>
      <c r="C258" s="38">
        <f>IF(ABS(B258)&gt;2,"Yes","No")</f>
      </c>
      <c r="D258" s="2"/>
      <c r="E258" s="9"/>
      <c r="F258" s="8"/>
      <c r="G258" s="9"/>
      <c r="H258" s="9"/>
      <c r="I258" s="8"/>
      <c r="J258" s="8"/>
      <c r="K258" s="8"/>
      <c r="L258" s="8"/>
      <c r="M258" s="2"/>
      <c r="N258" s="2"/>
      <c r="O258" s="8"/>
      <c r="P258" s="8"/>
      <c r="Q258" s="8"/>
      <c r="R258" s="8"/>
    </row>
    <row x14ac:dyDescent="0.25" r="259" customHeight="1" ht="18.75">
      <c r="A259" s="3">
        <v>18</v>
      </c>
      <c r="B259" s="11">
        <f>IFERROR((A259-$P$3) / $R$3, "")</f>
      </c>
      <c r="C259" s="38">
        <f>IF(ABS(B259)&gt;2,"Yes","No")</f>
      </c>
      <c r="D259" s="2"/>
      <c r="E259" s="9"/>
      <c r="F259" s="8"/>
      <c r="G259" s="9"/>
      <c r="H259" s="9"/>
      <c r="I259" s="8"/>
      <c r="J259" s="8"/>
      <c r="K259" s="8"/>
      <c r="L259" s="8"/>
      <c r="M259" s="2"/>
      <c r="N259" s="2"/>
      <c r="O259" s="8"/>
      <c r="P259" s="8"/>
      <c r="Q259" s="8"/>
      <c r="R259" s="8"/>
    </row>
    <row x14ac:dyDescent="0.25" r="260" customHeight="1" ht="18.75">
      <c r="A260" s="3">
        <v>18</v>
      </c>
      <c r="B260" s="11">
        <f>IFERROR((A260-$P$3) / $R$3, "")</f>
      </c>
      <c r="C260" s="38">
        <f>IF(ABS(B260)&gt;2,"Yes","No")</f>
      </c>
      <c r="D260" s="2"/>
      <c r="E260" s="9"/>
      <c r="F260" s="8"/>
      <c r="G260" s="9"/>
      <c r="H260" s="9"/>
      <c r="I260" s="8"/>
      <c r="J260" s="8"/>
      <c r="K260" s="8"/>
      <c r="L260" s="8"/>
      <c r="M260" s="2"/>
      <c r="N260" s="2"/>
      <c r="O260" s="8"/>
      <c r="P260" s="8"/>
      <c r="Q260" s="8"/>
      <c r="R260" s="8"/>
    </row>
    <row x14ac:dyDescent="0.25" r="261" customHeight="1" ht="18.75">
      <c r="A261" s="3">
        <v>15</v>
      </c>
      <c r="B261" s="11">
        <f>IFERROR((A261-$P$3) / $R$3, "")</f>
      </c>
      <c r="C261" s="38">
        <f>IF(ABS(B261)&gt;2,"Yes","No")</f>
      </c>
      <c r="D261" s="2"/>
      <c r="E261" s="9"/>
      <c r="F261" s="8"/>
      <c r="G261" s="9"/>
      <c r="H261" s="9"/>
      <c r="I261" s="8"/>
      <c r="J261" s="8"/>
      <c r="K261" s="8"/>
      <c r="L261" s="8"/>
      <c r="M261" s="2"/>
      <c r="N261" s="2"/>
      <c r="O261" s="8"/>
      <c r="P261" s="8"/>
      <c r="Q261" s="8"/>
      <c r="R261" s="8"/>
    </row>
    <row x14ac:dyDescent="0.25" r="262" customHeight="1" ht="18.75">
      <c r="A262" s="3">
        <v>19</v>
      </c>
      <c r="B262" s="11">
        <f>IFERROR((A262-$P$3) / $R$3, "")</f>
      </c>
      <c r="C262" s="38">
        <f>IF(ABS(B262)&gt;2,"Yes","No")</f>
      </c>
      <c r="D262" s="2"/>
      <c r="E262" s="9"/>
      <c r="F262" s="8"/>
      <c r="G262" s="9"/>
      <c r="H262" s="9"/>
      <c r="I262" s="8"/>
      <c r="J262" s="8"/>
      <c r="K262" s="8"/>
      <c r="L262" s="8"/>
      <c r="M262" s="2"/>
      <c r="N262" s="2"/>
      <c r="O262" s="8"/>
      <c r="P262" s="8"/>
      <c r="Q262" s="8"/>
      <c r="R262" s="8"/>
    </row>
    <row x14ac:dyDescent="0.25" r="263" customHeight="1" ht="18.75">
      <c r="A263" s="3">
        <v>17</v>
      </c>
      <c r="B263" s="11">
        <f>IFERROR((A263-$P$3) / $R$3, "")</f>
      </c>
      <c r="C263" s="38">
        <f>IF(ABS(B263)&gt;2,"Yes","No")</f>
      </c>
      <c r="D263" s="2"/>
      <c r="E263" s="9"/>
      <c r="F263" s="8"/>
      <c r="G263" s="9"/>
      <c r="H263" s="9"/>
      <c r="I263" s="8"/>
      <c r="J263" s="8"/>
      <c r="K263" s="8"/>
      <c r="L263" s="8"/>
      <c r="M263" s="2"/>
      <c r="N263" s="2"/>
      <c r="O263" s="8"/>
      <c r="P263" s="8"/>
      <c r="Q263" s="8"/>
      <c r="R263" s="8"/>
    </row>
    <row x14ac:dyDescent="0.25" r="264" customHeight="1" ht="18.75">
      <c r="A264" s="3">
        <v>19</v>
      </c>
      <c r="B264" s="11">
        <f>IFERROR((A264-$P$3) / $R$3, "")</f>
      </c>
      <c r="C264" s="38">
        <f>IF(ABS(B264)&gt;2,"Yes","No")</f>
      </c>
      <c r="D264" s="2"/>
      <c r="E264" s="9"/>
      <c r="F264" s="8"/>
      <c r="G264" s="9"/>
      <c r="H264" s="9"/>
      <c r="I264" s="8"/>
      <c r="J264" s="8"/>
      <c r="K264" s="8"/>
      <c r="L264" s="8"/>
      <c r="M264" s="2"/>
      <c r="N264" s="2"/>
      <c r="O264" s="8"/>
      <c r="P264" s="8"/>
      <c r="Q264" s="8"/>
      <c r="R264" s="8"/>
    </row>
    <row x14ac:dyDescent="0.25" r="265" customHeight="1" ht="18.75">
      <c r="A265" s="3">
        <v>16</v>
      </c>
      <c r="B265" s="11">
        <f>IFERROR((A265-$P$3) / $R$3, "")</f>
      </c>
      <c r="C265" s="38">
        <f>IF(ABS(B265)&gt;2,"Yes","No")</f>
      </c>
      <c r="D265" s="2"/>
      <c r="E265" s="9"/>
      <c r="F265" s="8"/>
      <c r="G265" s="9"/>
      <c r="H265" s="9"/>
      <c r="I265" s="8"/>
      <c r="J265" s="8"/>
      <c r="K265" s="8"/>
      <c r="L265" s="8"/>
      <c r="M265" s="2"/>
      <c r="N265" s="2"/>
      <c r="O265" s="8"/>
      <c r="P265" s="8"/>
      <c r="Q265" s="8"/>
      <c r="R265" s="8"/>
    </row>
    <row x14ac:dyDescent="0.25" r="266" customHeight="1" ht="18.75">
      <c r="A266" s="3">
        <v>18</v>
      </c>
      <c r="B266" s="11">
        <f>IFERROR((A266-$P$3) / $R$3, "")</f>
      </c>
      <c r="C266" s="38">
        <f>IF(ABS(B266)&gt;2,"Yes","No")</f>
      </c>
      <c r="D266" s="2"/>
      <c r="E266" s="9"/>
      <c r="F266" s="8"/>
      <c r="G266" s="9"/>
      <c r="H266" s="9"/>
      <c r="I266" s="8"/>
      <c r="J266" s="8"/>
      <c r="K266" s="8"/>
      <c r="L266" s="8"/>
      <c r="M266" s="2"/>
      <c r="N266" s="2"/>
      <c r="O266" s="8"/>
      <c r="P266" s="8"/>
      <c r="Q266" s="8"/>
      <c r="R266" s="8"/>
    </row>
    <row x14ac:dyDescent="0.25" r="267" customHeight="1" ht="18.75">
      <c r="A267" s="3">
        <v>15</v>
      </c>
      <c r="B267" s="11">
        <f>IFERROR((A267-$P$3) / $R$3, "")</f>
      </c>
      <c r="C267" s="38">
        <f>IF(ABS(B267)&gt;2,"Yes","No")</f>
      </c>
      <c r="D267" s="2"/>
      <c r="E267" s="9"/>
      <c r="F267" s="8"/>
      <c r="G267" s="9"/>
      <c r="H267" s="9"/>
      <c r="I267" s="8"/>
      <c r="J267" s="8"/>
      <c r="K267" s="8"/>
      <c r="L267" s="8"/>
      <c r="M267" s="2"/>
      <c r="N267" s="2"/>
      <c r="O267" s="8"/>
      <c r="P267" s="8"/>
      <c r="Q267" s="8"/>
      <c r="R267" s="8"/>
    </row>
    <row x14ac:dyDescent="0.25" r="268" customHeight="1" ht="18.75">
      <c r="A268" s="3">
        <v>15</v>
      </c>
      <c r="B268" s="11">
        <f>IFERROR((A268-$P$3) / $R$3, "")</f>
      </c>
      <c r="C268" s="38">
        <f>IF(ABS(B268)&gt;2,"Yes","No")</f>
      </c>
      <c r="D268" s="2"/>
      <c r="E268" s="9"/>
      <c r="F268" s="8"/>
      <c r="G268" s="9"/>
      <c r="H268" s="9"/>
      <c r="I268" s="8"/>
      <c r="J268" s="8"/>
      <c r="K268" s="8"/>
      <c r="L268" s="8"/>
      <c r="M268" s="2"/>
      <c r="N268" s="2"/>
      <c r="O268" s="8"/>
      <c r="P268" s="8"/>
      <c r="Q268" s="8"/>
      <c r="R268" s="8"/>
    </row>
    <row x14ac:dyDescent="0.25" r="269" customHeight="1" ht="18.75">
      <c r="A269" s="3">
        <v>13</v>
      </c>
      <c r="B269" s="11">
        <f>IFERROR((A269-$P$3) / $R$3, "")</f>
      </c>
      <c r="C269" s="38">
        <f>IF(ABS(B269)&gt;2,"Yes","No")</f>
      </c>
      <c r="D269" s="2"/>
      <c r="E269" s="9"/>
      <c r="F269" s="8"/>
      <c r="G269" s="9"/>
      <c r="H269" s="9"/>
      <c r="I269" s="8"/>
      <c r="J269" s="8"/>
      <c r="K269" s="8"/>
      <c r="L269" s="8"/>
      <c r="M269" s="2"/>
      <c r="N269" s="2"/>
      <c r="O269" s="8"/>
      <c r="P269" s="8"/>
      <c r="Q269" s="8"/>
      <c r="R269" s="8"/>
    </row>
    <row x14ac:dyDescent="0.25" r="270" customHeight="1" ht="18.75">
      <c r="A270" s="3">
        <v>16</v>
      </c>
      <c r="B270" s="11">
        <f>IFERROR((A270-$P$3) / $R$3, "")</f>
      </c>
      <c r="C270" s="38">
        <f>IF(ABS(B270)&gt;2,"Yes","No")</f>
      </c>
      <c r="D270" s="2"/>
      <c r="E270" s="9"/>
      <c r="F270" s="8"/>
      <c r="G270" s="9"/>
      <c r="H270" s="9"/>
      <c r="I270" s="8"/>
      <c r="J270" s="8"/>
      <c r="K270" s="8"/>
      <c r="L270" s="8"/>
      <c r="M270" s="2"/>
      <c r="N270" s="2"/>
      <c r="O270" s="8"/>
      <c r="P270" s="8"/>
      <c r="Q270" s="8"/>
      <c r="R270" s="8"/>
    </row>
    <row x14ac:dyDescent="0.25" r="271" customHeight="1" ht="18.75">
      <c r="A271" s="3">
        <v>20</v>
      </c>
      <c r="B271" s="11">
        <f>IFERROR((A271-$P$3) / $R$3, "")</f>
      </c>
      <c r="C271" s="38">
        <f>IF(ABS(B271)&gt;2,"Yes","No")</f>
      </c>
      <c r="D271" s="2"/>
      <c r="E271" s="9"/>
      <c r="F271" s="8"/>
      <c r="G271" s="9"/>
      <c r="H271" s="9"/>
      <c r="I271" s="8"/>
      <c r="J271" s="8"/>
      <c r="K271" s="8"/>
      <c r="L271" s="8"/>
      <c r="M271" s="2"/>
      <c r="N271" s="2"/>
      <c r="O271" s="8"/>
      <c r="P271" s="8"/>
      <c r="Q271" s="8"/>
      <c r="R271" s="8"/>
    </row>
    <row x14ac:dyDescent="0.25" r="272" customHeight="1" ht="18.75">
      <c r="A272" s="3">
        <v>16</v>
      </c>
      <c r="B272" s="11">
        <f>IFERROR((A272-$P$3) / $R$3, "")</f>
      </c>
      <c r="C272" s="38">
        <f>IF(ABS(B272)&gt;2,"Yes","No")</f>
      </c>
      <c r="D272" s="2"/>
      <c r="E272" s="9"/>
      <c r="F272" s="8"/>
      <c r="G272" s="9"/>
      <c r="H272" s="9"/>
      <c r="I272" s="8"/>
      <c r="J272" s="8"/>
      <c r="K272" s="8"/>
      <c r="L272" s="8"/>
      <c r="M272" s="2"/>
      <c r="N272" s="2"/>
      <c r="O272" s="8"/>
      <c r="P272" s="8"/>
      <c r="Q272" s="8"/>
      <c r="R272" s="8"/>
    </row>
    <row x14ac:dyDescent="0.25" r="273" customHeight="1" ht="18.75">
      <c r="A273" s="3">
        <v>15</v>
      </c>
      <c r="B273" s="11">
        <f>IFERROR((A273-$P$3) / $R$3, "")</f>
      </c>
      <c r="C273" s="38">
        <f>IF(ABS(B273)&gt;2,"Yes","No")</f>
      </c>
      <c r="D273" s="2"/>
      <c r="E273" s="9"/>
      <c r="F273" s="8"/>
      <c r="G273" s="9"/>
      <c r="H273" s="9"/>
      <c r="I273" s="8"/>
      <c r="J273" s="8"/>
      <c r="K273" s="8"/>
      <c r="L273" s="8"/>
      <c r="M273" s="2"/>
      <c r="N273" s="2"/>
      <c r="O273" s="8"/>
      <c r="P273" s="8"/>
      <c r="Q273" s="8"/>
      <c r="R273" s="8"/>
    </row>
    <row x14ac:dyDescent="0.25" r="274" customHeight="1" ht="18.75">
      <c r="A274" s="3">
        <v>14</v>
      </c>
      <c r="B274" s="11">
        <f>IFERROR((A274-$P$3) / $R$3, "")</f>
      </c>
      <c r="C274" s="38">
        <f>IF(ABS(B274)&gt;2,"Yes","No")</f>
      </c>
      <c r="D274" s="2"/>
      <c r="E274" s="9"/>
      <c r="F274" s="8"/>
      <c r="G274" s="9"/>
      <c r="H274" s="9"/>
      <c r="I274" s="8"/>
      <c r="J274" s="8"/>
      <c r="K274" s="8"/>
      <c r="L274" s="8"/>
      <c r="M274" s="2"/>
      <c r="N274" s="2"/>
      <c r="O274" s="8"/>
      <c r="P274" s="8"/>
      <c r="Q274" s="8"/>
      <c r="R274" s="8"/>
    </row>
    <row x14ac:dyDescent="0.25" r="275" customHeight="1" ht="18.75">
      <c r="A275" s="3">
        <v>25</v>
      </c>
      <c r="B275" s="11">
        <f>IFERROR((A275-$P$3) / $R$3, "")</f>
      </c>
      <c r="C275" s="38">
        <f>IF(ABS(B275)&gt;2,"Yes","No")</f>
      </c>
      <c r="D275" s="2"/>
      <c r="E275" s="9"/>
      <c r="F275" s="8"/>
      <c r="G275" s="9"/>
      <c r="H275" s="9"/>
      <c r="I275" s="8"/>
      <c r="J275" s="8"/>
      <c r="K275" s="8"/>
      <c r="L275" s="8"/>
      <c r="M275" s="2"/>
      <c r="N275" s="2"/>
      <c r="O275" s="8"/>
      <c r="P275" s="8"/>
      <c r="Q275" s="8"/>
      <c r="R275" s="8"/>
    </row>
    <row x14ac:dyDescent="0.25" r="276" customHeight="1" ht="18.75">
      <c r="A276" s="3">
        <v>26</v>
      </c>
      <c r="B276" s="11">
        <f>IFERROR((A276-$P$3) / $R$3, "")</f>
      </c>
      <c r="C276" s="38">
        <f>IF(ABS(B276)&gt;2,"Yes","No")</f>
      </c>
      <c r="D276" s="2"/>
      <c r="E276" s="9"/>
      <c r="F276" s="8"/>
      <c r="G276" s="9"/>
      <c r="H276" s="9"/>
      <c r="I276" s="8"/>
      <c r="J276" s="8"/>
      <c r="K276" s="8"/>
      <c r="L276" s="8"/>
      <c r="M276" s="2"/>
      <c r="N276" s="2"/>
      <c r="O276" s="8"/>
      <c r="P276" s="8"/>
      <c r="Q276" s="8"/>
      <c r="R276" s="8"/>
    </row>
    <row x14ac:dyDescent="0.25" r="277" customHeight="1" ht="18.75">
      <c r="A277" s="11">
        <v>26.5</v>
      </c>
      <c r="B277" s="11">
        <f>IFERROR((A277-$P$3) / $R$3, "")</f>
      </c>
      <c r="C277" s="38">
        <f>IF(ABS(B277)&gt;2,"Yes","No")</f>
      </c>
      <c r="D277" s="2"/>
      <c r="E277" s="9"/>
      <c r="F277" s="8"/>
      <c r="G277" s="9"/>
      <c r="H277" s="9"/>
      <c r="I277" s="8"/>
      <c r="J277" s="8"/>
      <c r="K277" s="8"/>
      <c r="L277" s="8"/>
      <c r="M277" s="2"/>
      <c r="N277" s="2"/>
      <c r="O277" s="8"/>
      <c r="P277" s="8"/>
      <c r="Q277" s="8"/>
      <c r="R277" s="8"/>
    </row>
    <row x14ac:dyDescent="0.25" r="278" customHeight="1" ht="18.75">
      <c r="A278" s="11">
        <v>24.5</v>
      </c>
      <c r="B278" s="11">
        <f>IFERROR((A278-$P$3) / $R$3, "")</f>
      </c>
      <c r="C278" s="38">
        <f>IF(ABS(B278)&gt;2,"Yes","No")</f>
      </c>
      <c r="D278" s="2"/>
      <c r="E278" s="9"/>
      <c r="F278" s="8"/>
      <c r="G278" s="9"/>
      <c r="H278" s="9"/>
      <c r="I278" s="8"/>
      <c r="J278" s="8"/>
      <c r="K278" s="8"/>
      <c r="L278" s="8"/>
      <c r="M278" s="2"/>
      <c r="N278" s="2"/>
      <c r="O278" s="8"/>
      <c r="P278" s="8"/>
      <c r="Q278" s="8"/>
      <c r="R278" s="8"/>
    </row>
    <row x14ac:dyDescent="0.25" r="279" customHeight="1" ht="18.75">
      <c r="A279" s="3">
        <v>29</v>
      </c>
      <c r="B279" s="11">
        <f>IFERROR((A279-$P$3) / $R$3, "")</f>
      </c>
      <c r="C279" s="38">
        <f>IF(ABS(B279)&gt;2,"Yes","No")</f>
      </c>
      <c r="D279" s="2"/>
      <c r="E279" s="9"/>
      <c r="F279" s="8"/>
      <c r="G279" s="9"/>
      <c r="H279" s="9"/>
      <c r="I279" s="8"/>
      <c r="J279" s="8"/>
      <c r="K279" s="8"/>
      <c r="L279" s="8"/>
      <c r="M279" s="2"/>
      <c r="N279" s="2"/>
      <c r="O279" s="8"/>
      <c r="P279" s="8"/>
      <c r="Q279" s="8"/>
      <c r="R279" s="8"/>
    </row>
    <row x14ac:dyDescent="0.25" r="280" customHeight="1" ht="18.75">
      <c r="A280" s="3">
        <v>22</v>
      </c>
      <c r="B280" s="11">
        <f>IFERROR((A280-$P$3) / $R$3, "")</f>
      </c>
      <c r="C280" s="38">
        <f>IF(ABS(B280)&gt;2,"Yes","No")</f>
      </c>
      <c r="D280" s="2"/>
      <c r="E280" s="9"/>
      <c r="F280" s="8"/>
      <c r="G280" s="9"/>
      <c r="H280" s="9"/>
      <c r="I280" s="8"/>
      <c r="J280" s="8"/>
      <c r="K280" s="8"/>
      <c r="L280" s="8"/>
      <c r="M280" s="2"/>
      <c r="N280" s="2"/>
      <c r="O280" s="8"/>
      <c r="P280" s="8"/>
      <c r="Q280" s="8"/>
      <c r="R280" s="8"/>
    </row>
    <row x14ac:dyDescent="0.25" r="281" customHeight="1" ht="18.75">
      <c r="A281" s="3">
        <v>22</v>
      </c>
      <c r="B281" s="11">
        <f>IFERROR((A281-$P$3) / $R$3, "")</f>
      </c>
      <c r="C281" s="38">
        <f>IF(ABS(B281)&gt;2,"Yes","No")</f>
      </c>
      <c r="D281" s="2"/>
      <c r="E281" s="9"/>
      <c r="F281" s="8"/>
      <c r="G281" s="9"/>
      <c r="H281" s="9"/>
      <c r="I281" s="8"/>
      <c r="J281" s="8"/>
      <c r="K281" s="8"/>
      <c r="L281" s="8"/>
      <c r="M281" s="2"/>
      <c r="N281" s="2"/>
      <c r="O281" s="8"/>
      <c r="P281" s="8"/>
      <c r="Q281" s="8"/>
      <c r="R281" s="8"/>
    </row>
    <row x14ac:dyDescent="0.25" r="282" customHeight="1" ht="18.75">
      <c r="A282" s="11">
        <v>18.5</v>
      </c>
      <c r="B282" s="11">
        <f>IFERROR((A282-$P$3) / $R$3, "")</f>
      </c>
      <c r="C282" s="38">
        <f>IF(ABS(B282)&gt;2,"Yes","No")</f>
      </c>
      <c r="D282" s="2"/>
      <c r="E282" s="9"/>
      <c r="F282" s="8"/>
      <c r="G282" s="9"/>
      <c r="H282" s="9"/>
      <c r="I282" s="8"/>
      <c r="J282" s="8"/>
      <c r="K282" s="8"/>
      <c r="L282" s="8"/>
      <c r="M282" s="2"/>
      <c r="N282" s="2"/>
      <c r="O282" s="8"/>
      <c r="P282" s="8"/>
      <c r="Q282" s="8"/>
      <c r="R282" s="8"/>
    </row>
    <row x14ac:dyDescent="0.25" r="283" customHeight="1" ht="18.75">
      <c r="A283" s="11">
        <v>17.5</v>
      </c>
      <c r="B283" s="11">
        <f>IFERROR((A283-$P$3) / $R$3, "")</f>
      </c>
      <c r="C283" s="38">
        <f>IF(ABS(B283)&gt;2,"Yes","No")</f>
      </c>
      <c r="D283" s="2"/>
      <c r="E283" s="9"/>
      <c r="F283" s="8"/>
      <c r="G283" s="9"/>
      <c r="H283" s="9"/>
      <c r="I283" s="8"/>
      <c r="J283" s="8"/>
      <c r="K283" s="8"/>
      <c r="L283" s="8"/>
      <c r="M283" s="2"/>
      <c r="N283" s="2"/>
      <c r="O283" s="8"/>
      <c r="P283" s="8"/>
      <c r="Q283" s="8"/>
      <c r="R283" s="8"/>
    </row>
    <row x14ac:dyDescent="0.25" r="284" customHeight="1" ht="18.75">
      <c r="A284" s="11">
        <v>22.5</v>
      </c>
      <c r="B284" s="11">
        <f>IFERROR((A284-$P$3) / $R$3, "")</f>
      </c>
      <c r="C284" s="38">
        <f>IF(ABS(B284)&gt;2,"Yes","No")</f>
      </c>
      <c r="D284" s="2"/>
      <c r="E284" s="9"/>
      <c r="F284" s="8"/>
      <c r="G284" s="9"/>
      <c r="H284" s="9"/>
      <c r="I284" s="8"/>
      <c r="J284" s="8"/>
      <c r="K284" s="8"/>
      <c r="L284" s="8"/>
      <c r="M284" s="2"/>
      <c r="N284" s="2"/>
      <c r="O284" s="8"/>
      <c r="P284" s="8"/>
      <c r="Q284" s="8"/>
      <c r="R284" s="8"/>
    </row>
    <row x14ac:dyDescent="0.25" r="285" customHeight="1" ht="18.75">
      <c r="A285" s="3">
        <v>20</v>
      </c>
      <c r="B285" s="11">
        <f>IFERROR((A285-$P$3) / $R$3, "")</f>
      </c>
      <c r="C285" s="38">
        <f>IF(ABS(B285)&gt;2,"Yes","No")</f>
      </c>
      <c r="D285" s="2"/>
      <c r="E285" s="9"/>
      <c r="F285" s="8"/>
      <c r="G285" s="9"/>
      <c r="H285" s="9"/>
      <c r="I285" s="8"/>
      <c r="J285" s="8"/>
      <c r="K285" s="8"/>
      <c r="L285" s="8"/>
      <c r="M285" s="2"/>
      <c r="N285" s="2"/>
      <c r="O285" s="8"/>
      <c r="P285" s="8"/>
      <c r="Q285" s="8"/>
      <c r="R285" s="8"/>
    </row>
    <row x14ac:dyDescent="0.25" r="286" customHeight="1" ht="18.75">
      <c r="A286" s="3">
        <v>24</v>
      </c>
      <c r="B286" s="11">
        <f>IFERROR((A286-$P$3) / $R$3, "")</f>
      </c>
      <c r="C286" s="38">
        <f>IF(ABS(B286)&gt;2,"Yes","No")</f>
      </c>
      <c r="D286" s="2"/>
      <c r="E286" s="9"/>
      <c r="F286" s="8"/>
      <c r="G286" s="9"/>
      <c r="H286" s="9"/>
      <c r="I286" s="8"/>
      <c r="J286" s="8"/>
      <c r="K286" s="8"/>
      <c r="L286" s="8"/>
      <c r="M286" s="2"/>
      <c r="N286" s="2"/>
      <c r="O286" s="8"/>
      <c r="P286" s="8"/>
      <c r="Q286" s="8"/>
      <c r="R286" s="8"/>
    </row>
    <row x14ac:dyDescent="0.25" r="287" customHeight="1" ht="18.75">
      <c r="A287" s="3">
        <v>18</v>
      </c>
      <c r="B287" s="11">
        <f>IFERROR((A287-$P$3) / $R$3, "")</f>
      </c>
      <c r="C287" s="38">
        <f>IF(ABS(B287)&gt;2,"Yes","No")</f>
      </c>
      <c r="D287" s="2"/>
      <c r="E287" s="9"/>
      <c r="F287" s="8"/>
      <c r="G287" s="9"/>
      <c r="H287" s="9"/>
      <c r="I287" s="8"/>
      <c r="J287" s="8"/>
      <c r="K287" s="8"/>
      <c r="L287" s="8"/>
      <c r="M287" s="2"/>
      <c r="N287" s="2"/>
      <c r="O287" s="8"/>
      <c r="P287" s="8"/>
      <c r="Q287" s="8"/>
      <c r="R287" s="8"/>
    </row>
    <row x14ac:dyDescent="0.25" r="288" customHeight="1" ht="18.75">
      <c r="A288" s="11">
        <v>16.5</v>
      </c>
      <c r="B288" s="11">
        <f>IFERROR((A288-$P$3) / $R$3, "")</f>
      </c>
      <c r="C288" s="38">
        <f>IF(ABS(B288)&gt;2,"Yes","No")</f>
      </c>
      <c r="D288" s="2"/>
      <c r="E288" s="9"/>
      <c r="F288" s="8"/>
      <c r="G288" s="9"/>
      <c r="H288" s="9"/>
      <c r="I288" s="8"/>
      <c r="J288" s="8"/>
      <c r="K288" s="8"/>
      <c r="L288" s="8"/>
      <c r="M288" s="2"/>
      <c r="N288" s="2"/>
      <c r="O288" s="8"/>
      <c r="P288" s="8"/>
      <c r="Q288" s="8"/>
      <c r="R288" s="8"/>
    </row>
    <row x14ac:dyDescent="0.25" r="289" customHeight="1" ht="18.75">
      <c r="A289" s="3">
        <v>13</v>
      </c>
      <c r="B289" s="11">
        <f>IFERROR((A289-$P$3) / $R$3, "")</f>
      </c>
      <c r="C289" s="38">
        <f>IF(ABS(B289)&gt;2,"Yes","No")</f>
      </c>
      <c r="D289" s="2"/>
      <c r="E289" s="9"/>
      <c r="F289" s="8"/>
      <c r="G289" s="9"/>
      <c r="H289" s="9"/>
      <c r="I289" s="8"/>
      <c r="J289" s="8"/>
      <c r="K289" s="8"/>
      <c r="L289" s="8"/>
      <c r="M289" s="2"/>
      <c r="N289" s="2"/>
      <c r="O289" s="8"/>
      <c r="P289" s="8"/>
      <c r="Q289" s="8"/>
      <c r="R289" s="8"/>
    </row>
    <row x14ac:dyDescent="0.25" r="290" customHeight="1" ht="18.75">
      <c r="A290" s="3">
        <v>13</v>
      </c>
      <c r="B290" s="11">
        <f>IFERROR((A290-$P$3) / $R$3, "")</f>
      </c>
      <c r="C290" s="38">
        <f>IF(ABS(B290)&gt;2,"Yes","No")</f>
      </c>
      <c r="D290" s="2"/>
      <c r="E290" s="9"/>
      <c r="F290" s="8"/>
      <c r="G290" s="9"/>
      <c r="H290" s="9"/>
      <c r="I290" s="8"/>
      <c r="J290" s="8"/>
      <c r="K290" s="8"/>
      <c r="L290" s="8"/>
      <c r="M290" s="2"/>
      <c r="N290" s="2"/>
      <c r="O290" s="8"/>
      <c r="P290" s="8"/>
      <c r="Q290" s="8"/>
      <c r="R290" s="8"/>
    </row>
    <row x14ac:dyDescent="0.25" r="291" customHeight="1" ht="18.75">
      <c r="A291" s="11">
        <v>14.5</v>
      </c>
      <c r="B291" s="11">
        <f>IFERROR((A291-$P$3) / $R$3, "")</f>
      </c>
      <c r="C291" s="38">
        <f>IF(ABS(B291)&gt;2,"Yes","No")</f>
      </c>
      <c r="D291" s="2"/>
      <c r="E291" s="9"/>
      <c r="F291" s="8"/>
      <c r="G291" s="9"/>
      <c r="H291" s="9"/>
      <c r="I291" s="8"/>
      <c r="J291" s="8"/>
      <c r="K291" s="8"/>
      <c r="L291" s="8"/>
      <c r="M291" s="2"/>
      <c r="N291" s="2"/>
      <c r="O291" s="8"/>
      <c r="P291" s="8"/>
      <c r="Q291" s="8"/>
      <c r="R291" s="8"/>
    </row>
    <row x14ac:dyDescent="0.25" r="292" customHeight="1" ht="18.75">
      <c r="A292" s="3">
        <v>13</v>
      </c>
      <c r="B292" s="11">
        <f>IFERROR((A292-$P$3) / $R$3, "")</f>
      </c>
      <c r="C292" s="38">
        <f>IF(ABS(B292)&gt;2,"Yes","No")</f>
      </c>
      <c r="D292" s="2"/>
      <c r="E292" s="9"/>
      <c r="F292" s="8"/>
      <c r="G292" s="9"/>
      <c r="H292" s="9"/>
      <c r="I292" s="8"/>
      <c r="J292" s="8"/>
      <c r="K292" s="8"/>
      <c r="L292" s="8"/>
      <c r="M292" s="2"/>
      <c r="N292" s="2"/>
      <c r="O292" s="8"/>
      <c r="P292" s="8"/>
      <c r="Q292" s="8"/>
      <c r="R292" s="8"/>
    </row>
    <row x14ac:dyDescent="0.25" r="293" customHeight="1" ht="18.75">
      <c r="A293" s="3">
        <v>16</v>
      </c>
      <c r="B293" s="11">
        <f>IFERROR((A293-$P$3) / $R$3, "")</f>
      </c>
      <c r="C293" s="38">
        <f>IF(ABS(B293)&gt;2,"Yes","No")</f>
      </c>
      <c r="D293" s="2"/>
      <c r="E293" s="9"/>
      <c r="F293" s="8"/>
      <c r="G293" s="9"/>
      <c r="H293" s="9"/>
      <c r="I293" s="8"/>
      <c r="J293" s="8"/>
      <c r="K293" s="8"/>
      <c r="L293" s="8"/>
      <c r="M293" s="2"/>
      <c r="N293" s="2"/>
      <c r="O293" s="8"/>
      <c r="P293" s="8"/>
      <c r="Q293" s="8"/>
      <c r="R293" s="8"/>
    </row>
    <row x14ac:dyDescent="0.25" r="294" customHeight="1" ht="18.75">
      <c r="A294" s="3">
        <v>13</v>
      </c>
      <c r="B294" s="11">
        <f>IFERROR((A294-$P$3) / $R$3, "")</f>
      </c>
      <c r="C294" s="38">
        <f>IF(ABS(B294)&gt;2,"Yes","No")</f>
      </c>
      <c r="D294" s="2"/>
      <c r="E294" s="9"/>
      <c r="F294" s="8"/>
      <c r="G294" s="9"/>
      <c r="H294" s="9"/>
      <c r="I294" s="8"/>
      <c r="J294" s="8"/>
      <c r="K294" s="8"/>
      <c r="L294" s="8"/>
      <c r="M294" s="2"/>
      <c r="N294" s="2"/>
      <c r="O294" s="8"/>
      <c r="P294" s="8"/>
      <c r="Q294" s="8"/>
      <c r="R294" s="8"/>
    </row>
    <row x14ac:dyDescent="0.25" r="295" customHeight="1" ht="18.75">
      <c r="A295" s="11">
        <v>17.5</v>
      </c>
      <c r="B295" s="11">
        <f>IFERROR((A295-$P$3) / $R$3, "")</f>
      </c>
      <c r="C295" s="38">
        <f>IF(ABS(B295)&gt;2,"Yes","No")</f>
      </c>
      <c r="D295" s="2"/>
      <c r="E295" s="9"/>
      <c r="F295" s="8"/>
      <c r="G295" s="9"/>
      <c r="H295" s="9"/>
      <c r="I295" s="8"/>
      <c r="J295" s="8"/>
      <c r="K295" s="8"/>
      <c r="L295" s="8"/>
      <c r="M295" s="2"/>
      <c r="N295" s="2"/>
      <c r="O295" s="8"/>
      <c r="P295" s="8"/>
      <c r="Q295" s="8"/>
      <c r="R295" s="8"/>
    </row>
    <row x14ac:dyDescent="0.25" r="296" customHeight="1" ht="18.75">
      <c r="A296" s="11">
        <v>15.5</v>
      </c>
      <c r="B296" s="11">
        <f>IFERROR((A296-$P$3) / $R$3, "")</f>
      </c>
      <c r="C296" s="38">
        <f>IF(ABS(B296)&gt;2,"Yes","No")</f>
      </c>
      <c r="D296" s="2"/>
      <c r="E296" s="9"/>
      <c r="F296" s="8"/>
      <c r="G296" s="9"/>
      <c r="H296" s="9"/>
      <c r="I296" s="8"/>
      <c r="J296" s="8"/>
      <c r="K296" s="8"/>
      <c r="L296" s="8"/>
      <c r="M296" s="2"/>
      <c r="N296" s="2"/>
      <c r="O296" s="8"/>
      <c r="P296" s="8"/>
      <c r="Q296" s="8"/>
      <c r="R296" s="8"/>
    </row>
    <row x14ac:dyDescent="0.25" r="297" customHeight="1" ht="18.75">
      <c r="A297" s="11">
        <v>25.5</v>
      </c>
      <c r="B297" s="11">
        <f>IFERROR((A297-$P$3) / $R$3, "")</f>
      </c>
      <c r="C297" s="38">
        <f>IF(ABS(B297)&gt;2,"Yes","No")</f>
      </c>
      <c r="D297" s="2"/>
      <c r="E297" s="9"/>
      <c r="F297" s="8"/>
      <c r="G297" s="9"/>
      <c r="H297" s="9"/>
      <c r="I297" s="8"/>
      <c r="J297" s="8"/>
      <c r="K297" s="8"/>
      <c r="L297" s="8"/>
      <c r="M297" s="2"/>
      <c r="N297" s="2"/>
      <c r="O297" s="8"/>
      <c r="P297" s="8"/>
      <c r="Q297" s="8"/>
      <c r="R297" s="8"/>
    </row>
    <row x14ac:dyDescent="0.25" r="298" customHeight="1" ht="18.75">
      <c r="A298" s="11">
        <v>33.5</v>
      </c>
      <c r="B298" s="11">
        <f>IFERROR((A298-$P$3) / $R$3, "")</f>
      </c>
      <c r="C298" s="38">
        <f>IF(ABS(B298)&gt;2,"Yes","No")</f>
      </c>
      <c r="D298" s="2"/>
      <c r="E298" s="9"/>
      <c r="F298" s="8"/>
      <c r="G298" s="9"/>
      <c r="H298" s="9"/>
      <c r="I298" s="8"/>
      <c r="J298" s="8"/>
      <c r="K298" s="8"/>
      <c r="L298" s="8"/>
      <c r="M298" s="2"/>
      <c r="N298" s="2"/>
      <c r="O298" s="8"/>
      <c r="P298" s="8"/>
      <c r="Q298" s="8"/>
      <c r="R298" s="8"/>
    </row>
    <row x14ac:dyDescent="0.25" r="299" customHeight="1" ht="18.75">
      <c r="A299" s="3">
        <v>30</v>
      </c>
      <c r="B299" s="11">
        <f>IFERROR((A299-$P$3) / $R$3, "")</f>
      </c>
      <c r="C299" s="38">
        <f>IF(ABS(B299)&gt;2,"Yes","No")</f>
      </c>
      <c r="D299" s="2"/>
      <c r="E299" s="9"/>
      <c r="F299" s="8"/>
      <c r="G299" s="9"/>
      <c r="H299" s="9"/>
      <c r="I299" s="8"/>
      <c r="J299" s="8"/>
      <c r="K299" s="8"/>
      <c r="L299" s="8"/>
      <c r="M299" s="2"/>
      <c r="N299" s="2"/>
      <c r="O299" s="8"/>
      <c r="P299" s="8"/>
      <c r="Q299" s="8"/>
      <c r="R299" s="8"/>
    </row>
    <row x14ac:dyDescent="0.25" r="300" customHeight="1" ht="18.75">
      <c r="A300" s="11">
        <v>25.5</v>
      </c>
      <c r="B300" s="11">
        <f>IFERROR((A300-$P$3) / $R$3, "")</f>
      </c>
      <c r="C300" s="38">
        <f>IF(ABS(B300)&gt;2,"Yes","No")</f>
      </c>
      <c r="D300" s="2"/>
      <c r="E300" s="9"/>
      <c r="F300" s="8"/>
      <c r="G300" s="9"/>
      <c r="H300" s="9"/>
      <c r="I300" s="8"/>
      <c r="J300" s="8"/>
      <c r="K300" s="8"/>
      <c r="L300" s="8"/>
      <c r="M300" s="2"/>
      <c r="N300" s="2"/>
      <c r="O300" s="8"/>
      <c r="P300" s="8"/>
      <c r="Q300" s="8"/>
      <c r="R300" s="8"/>
    </row>
    <row x14ac:dyDescent="0.25" r="301" customHeight="1" ht="18.75">
      <c r="A301" s="11">
        <v>24.5</v>
      </c>
      <c r="B301" s="11">
        <f>IFERROR((A301-$P$3) / $R$3, "")</f>
      </c>
      <c r="C301" s="38">
        <f>IF(ABS(B301)&gt;2,"Yes","No")</f>
      </c>
      <c r="D301" s="2"/>
      <c r="E301" s="9"/>
      <c r="F301" s="8"/>
      <c r="G301" s="9"/>
      <c r="H301" s="9"/>
      <c r="I301" s="8"/>
      <c r="J301" s="8"/>
      <c r="K301" s="8"/>
      <c r="L301" s="8"/>
      <c r="M301" s="2"/>
      <c r="N301" s="2"/>
      <c r="O301" s="8"/>
      <c r="P301" s="8"/>
      <c r="Q301" s="8"/>
      <c r="R301" s="8"/>
    </row>
    <row x14ac:dyDescent="0.25" r="302" customHeight="1" ht="18.75">
      <c r="A302" s="11">
        <v>30.5</v>
      </c>
      <c r="B302" s="11">
        <f>IFERROR((A302-$P$3) / $R$3, "")</f>
      </c>
      <c r="C302" s="38">
        <f>IF(ABS(B302)&gt;2,"Yes","No")</f>
      </c>
      <c r="D302" s="2"/>
      <c r="E302" s="9"/>
      <c r="F302" s="8"/>
      <c r="G302" s="9"/>
      <c r="H302" s="9"/>
      <c r="I302" s="8"/>
      <c r="J302" s="8"/>
      <c r="K302" s="8"/>
      <c r="L302" s="8"/>
      <c r="M302" s="2"/>
      <c r="N302" s="2"/>
      <c r="O302" s="8"/>
      <c r="P302" s="8"/>
      <c r="Q302" s="8"/>
      <c r="R302" s="8"/>
    </row>
    <row x14ac:dyDescent="0.25" r="303" customHeight="1" ht="18.75">
      <c r="A303" s="11">
        <v>17.5</v>
      </c>
      <c r="B303" s="11">
        <f>IFERROR((A303-$P$3) / $R$3, "")</f>
      </c>
      <c r="C303" s="38">
        <f>IF(ABS(B303)&gt;2,"Yes","No")</f>
      </c>
      <c r="D303" s="2"/>
      <c r="E303" s="9"/>
      <c r="F303" s="8"/>
      <c r="G303" s="9"/>
      <c r="H303" s="9"/>
      <c r="I303" s="8"/>
      <c r="J303" s="8"/>
      <c r="K303" s="8"/>
      <c r="L303" s="8"/>
      <c r="M303" s="2"/>
      <c r="N303" s="2"/>
      <c r="O303" s="8"/>
      <c r="P303" s="8"/>
      <c r="Q303" s="8"/>
      <c r="R303" s="8"/>
    </row>
    <row x14ac:dyDescent="0.25" r="304" customHeight="1" ht="18.75">
      <c r="A304" s="11">
        <v>20.5</v>
      </c>
      <c r="B304" s="11">
        <f>IFERROR((A304-$P$3) / $R$3, "")</f>
      </c>
      <c r="C304" s="38">
        <f>IF(ABS(B304)&gt;2,"Yes","No")</f>
      </c>
      <c r="D304" s="2"/>
      <c r="E304" s="9"/>
      <c r="F304" s="8"/>
      <c r="G304" s="9"/>
      <c r="H304" s="9"/>
      <c r="I304" s="8"/>
      <c r="J304" s="8"/>
      <c r="K304" s="8"/>
      <c r="L304" s="8"/>
      <c r="M304" s="2"/>
      <c r="N304" s="2"/>
      <c r="O304" s="8"/>
      <c r="P304" s="8"/>
      <c r="Q304" s="8"/>
      <c r="R304" s="8"/>
    </row>
    <row x14ac:dyDescent="0.25" r="305" customHeight="1" ht="18.75">
      <c r="A305" s="11">
        <v>18.5</v>
      </c>
      <c r="B305" s="11">
        <f>IFERROR((A305-$P$3) / $R$3, "")</f>
      </c>
      <c r="C305" s="38">
        <f>IF(ABS(B305)&gt;2,"Yes","No")</f>
      </c>
      <c r="D305" s="2"/>
      <c r="E305" s="9"/>
      <c r="F305" s="8"/>
      <c r="G305" s="9"/>
      <c r="H305" s="9"/>
      <c r="I305" s="8"/>
      <c r="J305" s="8"/>
      <c r="K305" s="8"/>
      <c r="L305" s="8"/>
      <c r="M305" s="2"/>
      <c r="N305" s="2"/>
      <c r="O305" s="8"/>
      <c r="P305" s="8"/>
      <c r="Q305" s="8"/>
      <c r="R305" s="8"/>
    </row>
    <row x14ac:dyDescent="0.25" r="306" customHeight="1" ht="18.75">
      <c r="A306" s="3">
        <v>19</v>
      </c>
      <c r="B306" s="11">
        <f>IFERROR((A306-$P$3) / $R$3, "")</f>
      </c>
      <c r="C306" s="38">
        <f>IF(ABS(B306)&gt;2,"Yes","No")</f>
      </c>
      <c r="D306" s="2"/>
      <c r="E306" s="9"/>
      <c r="F306" s="8"/>
      <c r="G306" s="9"/>
      <c r="H306" s="9"/>
      <c r="I306" s="8"/>
      <c r="J306" s="8"/>
      <c r="K306" s="8"/>
      <c r="L306" s="8"/>
      <c r="M306" s="2"/>
      <c r="N306" s="2"/>
      <c r="O306" s="8"/>
      <c r="P306" s="8"/>
      <c r="Q306" s="8"/>
      <c r="R306" s="8"/>
    </row>
    <row x14ac:dyDescent="0.25" r="307" customHeight="1" ht="18.75">
      <c r="A307" s="11">
        <v>15.5</v>
      </c>
      <c r="B307" s="11">
        <f>IFERROR((A307-$P$3) / $R$3, "")</f>
      </c>
      <c r="C307" s="38">
        <f>IF(ABS(B307)&gt;2,"Yes","No")</f>
      </c>
      <c r="D307" s="2"/>
      <c r="E307" s="9"/>
      <c r="F307" s="8"/>
      <c r="G307" s="9"/>
      <c r="H307" s="9"/>
      <c r="I307" s="8"/>
      <c r="J307" s="8"/>
      <c r="K307" s="8"/>
      <c r="L307" s="8"/>
      <c r="M307" s="2"/>
      <c r="N307" s="2"/>
      <c r="O307" s="8"/>
      <c r="P307" s="8"/>
      <c r="Q307" s="8"/>
      <c r="R307" s="8"/>
    </row>
    <row x14ac:dyDescent="0.25" r="308" customHeight="1" ht="18.75">
      <c r="A308" s="3">
        <v>16</v>
      </c>
      <c r="B308" s="11">
        <f>IFERROR((A308-$P$3) / $R$3, "")</f>
      </c>
      <c r="C308" s="38">
        <f>IF(ABS(B308)&gt;2,"Yes","No")</f>
      </c>
      <c r="D308" s="2"/>
      <c r="E308" s="9"/>
      <c r="F308" s="8"/>
      <c r="G308" s="9"/>
      <c r="H308" s="9"/>
      <c r="I308" s="8"/>
      <c r="J308" s="8"/>
      <c r="K308" s="8"/>
      <c r="L308" s="8"/>
      <c r="M308" s="2"/>
      <c r="N308" s="2"/>
      <c r="O308" s="8"/>
      <c r="P308" s="8"/>
      <c r="Q308" s="8"/>
      <c r="R308" s="8"/>
    </row>
    <row x14ac:dyDescent="0.25" r="309" customHeight="1" ht="18.75">
      <c r="A309" s="11">
        <v>15.5</v>
      </c>
      <c r="B309" s="11">
        <f>IFERROR((A309-$P$3) / $R$3, "")</f>
      </c>
      <c r="C309" s="38">
        <f>IF(ABS(B309)&gt;2,"Yes","No")</f>
      </c>
      <c r="D309" s="2"/>
      <c r="E309" s="9"/>
      <c r="F309" s="8"/>
      <c r="G309" s="9"/>
      <c r="H309" s="9"/>
      <c r="I309" s="8"/>
      <c r="J309" s="8"/>
      <c r="K309" s="8"/>
      <c r="L309" s="8"/>
      <c r="M309" s="2"/>
      <c r="N309" s="2"/>
      <c r="O309" s="8"/>
      <c r="P309" s="8"/>
      <c r="Q309" s="8"/>
      <c r="R309" s="8"/>
    </row>
    <row x14ac:dyDescent="0.25" r="310" customHeight="1" ht="18.75">
      <c r="A310" s="11">
        <v>17.5</v>
      </c>
      <c r="B310" s="11">
        <f>IFERROR((A310-$P$3) / $R$3, "")</f>
      </c>
      <c r="C310" s="38">
        <f>IF(ABS(B310)&gt;2,"Yes","No")</f>
      </c>
      <c r="D310" s="2"/>
      <c r="E310" s="9"/>
      <c r="F310" s="8"/>
      <c r="G310" s="9"/>
      <c r="H310" s="9"/>
      <c r="I310" s="8"/>
      <c r="J310" s="8"/>
      <c r="K310" s="8"/>
      <c r="L310" s="8"/>
      <c r="M310" s="2"/>
      <c r="N310" s="2"/>
      <c r="O310" s="8"/>
      <c r="P310" s="8"/>
      <c r="Q310" s="8"/>
      <c r="R310" s="8"/>
    </row>
    <row x14ac:dyDescent="0.25" r="311" customHeight="1" ht="18.75">
      <c r="A311" s="11">
        <v>15.5</v>
      </c>
      <c r="B311" s="11">
        <f>IFERROR((A311-$P$3) / $R$3, "")</f>
      </c>
      <c r="C311" s="38">
        <f>IF(ABS(B311)&gt;2,"Yes","No")</f>
      </c>
      <c r="D311" s="2"/>
      <c r="E311" s="9"/>
      <c r="F311" s="8"/>
      <c r="G311" s="9"/>
      <c r="H311" s="9"/>
      <c r="I311" s="8"/>
      <c r="J311" s="8"/>
      <c r="K311" s="8"/>
      <c r="L311" s="8"/>
      <c r="M311" s="2"/>
      <c r="N311" s="2"/>
      <c r="O311" s="8"/>
      <c r="P311" s="8"/>
      <c r="Q311" s="8"/>
      <c r="R311" s="8"/>
    </row>
    <row x14ac:dyDescent="0.25" r="312" customHeight="1" ht="18.75">
      <c r="A312" s="3">
        <v>16</v>
      </c>
      <c r="B312" s="11">
        <f>IFERROR((A312-$P$3) / $R$3, "")</f>
      </c>
      <c r="C312" s="38">
        <f>IF(ABS(B312)&gt;2,"Yes","No")</f>
      </c>
      <c r="D312" s="2"/>
      <c r="E312" s="9"/>
      <c r="F312" s="8"/>
      <c r="G312" s="9"/>
      <c r="H312" s="9"/>
      <c r="I312" s="8"/>
      <c r="J312" s="8"/>
      <c r="K312" s="8"/>
      <c r="L312" s="8"/>
      <c r="M312" s="2"/>
      <c r="N312" s="2"/>
      <c r="O312" s="8"/>
      <c r="P312" s="8"/>
      <c r="Q312" s="8"/>
      <c r="R312" s="8"/>
    </row>
    <row x14ac:dyDescent="0.25" r="313" customHeight="1" ht="18.75">
      <c r="A313" s="3">
        <v>15</v>
      </c>
      <c r="B313" s="11">
        <f>IFERROR((A313-$P$3) / $R$3, "")</f>
      </c>
      <c r="C313" s="38">
        <f>IF(ABS(B313)&gt;2,"Yes","No")</f>
      </c>
      <c r="D313" s="2"/>
      <c r="E313" s="9"/>
      <c r="F313" s="8"/>
      <c r="G313" s="9"/>
      <c r="H313" s="9"/>
      <c r="I313" s="8"/>
      <c r="J313" s="8"/>
      <c r="K313" s="8"/>
      <c r="L313" s="8"/>
      <c r="M313" s="2"/>
      <c r="N313" s="2"/>
      <c r="O313" s="8"/>
      <c r="P313" s="8"/>
      <c r="Q313" s="8"/>
      <c r="R313" s="8"/>
    </row>
    <row x14ac:dyDescent="0.25" r="314" customHeight="1" ht="18.75">
      <c r="A314" s="3">
        <v>17</v>
      </c>
      <c r="B314" s="11">
        <f>IFERROR((A314-$P$3) / $R$3, "")</f>
      </c>
      <c r="C314" s="38">
        <f>IF(ABS(B314)&gt;2,"Yes","No")</f>
      </c>
      <c r="D314" s="2"/>
      <c r="E314" s="9"/>
      <c r="F314" s="8"/>
      <c r="G314" s="9"/>
      <c r="H314" s="9"/>
      <c r="I314" s="8"/>
      <c r="J314" s="8"/>
      <c r="K314" s="8"/>
      <c r="L314" s="8"/>
      <c r="M314" s="2"/>
      <c r="N314" s="2"/>
      <c r="O314" s="8"/>
      <c r="P314" s="8"/>
      <c r="Q314" s="8"/>
      <c r="R314" s="8"/>
    </row>
    <row x14ac:dyDescent="0.25" r="315" customHeight="1" ht="18.75">
      <c r="A315" s="11">
        <v>23.2</v>
      </c>
      <c r="B315" s="11">
        <f>IFERROR((A315-$P$3) / $R$3, "")</f>
      </c>
      <c r="C315" s="38">
        <f>IF(ABS(B315)&gt;2,"Yes","No")</f>
      </c>
      <c r="D315" s="2"/>
      <c r="E315" s="9"/>
      <c r="F315" s="8"/>
      <c r="G315" s="9"/>
      <c r="H315" s="9"/>
      <c r="I315" s="8"/>
      <c r="J315" s="8"/>
      <c r="K315" s="8"/>
      <c r="L315" s="8"/>
      <c r="M315" s="2"/>
      <c r="N315" s="2"/>
      <c r="O315" s="8"/>
      <c r="P315" s="8"/>
      <c r="Q315" s="8"/>
      <c r="R315" s="8"/>
    </row>
    <row x14ac:dyDescent="0.25" r="316" customHeight="1" ht="18.75">
      <c r="A316" s="11">
        <v>36.1</v>
      </c>
      <c r="B316" s="11">
        <f>IFERROR((A316-$P$3) / $R$3, "")</f>
      </c>
      <c r="C316" s="38">
        <f>IF(ABS(B316)&gt;2,"Yes","No")</f>
      </c>
      <c r="D316" s="2"/>
      <c r="E316" s="9"/>
      <c r="F316" s="8"/>
      <c r="G316" s="9"/>
      <c r="H316" s="9"/>
      <c r="I316" s="8"/>
      <c r="J316" s="8"/>
      <c r="K316" s="8"/>
      <c r="L316" s="8"/>
      <c r="M316" s="2"/>
      <c r="N316" s="2"/>
      <c r="O316" s="8"/>
      <c r="P316" s="8"/>
      <c r="Q316" s="8"/>
      <c r="R316" s="8"/>
    </row>
    <row x14ac:dyDescent="0.25" r="317" customHeight="1" ht="18.75">
      <c r="A317" s="11">
        <v>30.9</v>
      </c>
      <c r="B317" s="11">
        <f>IFERROR((A317-$P$3) / $R$3, "")</f>
      </c>
      <c r="C317" s="38">
        <f>IF(ABS(B317)&gt;2,"Yes","No")</f>
      </c>
      <c r="D317" s="2"/>
      <c r="E317" s="9"/>
      <c r="F317" s="8"/>
      <c r="G317" s="9"/>
      <c r="H317" s="9"/>
      <c r="I317" s="8"/>
      <c r="J317" s="8"/>
      <c r="K317" s="8"/>
      <c r="L317" s="8"/>
      <c r="M317" s="2"/>
      <c r="N317" s="2"/>
      <c r="O317" s="8"/>
      <c r="P317" s="8"/>
      <c r="Q317" s="8"/>
      <c r="R317" s="8"/>
    </row>
    <row x14ac:dyDescent="0.25" r="318" customHeight="1" ht="18.75">
      <c r="A318" s="11">
        <v>25.1</v>
      </c>
      <c r="B318" s="11">
        <f>IFERROR((A318-$P$3) / $R$3, "")</f>
      </c>
      <c r="C318" s="38">
        <f>IF(ABS(B318)&gt;2,"Yes","No")</f>
      </c>
      <c r="D318" s="2"/>
      <c r="E318" s="9"/>
      <c r="F318" s="8"/>
      <c r="G318" s="9"/>
      <c r="H318" s="9"/>
      <c r="I318" s="8"/>
      <c r="J318" s="8"/>
      <c r="K318" s="8"/>
      <c r="L318" s="8"/>
      <c r="M318" s="2"/>
      <c r="N318" s="2"/>
      <c r="O318" s="8"/>
      <c r="P318" s="8"/>
      <c r="Q318" s="8"/>
      <c r="R318" s="8"/>
    </row>
    <row x14ac:dyDescent="0.25" r="319" customHeight="1" ht="18.75">
      <c r="A319" s="3">
        <v>30</v>
      </c>
      <c r="B319" s="11">
        <f>IFERROR((A319-$P$3) / $R$3, "")</f>
      </c>
      <c r="C319" s="38">
        <f>IF(ABS(B319)&gt;2,"Yes","No")</f>
      </c>
      <c r="D319" s="2"/>
      <c r="E319" s="9"/>
      <c r="F319" s="8"/>
      <c r="G319" s="9"/>
      <c r="H319" s="9"/>
      <c r="I319" s="8"/>
      <c r="J319" s="8"/>
      <c r="K319" s="8"/>
      <c r="L319" s="8"/>
      <c r="M319" s="2"/>
      <c r="N319" s="2"/>
      <c r="O319" s="8"/>
      <c r="P319" s="8"/>
      <c r="Q319" s="8"/>
      <c r="R319" s="8"/>
    </row>
    <row x14ac:dyDescent="0.25" r="320" customHeight="1" ht="18.75">
      <c r="A320" s="11">
        <v>23.8</v>
      </c>
      <c r="B320" s="11">
        <f>IFERROR((A320-$P$3) / $R$3, "")</f>
      </c>
      <c r="C320" s="38">
        <f>IF(ABS(B320)&gt;2,"Yes","No")</f>
      </c>
      <c r="D320" s="2"/>
      <c r="E320" s="9"/>
      <c r="F320" s="8"/>
      <c r="G320" s="9"/>
      <c r="H320" s="9"/>
      <c r="I320" s="8"/>
      <c r="J320" s="8"/>
      <c r="K320" s="8"/>
      <c r="L320" s="8"/>
      <c r="M320" s="2"/>
      <c r="N320" s="2"/>
      <c r="O320" s="8"/>
      <c r="P320" s="8"/>
      <c r="Q320" s="8"/>
      <c r="R320" s="8"/>
    </row>
    <row x14ac:dyDescent="0.25" r="321" customHeight="1" ht="18.75">
      <c r="A321" s="11">
        <v>17.7</v>
      </c>
      <c r="B321" s="11">
        <f>IFERROR((A321-$P$3) / $R$3, "")</f>
      </c>
      <c r="C321" s="38">
        <f>IF(ABS(B321)&gt;2,"Yes","No")</f>
      </c>
      <c r="D321" s="2"/>
      <c r="E321" s="9"/>
      <c r="F321" s="8"/>
      <c r="G321" s="9"/>
      <c r="H321" s="9"/>
      <c r="I321" s="8"/>
      <c r="J321" s="8"/>
      <c r="K321" s="8"/>
      <c r="L321" s="8"/>
      <c r="M321" s="2"/>
      <c r="N321" s="2"/>
      <c r="O321" s="8"/>
      <c r="P321" s="8"/>
      <c r="Q321" s="8"/>
      <c r="R321" s="8"/>
    </row>
    <row x14ac:dyDescent="0.25" r="322" customHeight="1" ht="18.75">
      <c r="A322" s="11">
        <v>18.1</v>
      </c>
      <c r="B322" s="11">
        <f>IFERROR((A322-$P$3) / $R$3, "")</f>
      </c>
      <c r="C322" s="38">
        <f>IF(ABS(B322)&gt;2,"Yes","No")</f>
      </c>
      <c r="D322" s="2"/>
      <c r="E322" s="9"/>
      <c r="F322" s="8"/>
      <c r="G322" s="9"/>
      <c r="H322" s="9"/>
      <c r="I322" s="8"/>
      <c r="J322" s="8"/>
      <c r="K322" s="8"/>
      <c r="L322" s="8"/>
      <c r="M322" s="2"/>
      <c r="N322" s="2"/>
      <c r="O322" s="8"/>
      <c r="P322" s="8"/>
      <c r="Q322" s="8"/>
      <c r="R322" s="8"/>
    </row>
    <row x14ac:dyDescent="0.25" r="323" customHeight="1" ht="18.75">
      <c r="A323" s="11">
        <v>20.6</v>
      </c>
      <c r="B323" s="11">
        <f>IFERROR((A323-$P$3) / $R$3, "")</f>
      </c>
      <c r="C323" s="38">
        <f>IF(ABS(B323)&gt;2,"Yes","No")</f>
      </c>
      <c r="D323" s="2"/>
      <c r="E323" s="9"/>
      <c r="F323" s="8"/>
      <c r="G323" s="9"/>
      <c r="H323" s="9"/>
      <c r="I323" s="8"/>
      <c r="J323" s="8"/>
      <c r="K323" s="8"/>
      <c r="L323" s="8"/>
      <c r="M323" s="2"/>
      <c r="N323" s="2"/>
      <c r="O323" s="8"/>
      <c r="P323" s="8"/>
      <c r="Q323" s="8"/>
      <c r="R323" s="8"/>
    </row>
    <row x14ac:dyDescent="0.25" r="324" customHeight="1" ht="18.75">
      <c r="A324" s="11">
        <v>18.6</v>
      </c>
      <c r="B324" s="11">
        <f>IFERROR((A324-$P$3) / $R$3, "")</f>
      </c>
      <c r="C324" s="38">
        <f>IF(ABS(B324)&gt;2,"Yes","No")</f>
      </c>
      <c r="D324" s="2"/>
      <c r="E324" s="9"/>
      <c r="F324" s="8"/>
      <c r="G324" s="9"/>
      <c r="H324" s="9"/>
      <c r="I324" s="8"/>
      <c r="J324" s="8"/>
      <c r="K324" s="8"/>
      <c r="L324" s="8"/>
      <c r="M324" s="2"/>
      <c r="N324" s="2"/>
      <c r="O324" s="8"/>
      <c r="P324" s="8"/>
      <c r="Q324" s="8"/>
      <c r="R324" s="8"/>
    </row>
    <row x14ac:dyDescent="0.25" r="325" customHeight="1" ht="18.75">
      <c r="A325" s="11">
        <v>20.5</v>
      </c>
      <c r="B325" s="11">
        <f>IFERROR((A325-$P$3) / $R$3, "")</f>
      </c>
      <c r="C325" s="38">
        <f>IF(ABS(B325)&gt;2,"Yes","No")</f>
      </c>
      <c r="D325" s="2"/>
      <c r="E325" s="9"/>
      <c r="F325" s="8"/>
      <c r="G325" s="9"/>
      <c r="H325" s="9"/>
      <c r="I325" s="8"/>
      <c r="J325" s="8"/>
      <c r="K325" s="8"/>
      <c r="L325" s="8"/>
      <c r="M325" s="2"/>
      <c r="N325" s="2"/>
      <c r="O325" s="8"/>
      <c r="P325" s="8"/>
      <c r="Q325" s="8"/>
      <c r="R325" s="8"/>
    </row>
    <row x14ac:dyDescent="0.25" r="326" customHeight="1" ht="18.75">
      <c r="A326" s="11">
        <v>19.2</v>
      </c>
      <c r="B326" s="11">
        <f>IFERROR((A326-$P$3) / $R$3, "")</f>
      </c>
      <c r="C326" s="38">
        <f>IF(ABS(B326)&gt;2,"Yes","No")</f>
      </c>
      <c r="D326" s="2"/>
      <c r="E326" s="9"/>
      <c r="F326" s="8"/>
      <c r="G326" s="9"/>
      <c r="H326" s="9"/>
      <c r="I326" s="8"/>
      <c r="J326" s="8"/>
      <c r="K326" s="8"/>
      <c r="L326" s="8"/>
      <c r="M326" s="2"/>
      <c r="N326" s="2"/>
      <c r="O326" s="8"/>
      <c r="P326" s="8"/>
      <c r="Q326" s="8"/>
      <c r="R326" s="8"/>
    </row>
    <row x14ac:dyDescent="0.25" r="327" customHeight="1" ht="18.75">
      <c r="A327" s="11">
        <v>20.5</v>
      </c>
      <c r="B327" s="11">
        <f>IFERROR((A327-$P$3) / $R$3, "")</f>
      </c>
      <c r="C327" s="38">
        <f>IF(ABS(B327)&gt;2,"Yes","No")</f>
      </c>
      <c r="D327" s="2"/>
      <c r="E327" s="9"/>
      <c r="F327" s="8"/>
      <c r="G327" s="9"/>
      <c r="H327" s="9"/>
      <c r="I327" s="8"/>
      <c r="J327" s="8"/>
      <c r="K327" s="8"/>
      <c r="L327" s="8"/>
      <c r="M327" s="2"/>
      <c r="N327" s="2"/>
      <c r="O327" s="8"/>
      <c r="P327" s="8"/>
      <c r="Q327" s="8"/>
      <c r="R327" s="8"/>
    </row>
    <row x14ac:dyDescent="0.25" r="328" customHeight="1" ht="18.75">
      <c r="A328" s="11">
        <v>20.2</v>
      </c>
      <c r="B328" s="11">
        <f>IFERROR((A328-$P$3) / $R$3, "")</f>
      </c>
      <c r="C328" s="38">
        <f>IF(ABS(B328)&gt;2,"Yes","No")</f>
      </c>
      <c r="D328" s="2"/>
      <c r="E328" s="9"/>
      <c r="F328" s="8"/>
      <c r="G328" s="9"/>
      <c r="H328" s="9"/>
      <c r="I328" s="8"/>
      <c r="J328" s="8"/>
      <c r="K328" s="8"/>
      <c r="L328" s="8"/>
      <c r="M328" s="2"/>
      <c r="N328" s="2"/>
      <c r="O328" s="8"/>
      <c r="P328" s="8"/>
      <c r="Q328" s="8"/>
      <c r="R328" s="8"/>
    </row>
    <row x14ac:dyDescent="0.25" r="329" customHeight="1" ht="18.75">
      <c r="A329" s="11">
        <v>19.4</v>
      </c>
      <c r="B329" s="11">
        <f>IFERROR((A329-$P$3) / $R$3, "")</f>
      </c>
      <c r="C329" s="38">
        <f>IF(ABS(B329)&gt;2,"Yes","No")</f>
      </c>
      <c r="D329" s="2"/>
      <c r="E329" s="9"/>
      <c r="F329" s="8"/>
      <c r="G329" s="9"/>
      <c r="H329" s="9"/>
      <c r="I329" s="8"/>
      <c r="J329" s="8"/>
      <c r="K329" s="8"/>
      <c r="L329" s="8"/>
      <c r="M329" s="2"/>
      <c r="N329" s="2"/>
      <c r="O329" s="8"/>
      <c r="P329" s="8"/>
      <c r="Q329" s="8"/>
      <c r="R329" s="8"/>
    </row>
    <row x14ac:dyDescent="0.25" r="330" customHeight="1" ht="18.75">
      <c r="A330" s="11">
        <v>20.8</v>
      </c>
      <c r="B330" s="11">
        <f>IFERROR((A330-$P$3) / $R$3, "")</f>
      </c>
      <c r="C330" s="38">
        <f>IF(ABS(B330)&gt;2,"Yes","No")</f>
      </c>
      <c r="D330" s="2"/>
      <c r="E330" s="9"/>
      <c r="F330" s="8"/>
      <c r="G330" s="9"/>
      <c r="H330" s="9"/>
      <c r="I330" s="8"/>
      <c r="J330" s="8"/>
      <c r="K330" s="8"/>
      <c r="L330" s="8"/>
      <c r="M330" s="2"/>
      <c r="N330" s="2"/>
      <c r="O330" s="8"/>
      <c r="P330" s="8"/>
      <c r="Q330" s="8"/>
      <c r="R330" s="8"/>
    </row>
    <row x14ac:dyDescent="0.25" r="331" customHeight="1" ht="18.75">
      <c r="A331" s="11">
        <v>18.1</v>
      </c>
      <c r="B331" s="11">
        <f>IFERROR((A331-$P$3) / $R$3, "")</f>
      </c>
      <c r="C331" s="38">
        <f>IF(ABS(B331)&gt;2,"Yes","No")</f>
      </c>
      <c r="D331" s="2"/>
      <c r="E331" s="9"/>
      <c r="F331" s="8"/>
      <c r="G331" s="9"/>
      <c r="H331" s="9"/>
      <c r="I331" s="8"/>
      <c r="J331" s="8"/>
      <c r="K331" s="8"/>
      <c r="L331" s="8"/>
      <c r="M331" s="2"/>
      <c r="N331" s="2"/>
      <c r="O331" s="8"/>
      <c r="P331" s="8"/>
      <c r="Q331" s="8"/>
      <c r="R331" s="8"/>
    </row>
    <row x14ac:dyDescent="0.25" r="332" customHeight="1" ht="18.75">
      <c r="A332" s="11">
        <v>19.2</v>
      </c>
      <c r="B332" s="11">
        <f>IFERROR((A332-$P$3) / $R$3, "")</f>
      </c>
      <c r="C332" s="38">
        <f>IF(ABS(B332)&gt;2,"Yes","No")</f>
      </c>
      <c r="D332" s="2"/>
      <c r="E332" s="9"/>
      <c r="F332" s="8"/>
      <c r="G332" s="9"/>
      <c r="H332" s="9"/>
      <c r="I332" s="8"/>
      <c r="J332" s="8"/>
      <c r="K332" s="8"/>
      <c r="L332" s="8"/>
      <c r="M332" s="2"/>
      <c r="N332" s="2"/>
      <c r="O332" s="8"/>
      <c r="P332" s="8"/>
      <c r="Q332" s="8"/>
      <c r="R332" s="8"/>
    </row>
    <row x14ac:dyDescent="0.25" r="333" customHeight="1" ht="18.75">
      <c r="A333" s="11">
        <v>20.2</v>
      </c>
      <c r="B333" s="11">
        <f>IFERROR((A333-$P$3) / $R$3, "")</f>
      </c>
      <c r="C333" s="38">
        <f>IF(ABS(B333)&gt;2,"Yes","No")</f>
      </c>
      <c r="D333" s="2"/>
      <c r="E333" s="9"/>
      <c r="F333" s="8"/>
      <c r="G333" s="9"/>
      <c r="H333" s="9"/>
      <c r="I333" s="8"/>
      <c r="J333" s="8"/>
      <c r="K333" s="8"/>
      <c r="L333" s="8"/>
      <c r="M333" s="2"/>
      <c r="N333" s="2"/>
      <c r="O333" s="8"/>
      <c r="P333" s="8"/>
      <c r="Q333" s="8"/>
      <c r="R333" s="8"/>
    </row>
    <row x14ac:dyDescent="0.25" r="334" customHeight="1" ht="18.75">
      <c r="A334" s="11">
        <v>19.4</v>
      </c>
      <c r="B334" s="11">
        <f>IFERROR((A334-$P$3) / $R$3, "")</f>
      </c>
      <c r="C334" s="38">
        <f>IF(ABS(B334)&gt;2,"Yes","No")</f>
      </c>
      <c r="D334" s="2"/>
      <c r="E334" s="9"/>
      <c r="F334" s="8"/>
      <c r="G334" s="9"/>
      <c r="H334" s="9"/>
      <c r="I334" s="8"/>
      <c r="J334" s="8"/>
      <c r="K334" s="8"/>
      <c r="L334" s="8"/>
      <c r="M334" s="2"/>
      <c r="N334" s="2"/>
      <c r="O334" s="8"/>
      <c r="P334" s="8"/>
      <c r="Q334" s="8"/>
      <c r="R334" s="8"/>
    </row>
    <row x14ac:dyDescent="0.25" r="335" customHeight="1" ht="18.75">
      <c r="A335" s="11">
        <v>17.5</v>
      </c>
      <c r="B335" s="11">
        <f>IFERROR((A335-$P$3) / $R$3, "")</f>
      </c>
      <c r="C335" s="38">
        <f>IF(ABS(B335)&gt;2,"Yes","No")</f>
      </c>
      <c r="D335" s="2"/>
      <c r="E335" s="9"/>
      <c r="F335" s="8"/>
      <c r="G335" s="9"/>
      <c r="H335" s="9"/>
      <c r="I335" s="8"/>
      <c r="J335" s="8"/>
      <c r="K335" s="8"/>
      <c r="L335" s="8"/>
      <c r="M335" s="2"/>
      <c r="N335" s="2"/>
      <c r="O335" s="8"/>
      <c r="P335" s="8"/>
      <c r="Q335" s="8"/>
      <c r="R335" s="8"/>
    </row>
    <row x14ac:dyDescent="0.25" r="336" customHeight="1" ht="18.75">
      <c r="A336" s="11">
        <v>19.9</v>
      </c>
      <c r="B336" s="11">
        <f>IFERROR((A336-$P$3) / $R$3, "")</f>
      </c>
      <c r="C336" s="38">
        <f>IF(ABS(B336)&gt;2,"Yes","No")</f>
      </c>
      <c r="D336" s="2"/>
      <c r="E336" s="9"/>
      <c r="F336" s="8"/>
      <c r="G336" s="9"/>
      <c r="H336" s="9"/>
      <c r="I336" s="8"/>
      <c r="J336" s="8"/>
      <c r="K336" s="8"/>
      <c r="L336" s="8"/>
      <c r="M336" s="2"/>
      <c r="N336" s="2"/>
      <c r="O336" s="8"/>
      <c r="P336" s="8"/>
      <c r="Q336" s="8"/>
      <c r="R336" s="8"/>
    </row>
    <row x14ac:dyDescent="0.25" r="337" customHeight="1" ht="18.75">
      <c r="A337" s="11">
        <v>35.7</v>
      </c>
      <c r="B337" s="11">
        <f>IFERROR((A337-$P$3) / $R$3, "")</f>
      </c>
      <c r="C337" s="38">
        <f>IF(ABS(B337)&gt;2,"Yes","No")</f>
      </c>
      <c r="D337" s="2"/>
      <c r="E337" s="9"/>
      <c r="F337" s="8"/>
      <c r="G337" s="9"/>
      <c r="H337" s="9"/>
      <c r="I337" s="8"/>
      <c r="J337" s="8"/>
      <c r="K337" s="8"/>
      <c r="L337" s="8"/>
      <c r="M337" s="2"/>
      <c r="N337" s="2"/>
      <c r="O337" s="8"/>
      <c r="P337" s="8"/>
      <c r="Q337" s="8"/>
      <c r="R337" s="8"/>
    </row>
    <row x14ac:dyDescent="0.25" r="338" customHeight="1" ht="18.75">
      <c r="A338" s="11">
        <v>33.5</v>
      </c>
      <c r="B338" s="11">
        <f>IFERROR((A338-$P$3) / $R$3, "")</f>
      </c>
      <c r="C338" s="38">
        <f>IF(ABS(B338)&gt;2,"Yes","No")</f>
      </c>
      <c r="D338" s="2"/>
      <c r="E338" s="9"/>
      <c r="F338" s="8"/>
      <c r="G338" s="9"/>
      <c r="H338" s="9"/>
      <c r="I338" s="8"/>
      <c r="J338" s="8"/>
      <c r="K338" s="8"/>
      <c r="L338" s="8"/>
      <c r="M338" s="2"/>
      <c r="N338" s="2"/>
      <c r="O338" s="8"/>
      <c r="P338" s="8"/>
      <c r="Q338" s="8"/>
      <c r="R338" s="8"/>
    </row>
    <row x14ac:dyDescent="0.25" r="339" customHeight="1" ht="18.75">
      <c r="A339" s="11">
        <v>28.4</v>
      </c>
      <c r="B339" s="11">
        <f>IFERROR((A339-$P$3) / $R$3, "")</f>
      </c>
      <c r="C339" s="38">
        <f>IF(ABS(B339)&gt;2,"Yes","No")</f>
      </c>
      <c r="D339" s="2"/>
      <c r="E339" s="9"/>
      <c r="F339" s="8"/>
      <c r="G339" s="9"/>
      <c r="H339" s="9"/>
      <c r="I339" s="8"/>
      <c r="J339" s="8"/>
      <c r="K339" s="8"/>
      <c r="L339" s="8"/>
      <c r="M339" s="2"/>
      <c r="N339" s="2"/>
      <c r="O339" s="8"/>
      <c r="P339" s="8"/>
      <c r="Q339" s="8"/>
      <c r="R339" s="8"/>
    </row>
    <row x14ac:dyDescent="0.25" r="340" customHeight="1" ht="18.75">
      <c r="A340" s="11">
        <v>34.5</v>
      </c>
      <c r="B340" s="11">
        <f>IFERROR((A340-$P$3) / $R$3, "")</f>
      </c>
      <c r="C340" s="38">
        <f>IF(ABS(B340)&gt;2,"Yes","No")</f>
      </c>
      <c r="D340" s="2"/>
      <c r="E340" s="9"/>
      <c r="F340" s="8"/>
      <c r="G340" s="9"/>
      <c r="H340" s="9"/>
      <c r="I340" s="8"/>
      <c r="J340" s="8"/>
      <c r="K340" s="8"/>
      <c r="L340" s="8"/>
      <c r="M340" s="2"/>
      <c r="N340" s="2"/>
      <c r="O340" s="8"/>
      <c r="P340" s="8"/>
      <c r="Q340" s="8"/>
      <c r="R340" s="8"/>
    </row>
    <row x14ac:dyDescent="0.25" r="341" customHeight="1" ht="18.75">
      <c r="A341" s="11">
        <v>34.2</v>
      </c>
      <c r="B341" s="11">
        <f>IFERROR((A341-$P$3) / $R$3, "")</f>
      </c>
      <c r="C341" s="38">
        <f>IF(ABS(B341)&gt;2,"Yes","No")</f>
      </c>
      <c r="D341" s="2"/>
      <c r="E341" s="9"/>
      <c r="F341" s="8"/>
      <c r="G341" s="9"/>
      <c r="H341" s="9"/>
      <c r="I341" s="8"/>
      <c r="J341" s="8"/>
      <c r="K341" s="8"/>
      <c r="L341" s="8"/>
      <c r="M341" s="2"/>
      <c r="N341" s="2"/>
      <c r="O341" s="8"/>
      <c r="P341" s="8"/>
      <c r="Q341" s="8"/>
      <c r="R341" s="8"/>
    </row>
    <row x14ac:dyDescent="0.25" r="342" customHeight="1" ht="18.75">
      <c r="A342" s="11">
        <v>22.3</v>
      </c>
      <c r="B342" s="11">
        <f>IFERROR((A342-$P$3) / $R$3, "")</f>
      </c>
      <c r="C342" s="38">
        <f>IF(ABS(B342)&gt;2,"Yes","No")</f>
      </c>
      <c r="D342" s="2"/>
      <c r="E342" s="9"/>
      <c r="F342" s="8"/>
      <c r="G342" s="9"/>
      <c r="H342" s="9"/>
      <c r="I342" s="8"/>
      <c r="J342" s="8"/>
      <c r="K342" s="8"/>
      <c r="L342" s="8"/>
      <c r="M342" s="2"/>
      <c r="N342" s="2"/>
      <c r="O342" s="8"/>
      <c r="P342" s="8"/>
      <c r="Q342" s="8"/>
      <c r="R342" s="8"/>
    </row>
    <row x14ac:dyDescent="0.25" r="343" customHeight="1" ht="18.75">
      <c r="A343" s="11">
        <v>27.4</v>
      </c>
      <c r="B343" s="11">
        <f>IFERROR((A343-$P$3) / $R$3, "")</f>
      </c>
      <c r="C343" s="38">
        <f>IF(ABS(B343)&gt;2,"Yes","No")</f>
      </c>
      <c r="D343" s="2"/>
      <c r="E343" s="9"/>
      <c r="F343" s="8"/>
      <c r="G343" s="9"/>
      <c r="H343" s="9"/>
      <c r="I343" s="8"/>
      <c r="J343" s="8"/>
      <c r="K343" s="8"/>
      <c r="L343" s="8"/>
      <c r="M343" s="2"/>
      <c r="N343" s="2"/>
      <c r="O343" s="8"/>
      <c r="P343" s="8"/>
      <c r="Q343" s="8"/>
      <c r="R343" s="8"/>
    </row>
    <row x14ac:dyDescent="0.25" r="344" customHeight="1" ht="18.75">
      <c r="A344" s="11">
        <v>28.8</v>
      </c>
      <c r="B344" s="11">
        <f>IFERROR((A344-$P$3) / $R$3, "")</f>
      </c>
      <c r="C344" s="38">
        <f>IF(ABS(B344)&gt;2,"Yes","No")</f>
      </c>
      <c r="D344" s="2"/>
      <c r="E344" s="9"/>
      <c r="F344" s="8"/>
      <c r="G344" s="9"/>
      <c r="H344" s="9"/>
      <c r="I344" s="8"/>
      <c r="J344" s="8"/>
      <c r="K344" s="8"/>
      <c r="L344" s="8"/>
      <c r="M344" s="2"/>
      <c r="N344" s="2"/>
      <c r="O344" s="8"/>
      <c r="P344" s="8"/>
      <c r="Q344" s="8"/>
      <c r="R344" s="8"/>
    </row>
    <row x14ac:dyDescent="0.25" r="345" customHeight="1" ht="18.75">
      <c r="A345" s="11">
        <v>26.8</v>
      </c>
      <c r="B345" s="11">
        <f>IFERROR((A345-$P$3) / $R$3, "")</f>
      </c>
      <c r="C345" s="38">
        <f>IF(ABS(B345)&gt;2,"Yes","No")</f>
      </c>
      <c r="D345" s="2"/>
      <c r="E345" s="9"/>
      <c r="F345" s="8"/>
      <c r="G345" s="9"/>
      <c r="H345" s="9"/>
      <c r="I345" s="8"/>
      <c r="J345" s="8"/>
      <c r="K345" s="8"/>
      <c r="L345" s="8"/>
      <c r="M345" s="2"/>
      <c r="N345" s="2"/>
      <c r="O345" s="8"/>
      <c r="P345" s="8"/>
      <c r="Q345" s="8"/>
      <c r="R345" s="8"/>
    </row>
    <row x14ac:dyDescent="0.25" r="346" customHeight="1" ht="18.75">
      <c r="A346" s="11">
        <v>21.5</v>
      </c>
      <c r="B346" s="11">
        <f>IFERROR((A346-$P$3) / $R$3, "")</f>
      </c>
      <c r="C346" s="38">
        <f>IF(ABS(B346)&gt;2,"Yes","No")</f>
      </c>
      <c r="D346" s="2"/>
      <c r="E346" s="9"/>
      <c r="F346" s="8"/>
      <c r="G346" s="9"/>
      <c r="H346" s="9"/>
      <c r="I346" s="8"/>
      <c r="J346" s="8"/>
      <c r="K346" s="8"/>
      <c r="L346" s="8"/>
      <c r="M346" s="2"/>
      <c r="N346" s="2"/>
      <c r="O346" s="8"/>
      <c r="P346" s="8"/>
      <c r="Q346" s="8"/>
      <c r="R346" s="8"/>
    </row>
    <row x14ac:dyDescent="0.25" r="347" customHeight="1" ht="18.75">
      <c r="A347" s="11">
        <v>20.6</v>
      </c>
      <c r="B347" s="11">
        <f>IFERROR((A347-$P$3) / $R$3, "")</f>
      </c>
      <c r="C347" s="38">
        <f>IF(ABS(B347)&gt;2,"Yes","No")</f>
      </c>
      <c r="D347" s="2"/>
      <c r="E347" s="9"/>
      <c r="F347" s="8"/>
      <c r="G347" s="9"/>
      <c r="H347" s="9"/>
      <c r="I347" s="8"/>
      <c r="J347" s="8"/>
      <c r="K347" s="8"/>
      <c r="L347" s="8"/>
      <c r="M347" s="2"/>
      <c r="N347" s="2"/>
      <c r="O347" s="8"/>
      <c r="P347" s="8"/>
      <c r="Q347" s="8"/>
      <c r="R347" s="8"/>
    </row>
    <row x14ac:dyDescent="0.25" r="348" customHeight="1" ht="18.75">
      <c r="A348" s="11">
        <v>19.8</v>
      </c>
      <c r="B348" s="11">
        <f>IFERROR((A348-$P$3) / $R$3, "")</f>
      </c>
      <c r="C348" s="38">
        <f>IF(ABS(B348)&gt;2,"Yes","No")</f>
      </c>
      <c r="D348" s="2"/>
      <c r="E348" s="9"/>
      <c r="F348" s="8"/>
      <c r="G348" s="9"/>
      <c r="H348" s="9"/>
      <c r="I348" s="8"/>
      <c r="J348" s="8"/>
      <c r="K348" s="8"/>
      <c r="L348" s="8"/>
      <c r="M348" s="2"/>
      <c r="N348" s="2"/>
      <c r="O348" s="8"/>
      <c r="P348" s="8"/>
      <c r="Q348" s="8"/>
      <c r="R348" s="8"/>
    </row>
    <row x14ac:dyDescent="0.25" r="349" customHeight="1" ht="18.75">
      <c r="A349" s="11">
        <v>20.2</v>
      </c>
      <c r="B349" s="11">
        <f>IFERROR((A349-$P$3) / $R$3, "")</f>
      </c>
      <c r="C349" s="38">
        <f>IF(ABS(B349)&gt;2,"Yes","No")</f>
      </c>
      <c r="D349" s="2"/>
      <c r="E349" s="9"/>
      <c r="F349" s="8"/>
      <c r="G349" s="9"/>
      <c r="H349" s="9"/>
      <c r="I349" s="8"/>
      <c r="J349" s="8"/>
      <c r="K349" s="8"/>
      <c r="L349" s="8"/>
      <c r="M349" s="2"/>
      <c r="N349" s="2"/>
      <c r="O349" s="8"/>
      <c r="P349" s="8"/>
      <c r="Q349" s="8"/>
      <c r="R349" s="8"/>
    </row>
    <row x14ac:dyDescent="0.25" r="350" customHeight="1" ht="18.75">
      <c r="A350" s="11">
        <v>18.5</v>
      </c>
      <c r="B350" s="11">
        <f>IFERROR((A350-$P$3) / $R$3, "")</f>
      </c>
      <c r="C350" s="38">
        <f>IF(ABS(B350)&gt;2,"Yes","No")</f>
      </c>
      <c r="D350" s="2"/>
      <c r="E350" s="9"/>
      <c r="F350" s="8"/>
      <c r="G350" s="9"/>
      <c r="H350" s="9"/>
      <c r="I350" s="8"/>
      <c r="J350" s="8"/>
      <c r="K350" s="8"/>
      <c r="L350" s="8"/>
      <c r="M350" s="2"/>
      <c r="N350" s="2"/>
      <c r="O350" s="8"/>
      <c r="P350" s="8"/>
      <c r="Q350" s="8"/>
      <c r="R350" s="8"/>
    </row>
    <row x14ac:dyDescent="0.25" r="351" customHeight="1" ht="18.75">
      <c r="A351" s="11">
        <v>16.9</v>
      </c>
      <c r="B351" s="11">
        <f>IFERROR((A351-$P$3) / $R$3, "")</f>
      </c>
      <c r="C351" s="38">
        <f>IF(ABS(B351)&gt;2,"Yes","No")</f>
      </c>
      <c r="D351" s="2"/>
      <c r="E351" s="9"/>
      <c r="F351" s="8"/>
      <c r="G351" s="9"/>
      <c r="H351" s="9"/>
      <c r="I351" s="8"/>
      <c r="J351" s="8"/>
      <c r="K351" s="8"/>
      <c r="L351" s="8"/>
      <c r="M351" s="2"/>
      <c r="N351" s="2"/>
      <c r="O351" s="8"/>
      <c r="P351" s="8"/>
      <c r="Q351" s="8"/>
      <c r="R351" s="8"/>
    </row>
    <row x14ac:dyDescent="0.25" r="352" customHeight="1" ht="18.75">
      <c r="A352" s="11">
        <v>18.2</v>
      </c>
      <c r="B352" s="11">
        <f>IFERROR((A352-$P$3) / $R$3, "")</f>
      </c>
      <c r="C352" s="38">
        <f>IF(ABS(B352)&gt;2,"Yes","No")</f>
      </c>
      <c r="D352" s="2"/>
      <c r="E352" s="9"/>
      <c r="F352" s="8"/>
      <c r="G352" s="9"/>
      <c r="H352" s="9"/>
      <c r="I352" s="8"/>
      <c r="J352" s="8"/>
      <c r="K352" s="8"/>
      <c r="L352" s="8"/>
      <c r="M352" s="2"/>
      <c r="N352" s="2"/>
      <c r="O352" s="8"/>
      <c r="P352" s="8"/>
      <c r="Q352" s="8"/>
      <c r="R352" s="8"/>
    </row>
    <row x14ac:dyDescent="0.25" r="353" customHeight="1" ht="18.75">
      <c r="A353" s="11">
        <v>15.5</v>
      </c>
      <c r="B353" s="11">
        <f>IFERROR((A353-$P$3) / $R$3, "")</f>
      </c>
      <c r="C353" s="38">
        <f>IF(ABS(B353)&gt;2,"Yes","No")</f>
      </c>
      <c r="D353" s="2"/>
      <c r="E353" s="9"/>
      <c r="F353" s="8"/>
      <c r="G353" s="9"/>
      <c r="H353" s="9"/>
      <c r="I353" s="8"/>
      <c r="J353" s="8"/>
      <c r="K353" s="8"/>
      <c r="L353" s="8"/>
      <c r="M353" s="2"/>
      <c r="N353" s="2"/>
      <c r="O353" s="8"/>
      <c r="P353" s="8"/>
      <c r="Q353" s="8"/>
      <c r="R353" s="8"/>
    </row>
    <row x14ac:dyDescent="0.25" r="354" customHeight="1" ht="18.75">
      <c r="A354" s="11">
        <v>16.5</v>
      </c>
      <c r="B354" s="11">
        <f>IFERROR((A354-$P$3) / $R$3, "")</f>
      </c>
      <c r="C354" s="38">
        <f>IF(ABS(B354)&gt;2,"Yes","No")</f>
      </c>
      <c r="D354" s="2"/>
      <c r="E354" s="9"/>
      <c r="F354" s="8"/>
      <c r="G354" s="9"/>
      <c r="H354" s="9"/>
      <c r="I354" s="8"/>
      <c r="J354" s="8"/>
      <c r="K354" s="8"/>
      <c r="L354" s="8"/>
      <c r="M354" s="2"/>
      <c r="N354" s="2"/>
      <c r="O354" s="8"/>
      <c r="P354" s="8"/>
      <c r="Q354" s="8"/>
      <c r="R354" s="8"/>
    </row>
    <row x14ac:dyDescent="0.25" r="355" customHeight="1" ht="18.75">
      <c r="A355" s="11">
        <v>19.2</v>
      </c>
      <c r="B355" s="11">
        <f>IFERROR((A355-$P$3) / $R$3, "")</f>
      </c>
      <c r="C355" s="38">
        <f>IF(ABS(B355)&gt;2,"Yes","No")</f>
      </c>
      <c r="D355" s="2"/>
      <c r="E355" s="9"/>
      <c r="F355" s="8"/>
      <c r="G355" s="9"/>
      <c r="H355" s="9"/>
      <c r="I355" s="8"/>
      <c r="J355" s="8"/>
      <c r="K355" s="8"/>
      <c r="L355" s="8"/>
      <c r="M355" s="2"/>
      <c r="N355" s="2"/>
      <c r="O355" s="8"/>
      <c r="P355" s="8"/>
      <c r="Q355" s="8"/>
      <c r="R355" s="8"/>
    </row>
    <row x14ac:dyDescent="0.25" r="356" customHeight="1" ht="18.75">
      <c r="A356" s="11">
        <v>17.6</v>
      </c>
      <c r="B356" s="11">
        <f>IFERROR((A356-$P$3) / $R$3, "")</f>
      </c>
      <c r="C356" s="38">
        <f>IF(ABS(B356)&gt;2,"Yes","No")</f>
      </c>
      <c r="D356" s="2"/>
      <c r="E356" s="9"/>
      <c r="F356" s="8"/>
      <c r="G356" s="9"/>
      <c r="H356" s="9"/>
      <c r="I356" s="8"/>
      <c r="J356" s="8"/>
      <c r="K356" s="8"/>
      <c r="L356" s="8"/>
      <c r="M356" s="2"/>
      <c r="N356" s="2"/>
      <c r="O356" s="8"/>
      <c r="P356" s="8"/>
      <c r="Q356" s="8"/>
      <c r="R356" s="8"/>
    </row>
    <row x14ac:dyDescent="0.25" r="357" customHeight="1" ht="18.75">
      <c r="A357" s="3">
        <v>17</v>
      </c>
      <c r="B357" s="11">
        <f>IFERROR((A357-$P$3) / $R$3, "")</f>
      </c>
      <c r="C357" s="38">
        <f>IF(ABS(B357)&gt;2,"Yes","No")</f>
      </c>
      <c r="D357" s="2"/>
      <c r="E357" s="9"/>
      <c r="F357" s="8"/>
      <c r="G357" s="9"/>
      <c r="H357" s="9"/>
      <c r="I357" s="8"/>
      <c r="J357" s="8"/>
      <c r="K357" s="8"/>
      <c r="L357" s="8"/>
      <c r="M357" s="2"/>
      <c r="N357" s="2"/>
      <c r="O357" s="8"/>
      <c r="P357" s="8"/>
      <c r="Q357" s="8"/>
      <c r="R357" s="8"/>
    </row>
    <row x14ac:dyDescent="0.25" r="358" customHeight="1" ht="18.75">
      <c r="A358" s="3">
        <v>23</v>
      </c>
      <c r="B358" s="11">
        <f>IFERROR((A358-$P$3) / $R$3, "")</f>
      </c>
      <c r="C358" s="38">
        <f>IF(ABS(B358)&gt;2,"Yes","No")</f>
      </c>
      <c r="D358" s="2"/>
      <c r="E358" s="9"/>
      <c r="F358" s="8"/>
      <c r="G358" s="9"/>
      <c r="H358" s="9"/>
      <c r="I358" s="8"/>
      <c r="J358" s="8"/>
      <c r="K358" s="8"/>
      <c r="L358" s="8"/>
      <c r="M358" s="2"/>
      <c r="N358" s="2"/>
      <c r="O358" s="8"/>
      <c r="P358" s="8"/>
      <c r="Q358" s="8"/>
      <c r="R358" s="8"/>
    </row>
    <row x14ac:dyDescent="0.25" r="359" customHeight="1" ht="18.75">
      <c r="A359" s="11">
        <v>23.9</v>
      </c>
      <c r="B359" s="11">
        <f>IFERROR((A359-$P$3) / $R$3, "")</f>
      </c>
      <c r="C359" s="38">
        <f>IF(ABS(B359)&gt;2,"Yes","No")</f>
      </c>
      <c r="D359" s="2"/>
      <c r="E359" s="9"/>
      <c r="F359" s="8"/>
      <c r="G359" s="9"/>
      <c r="H359" s="9"/>
      <c r="I359" s="8"/>
      <c r="J359" s="8"/>
      <c r="K359" s="8"/>
      <c r="L359" s="8"/>
      <c r="M359" s="2"/>
      <c r="N359" s="2"/>
      <c r="O359" s="8"/>
      <c r="P359" s="8"/>
      <c r="Q359" s="8"/>
      <c r="R359" s="8"/>
    </row>
    <row x14ac:dyDescent="0.25" r="360" customHeight="1" ht="18.75">
      <c r="A360" s="11">
        <v>27.9</v>
      </c>
      <c r="B360" s="11">
        <f>IFERROR((A360-$P$3) / $R$3, "")</f>
      </c>
      <c r="C360" s="38">
        <f>IF(ABS(B360)&gt;2,"Yes","No")</f>
      </c>
      <c r="D360" s="2"/>
      <c r="E360" s="9"/>
      <c r="F360" s="8"/>
      <c r="G360" s="9"/>
      <c r="H360" s="9"/>
      <c r="I360" s="8"/>
      <c r="J360" s="8"/>
      <c r="K360" s="8"/>
      <c r="L360" s="8"/>
      <c r="M360" s="2"/>
      <c r="N360" s="2"/>
      <c r="O360" s="8"/>
      <c r="P360" s="8"/>
      <c r="Q360" s="8"/>
      <c r="R360" s="8"/>
    </row>
    <row x14ac:dyDescent="0.25" r="361" customHeight="1" ht="18.75">
      <c r="A361" s="3">
        <v>28</v>
      </c>
      <c r="B361" s="11">
        <f>IFERROR((A361-$P$3) / $R$3, "")</f>
      </c>
      <c r="C361" s="38">
        <f>IF(ABS(B361)&gt;2,"Yes","No")</f>
      </c>
      <c r="D361" s="2"/>
      <c r="E361" s="9"/>
      <c r="F361" s="8"/>
      <c r="G361" s="9"/>
      <c r="H361" s="9"/>
      <c r="I361" s="8"/>
      <c r="J361" s="8"/>
      <c r="K361" s="8"/>
      <c r="L361" s="8"/>
      <c r="M361" s="2"/>
      <c r="N361" s="2"/>
      <c r="O361" s="8"/>
      <c r="P361" s="8"/>
      <c r="Q361" s="8"/>
      <c r="R361" s="8"/>
    </row>
    <row x14ac:dyDescent="0.25" r="362" customHeight="1" ht="18.75">
      <c r="A362" s="11">
        <v>32.1</v>
      </c>
      <c r="B362" s="11">
        <f>IFERROR((A362-$P$3) / $R$3, "")</f>
      </c>
      <c r="C362" s="38">
        <f>IF(ABS(B362)&gt;2,"Yes","No")</f>
      </c>
      <c r="D362" s="2"/>
      <c r="E362" s="9"/>
      <c r="F362" s="8"/>
      <c r="G362" s="9"/>
      <c r="H362" s="9"/>
      <c r="I362" s="8"/>
      <c r="J362" s="8"/>
      <c r="K362" s="8"/>
      <c r="L362" s="8"/>
      <c r="M362" s="2"/>
      <c r="N362" s="2"/>
      <c r="O362" s="8"/>
      <c r="P362" s="8"/>
      <c r="Q362" s="8"/>
      <c r="R362" s="8"/>
    </row>
    <row x14ac:dyDescent="0.25" r="363" customHeight="1" ht="18.75">
      <c r="A363" s="11">
        <v>26.4</v>
      </c>
      <c r="B363" s="11">
        <f>IFERROR((A363-$P$3) / $R$3, "")</f>
      </c>
      <c r="C363" s="38">
        <f>IF(ABS(B363)&gt;2,"Yes","No")</f>
      </c>
      <c r="D363" s="2"/>
      <c r="E363" s="9"/>
      <c r="F363" s="8"/>
      <c r="G363" s="9"/>
      <c r="H363" s="9"/>
      <c r="I363" s="8"/>
      <c r="J363" s="8"/>
      <c r="K363" s="8"/>
      <c r="L363" s="8"/>
      <c r="M363" s="2"/>
      <c r="N363" s="2"/>
      <c r="O363" s="8"/>
      <c r="P363" s="8"/>
      <c r="Q363" s="8"/>
      <c r="R363" s="8"/>
    </row>
    <row x14ac:dyDescent="0.25" r="364" customHeight="1" ht="18.75">
      <c r="A364" s="11">
        <v>24.3</v>
      </c>
      <c r="B364" s="11">
        <f>IFERROR((A364-$P$3) / $R$3, "")</f>
      </c>
      <c r="C364" s="38">
        <f>IF(ABS(B364)&gt;2,"Yes","No")</f>
      </c>
      <c r="D364" s="2"/>
      <c r="E364" s="9"/>
      <c r="F364" s="8"/>
      <c r="G364" s="9"/>
      <c r="H364" s="9"/>
      <c r="I364" s="8"/>
      <c r="J364" s="8"/>
      <c r="K364" s="8"/>
      <c r="L364" s="8"/>
      <c r="M364" s="2"/>
      <c r="N364" s="2"/>
      <c r="O364" s="8"/>
      <c r="P364" s="8"/>
      <c r="Q364" s="8"/>
      <c r="R364" s="8"/>
    </row>
    <row x14ac:dyDescent="0.25" r="365" customHeight="1" ht="18.75">
      <c r="A365" s="11">
        <v>23.6</v>
      </c>
      <c r="B365" s="11">
        <f>IFERROR((A365-$P$3) / $R$3, "")</f>
      </c>
      <c r="C365" s="38">
        <f>IF(ABS(B365)&gt;2,"Yes","No")</f>
      </c>
      <c r="D365" s="2"/>
      <c r="E365" s="9"/>
      <c r="F365" s="8"/>
      <c r="G365" s="9"/>
      <c r="H365" s="9"/>
      <c r="I365" s="8"/>
      <c r="J365" s="8"/>
      <c r="K365" s="8"/>
      <c r="L365" s="8"/>
      <c r="M365" s="2"/>
      <c r="N365" s="2"/>
      <c r="O365" s="8"/>
      <c r="P365" s="8"/>
      <c r="Q365" s="8"/>
      <c r="R365" s="8"/>
    </row>
    <row x14ac:dyDescent="0.25" r="366" customHeight="1" ht="18.75">
      <c r="A366" s="11">
        <v>19.1</v>
      </c>
      <c r="B366" s="11">
        <f>IFERROR((A366-$P$3) / $R$3, "")</f>
      </c>
      <c r="C366" s="38">
        <f>IF(ABS(B366)&gt;2,"Yes","No")</f>
      </c>
      <c r="D366" s="2"/>
      <c r="E366" s="9"/>
      <c r="F366" s="8"/>
      <c r="G366" s="9"/>
      <c r="H366" s="9"/>
      <c r="I366" s="8"/>
      <c r="J366" s="8"/>
      <c r="K366" s="8"/>
      <c r="L366" s="8"/>
      <c r="M366" s="2"/>
      <c r="N366" s="2"/>
      <c r="O366" s="8"/>
      <c r="P366" s="8"/>
      <c r="Q366" s="8"/>
      <c r="R366" s="8"/>
    </row>
    <row x14ac:dyDescent="0.25" r="367" customHeight="1" ht="18.75">
      <c r="A367" s="3">
        <v>30</v>
      </c>
      <c r="B367" s="11">
        <f>IFERROR((A367-$P$3) / $R$3, "")</f>
      </c>
      <c r="C367" s="38">
        <f>IF(ABS(B367)&gt;2,"Yes","No")</f>
      </c>
      <c r="D367" s="2"/>
      <c r="E367" s="9"/>
      <c r="F367" s="8"/>
      <c r="G367" s="9"/>
      <c r="H367" s="9"/>
      <c r="I367" s="8"/>
      <c r="J367" s="8"/>
      <c r="K367" s="8"/>
      <c r="L367" s="8"/>
      <c r="M367" s="2"/>
      <c r="N367" s="2"/>
      <c r="O367" s="8"/>
      <c r="P367" s="8"/>
      <c r="Q367" s="8"/>
      <c r="R367" s="8"/>
    </row>
    <row x14ac:dyDescent="0.25" r="368" customHeight="1" ht="18.75">
      <c r="A368" s="11">
        <v>25.8</v>
      </c>
      <c r="B368" s="11">
        <f>IFERROR((A368-$P$3) / $R$3, "")</f>
      </c>
      <c r="C368" s="38">
        <f>IF(ABS(B368)&gt;2,"Yes","No")</f>
      </c>
      <c r="D368" s="2"/>
      <c r="E368" s="9"/>
      <c r="F368" s="8"/>
      <c r="G368" s="9"/>
      <c r="H368" s="9"/>
      <c r="I368" s="8"/>
      <c r="J368" s="8"/>
      <c r="K368" s="8"/>
      <c r="L368" s="8"/>
      <c r="M368" s="2"/>
      <c r="N368" s="2"/>
      <c r="O368" s="8"/>
      <c r="P368" s="8"/>
      <c r="Q368" s="8"/>
      <c r="R368" s="8"/>
    </row>
    <row x14ac:dyDescent="0.25" r="369" customHeight="1" ht="18.75">
      <c r="A369" s="3">
        <v>39</v>
      </c>
      <c r="B369" s="11">
        <f>IFERROR((A369-$P$3) / $R$3, "")</f>
      </c>
      <c r="C369" s="38">
        <f>IF(ABS(B369)&gt;2,"Yes","No")</f>
      </c>
      <c r="D369" s="2"/>
      <c r="E369" s="9"/>
      <c r="F369" s="8"/>
      <c r="G369" s="9"/>
      <c r="H369" s="9"/>
      <c r="I369" s="8"/>
      <c r="J369" s="8"/>
      <c r="K369" s="8"/>
      <c r="L369" s="8"/>
      <c r="M369" s="2"/>
      <c r="N369" s="2"/>
      <c r="O369" s="8"/>
      <c r="P369" s="8"/>
      <c r="Q369" s="8"/>
      <c r="R369" s="8"/>
    </row>
    <row x14ac:dyDescent="0.25" r="370" customHeight="1" ht="18.75">
      <c r="A370" s="11">
        <v>27.2</v>
      </c>
      <c r="B370" s="11">
        <f>IFERROR((A370-$P$3) / $R$3, "")</f>
      </c>
      <c r="C370" s="38">
        <f>IF(ABS(B370)&gt;2,"Yes","No")</f>
      </c>
      <c r="D370" s="2"/>
      <c r="E370" s="9"/>
      <c r="F370" s="8"/>
      <c r="G370" s="9"/>
      <c r="H370" s="9"/>
      <c r="I370" s="8"/>
      <c r="J370" s="8"/>
      <c r="K370" s="8"/>
      <c r="L370" s="8"/>
      <c r="M370" s="2"/>
      <c r="N370" s="2"/>
      <c r="O370" s="8"/>
      <c r="P370" s="8"/>
      <c r="Q370" s="8"/>
      <c r="R370" s="8"/>
    </row>
    <row x14ac:dyDescent="0.25" r="371" customHeight="1" ht="18.75">
      <c r="A371" s="11">
        <v>26.6</v>
      </c>
      <c r="B371" s="11">
        <f>IFERROR((A371-$P$3) / $R$3, "")</f>
      </c>
      <c r="C371" s="38">
        <f>IF(ABS(B371)&gt;2,"Yes","No")</f>
      </c>
      <c r="D371" s="2"/>
      <c r="E371" s="9"/>
      <c r="F371" s="8"/>
      <c r="G371" s="9"/>
      <c r="H371" s="9"/>
      <c r="I371" s="8"/>
      <c r="J371" s="8"/>
      <c r="K371" s="8"/>
      <c r="L371" s="8"/>
      <c r="M371" s="2"/>
      <c r="N371" s="2"/>
      <c r="O371" s="8"/>
      <c r="P371" s="8"/>
      <c r="Q371" s="8"/>
      <c r="R371" s="8"/>
    </row>
    <row x14ac:dyDescent="0.25" r="372" customHeight="1" ht="18.75">
      <c r="A372" s="11">
        <v>34.4</v>
      </c>
      <c r="B372" s="11">
        <f>IFERROR((A372-$P$3) / $R$3, "")</f>
      </c>
      <c r="C372" s="38">
        <f>IF(ABS(B372)&gt;2,"Yes","No")</f>
      </c>
      <c r="D372" s="2"/>
      <c r="E372" s="9"/>
      <c r="F372" s="8"/>
      <c r="G372" s="9"/>
      <c r="H372" s="9"/>
      <c r="I372" s="8"/>
      <c r="J372" s="8"/>
      <c r="K372" s="8"/>
      <c r="L372" s="8"/>
      <c r="M372" s="2"/>
      <c r="N372" s="2"/>
      <c r="O372" s="8"/>
      <c r="P372" s="8"/>
      <c r="Q372" s="8"/>
      <c r="R372" s="8"/>
    </row>
    <row x14ac:dyDescent="0.25" r="373" customHeight="1" ht="18.75">
      <c r="A373" s="11">
        <v>34.7</v>
      </c>
      <c r="B373" s="11">
        <f>IFERROR((A373-$P$3) / $R$3, "")</f>
      </c>
      <c r="C373" s="38">
        <f>IF(ABS(B373)&gt;2,"Yes","No")</f>
      </c>
      <c r="D373" s="2"/>
      <c r="E373" s="9"/>
      <c r="F373" s="8"/>
      <c r="G373" s="9"/>
      <c r="H373" s="9"/>
      <c r="I373" s="8"/>
      <c r="J373" s="8"/>
      <c r="K373" s="8"/>
      <c r="L373" s="8"/>
      <c r="M373" s="2"/>
      <c r="N373" s="2"/>
      <c r="O373" s="8"/>
      <c r="P373" s="8"/>
      <c r="Q373" s="8"/>
      <c r="R373" s="8"/>
    </row>
    <row x14ac:dyDescent="0.25" r="374" customHeight="1" ht="18.75">
      <c r="A374" s="11">
        <v>29.9</v>
      </c>
      <c r="B374" s="11">
        <f>IFERROR((A374-$P$3) / $R$3, "")</f>
      </c>
      <c r="C374" s="38">
        <f>IF(ABS(B374)&gt;2,"Yes","No")</f>
      </c>
      <c r="D374" s="2"/>
      <c r="E374" s="9"/>
      <c r="F374" s="8"/>
      <c r="G374" s="9"/>
      <c r="H374" s="9"/>
      <c r="I374" s="8"/>
      <c r="J374" s="8"/>
      <c r="K374" s="8"/>
      <c r="L374" s="8"/>
      <c r="M374" s="2"/>
      <c r="N374" s="2"/>
      <c r="O374" s="8"/>
      <c r="P374" s="8"/>
      <c r="Q374" s="8"/>
      <c r="R374" s="8"/>
    </row>
    <row x14ac:dyDescent="0.25" r="375" customHeight="1" ht="18.75">
      <c r="A375" s="11">
        <v>23.5</v>
      </c>
      <c r="B375" s="11">
        <f>IFERROR((A375-$P$3) / $R$3, "")</f>
      </c>
      <c r="C375" s="38">
        <f>IF(ABS(B375)&gt;2,"Yes","No")</f>
      </c>
      <c r="D375" s="2"/>
      <c r="E375" s="9"/>
      <c r="F375" s="8"/>
      <c r="G375" s="9"/>
      <c r="H375" s="9"/>
      <c r="I375" s="8"/>
      <c r="J375" s="8"/>
      <c r="K375" s="8"/>
      <c r="L375" s="8"/>
      <c r="M375" s="2"/>
      <c r="N375" s="2"/>
      <c r="O375" s="8"/>
      <c r="P375" s="8"/>
      <c r="Q375" s="8"/>
      <c r="R375" s="8"/>
    </row>
    <row x14ac:dyDescent="0.25" r="376" customHeight="1" ht="18.75">
      <c r="A376" s="11">
        <v>22.4</v>
      </c>
      <c r="B376" s="11">
        <f>IFERROR((A376-$P$3) / $R$3, "")</f>
      </c>
      <c r="C376" s="38">
        <f>IF(ABS(B376)&gt;2,"Yes","No")</f>
      </c>
      <c r="D376" s="2"/>
      <c r="E376" s="9"/>
      <c r="F376" s="8"/>
      <c r="G376" s="9"/>
      <c r="H376" s="9"/>
      <c r="I376" s="8"/>
      <c r="J376" s="8"/>
      <c r="K376" s="8"/>
      <c r="L376" s="8"/>
      <c r="M376" s="2"/>
      <c r="N376" s="2"/>
      <c r="O376" s="8"/>
      <c r="P376" s="8"/>
      <c r="Q376" s="8"/>
      <c r="R376" s="8"/>
    </row>
    <row x14ac:dyDescent="0.25" r="377" customHeight="1" ht="18.75">
      <c r="A377" s="11">
        <v>20.2</v>
      </c>
      <c r="B377" s="11">
        <f>IFERROR((A377-$P$3) / $R$3, "")</f>
      </c>
      <c r="C377" s="38">
        <f>IF(ABS(B377)&gt;2,"Yes","No")</f>
      </c>
      <c r="D377" s="2"/>
      <c r="E377" s="9"/>
      <c r="F377" s="8"/>
      <c r="G377" s="9"/>
      <c r="H377" s="9"/>
      <c r="I377" s="8"/>
      <c r="J377" s="8"/>
      <c r="K377" s="8"/>
      <c r="L377" s="8"/>
      <c r="M377" s="2"/>
      <c r="N377" s="2"/>
      <c r="O377" s="8"/>
      <c r="P377" s="8"/>
      <c r="Q377" s="8"/>
      <c r="R377" s="8"/>
    </row>
    <row x14ac:dyDescent="0.25" r="378" customHeight="1" ht="18.75">
      <c r="A378" s="11">
        <v>17.6</v>
      </c>
      <c r="B378" s="11">
        <f>IFERROR((A378-$P$3) / $R$3, "")</f>
      </c>
      <c r="C378" s="38">
        <f>IF(ABS(B378)&gt;2,"Yes","No")</f>
      </c>
      <c r="D378" s="2"/>
      <c r="E378" s="9"/>
      <c r="F378" s="8"/>
      <c r="G378" s="9"/>
      <c r="H378" s="9"/>
      <c r="I378" s="8"/>
      <c r="J378" s="8"/>
      <c r="K378" s="8"/>
      <c r="L378" s="8"/>
      <c r="M378" s="2"/>
      <c r="N378" s="2"/>
      <c r="O378" s="8"/>
      <c r="P378" s="8"/>
      <c r="Q378" s="8"/>
      <c r="R378" s="8"/>
    </row>
    <row x14ac:dyDescent="0.25" r="379" customHeight="1" ht="18.75">
      <c r="A379" s="11">
        <v>26.6</v>
      </c>
      <c r="B379" s="11">
        <f>IFERROR((A379-$P$3) / $R$3, "")</f>
      </c>
      <c r="C379" s="38">
        <f>IF(ABS(B379)&gt;2,"Yes","No")</f>
      </c>
      <c r="D379" s="2"/>
      <c r="E379" s="9"/>
      <c r="F379" s="8"/>
      <c r="G379" s="9"/>
      <c r="H379" s="9"/>
      <c r="I379" s="8"/>
      <c r="J379" s="8"/>
      <c r="K379" s="8"/>
      <c r="L379" s="8"/>
      <c r="M379" s="2"/>
      <c r="N379" s="2"/>
      <c r="O379" s="8"/>
      <c r="P379" s="8"/>
      <c r="Q379" s="8"/>
      <c r="R379" s="8"/>
    </row>
    <row x14ac:dyDescent="0.25" r="380" customHeight="1" ht="18.75">
      <c r="A380" s="3">
        <v>34</v>
      </c>
      <c r="B380" s="11">
        <f>IFERROR((A380-$P$3) / $R$3, "")</f>
      </c>
      <c r="C380" s="38">
        <f>IF(ABS(B380)&gt;2,"Yes","No")</f>
      </c>
      <c r="D380" s="2"/>
      <c r="E380" s="9"/>
      <c r="F380" s="8"/>
      <c r="G380" s="9"/>
      <c r="H380" s="9"/>
      <c r="I380" s="8"/>
      <c r="J380" s="8"/>
      <c r="K380" s="8"/>
      <c r="L380" s="8"/>
      <c r="M380" s="2"/>
      <c r="N380" s="2"/>
      <c r="O380" s="8"/>
      <c r="P380" s="8"/>
      <c r="Q380" s="8"/>
      <c r="R380" s="8"/>
    </row>
    <row x14ac:dyDescent="0.25" r="381" customHeight="1" ht="18.75">
      <c r="A381" s="3">
        <v>32</v>
      </c>
      <c r="B381" s="11">
        <f>IFERROR((A381-$P$3) / $R$3, "")</f>
      </c>
      <c r="C381" s="38">
        <f>IF(ABS(B381)&gt;2,"Yes","No")</f>
      </c>
      <c r="D381" s="2"/>
      <c r="E381" s="9"/>
      <c r="F381" s="8"/>
      <c r="G381" s="9"/>
      <c r="H381" s="9"/>
      <c r="I381" s="8"/>
      <c r="J381" s="8"/>
      <c r="K381" s="8"/>
      <c r="L381" s="8"/>
      <c r="M381" s="2"/>
      <c r="N381" s="2"/>
      <c r="O381" s="8"/>
      <c r="P381" s="8"/>
      <c r="Q381" s="8"/>
      <c r="R381" s="8"/>
    </row>
    <row x14ac:dyDescent="0.25" r="382" customHeight="1" ht="18.75">
      <c r="A382" s="3">
        <v>26</v>
      </c>
      <c r="B382" s="11">
        <f>IFERROR((A382-$P$3) / $R$3, "")</f>
      </c>
      <c r="C382" s="38">
        <f>IF(ABS(B382)&gt;2,"Yes","No")</f>
      </c>
      <c r="D382" s="2"/>
      <c r="E382" s="9"/>
      <c r="F382" s="8"/>
      <c r="G382" s="9"/>
      <c r="H382" s="9"/>
      <c r="I382" s="8"/>
      <c r="J382" s="8"/>
      <c r="K382" s="8"/>
      <c r="L382" s="8"/>
      <c r="M382" s="2"/>
      <c r="N382" s="2"/>
      <c r="O382" s="8"/>
      <c r="P382" s="8"/>
      <c r="Q382" s="8"/>
      <c r="R382" s="8"/>
    </row>
    <row x14ac:dyDescent="0.25" r="383" customHeight="1" ht="18.75">
      <c r="A383" s="3">
        <v>36</v>
      </c>
      <c r="B383" s="11">
        <f>IFERROR((A383-$P$3) / $R$3, "")</f>
      </c>
      <c r="C383" s="38">
        <f>IF(ABS(B383)&gt;2,"Yes","No")</f>
      </c>
      <c r="D383" s="2"/>
      <c r="E383" s="9"/>
      <c r="F383" s="8"/>
      <c r="G383" s="9"/>
      <c r="H383" s="9"/>
      <c r="I383" s="8"/>
      <c r="J383" s="8"/>
      <c r="K383" s="8"/>
      <c r="L383" s="8"/>
      <c r="M383" s="2"/>
      <c r="N383" s="2"/>
      <c r="O383" s="8"/>
      <c r="P383" s="8"/>
      <c r="Q383" s="8"/>
      <c r="R383" s="8"/>
    </row>
    <row x14ac:dyDescent="0.25" r="384" customHeight="1" ht="18.75">
      <c r="A384" s="3">
        <v>28</v>
      </c>
      <c r="B384" s="11">
        <f>IFERROR((A384-$P$3) / $R$3, "")</f>
      </c>
      <c r="C384" s="38">
        <f>IF(ABS(B384)&gt;2,"Yes","No")</f>
      </c>
      <c r="D384" s="2"/>
      <c r="E384" s="9"/>
      <c r="F384" s="8"/>
      <c r="G384" s="9"/>
      <c r="H384" s="9"/>
      <c r="I384" s="8"/>
      <c r="J384" s="8"/>
      <c r="K384" s="8"/>
      <c r="L384" s="8"/>
      <c r="M384" s="2"/>
      <c r="N384" s="2"/>
      <c r="O384" s="8"/>
      <c r="P384" s="8"/>
      <c r="Q384" s="8"/>
      <c r="R384" s="8"/>
    </row>
    <row x14ac:dyDescent="0.25" r="385" customHeight="1" ht="18.75">
      <c r="A385" s="3">
        <v>27</v>
      </c>
      <c r="B385" s="11">
        <f>IFERROR((A385-$P$3) / $R$3, "")</f>
      </c>
      <c r="C385" s="38">
        <f>IF(ABS(B385)&gt;2,"Yes","No")</f>
      </c>
      <c r="D385" s="2"/>
      <c r="E385" s="9"/>
      <c r="F385" s="8"/>
      <c r="G385" s="9"/>
      <c r="H385" s="9"/>
      <c r="I385" s="8"/>
      <c r="J385" s="8"/>
      <c r="K385" s="8"/>
      <c r="L385" s="8"/>
      <c r="M385" s="2"/>
      <c r="N385" s="2"/>
      <c r="O385" s="8"/>
      <c r="P385" s="8"/>
      <c r="Q385" s="8"/>
      <c r="R385" s="8"/>
    </row>
    <row x14ac:dyDescent="0.25" r="386" customHeight="1" ht="18.75">
      <c r="A386" s="3">
        <v>29</v>
      </c>
      <c r="B386" s="11">
        <f>IFERROR((A386-$P$3) / $R$3, "")</f>
      </c>
      <c r="C386" s="38">
        <f>IF(ABS(B386)&gt;2,"Yes","No")</f>
      </c>
      <c r="D386" s="2"/>
      <c r="E386" s="9"/>
      <c r="F386" s="8"/>
      <c r="G386" s="9"/>
      <c r="H386" s="9"/>
      <c r="I386" s="8"/>
      <c r="J386" s="8"/>
      <c r="K386" s="8"/>
      <c r="L386" s="8"/>
      <c r="M386" s="2"/>
      <c r="N386" s="2"/>
      <c r="O386" s="8"/>
      <c r="P386" s="8"/>
      <c r="Q386" s="8"/>
      <c r="R386" s="8"/>
    </row>
    <row x14ac:dyDescent="0.25" r="387" customHeight="1" ht="18.75">
      <c r="A387" s="3">
        <v>31</v>
      </c>
      <c r="B387" s="11">
        <f>IFERROR((A387-$P$3) / $R$3, "")</f>
      </c>
      <c r="C387" s="38">
        <f>IF(ABS(B387)&gt;2,"Yes","No")</f>
      </c>
      <c r="D387" s="2"/>
      <c r="E387" s="9"/>
      <c r="F387" s="8"/>
      <c r="G387" s="9"/>
      <c r="H387" s="9"/>
      <c r="I387" s="8"/>
      <c r="J387" s="8"/>
      <c r="K387" s="8"/>
      <c r="L387" s="8"/>
      <c r="M387" s="2"/>
      <c r="N387" s="2"/>
      <c r="O387" s="8"/>
      <c r="P387" s="8"/>
      <c r="Q387" s="8"/>
      <c r="R387" s="8"/>
    </row>
    <row x14ac:dyDescent="0.25" r="388" customHeight="1" ht="18.75">
      <c r="A388" s="3">
        <v>36</v>
      </c>
      <c r="B388" s="11">
        <f>IFERROR((A388-$P$3) / $R$3, "")</f>
      </c>
      <c r="C388" s="38">
        <f>IF(ABS(B388)&gt;2,"Yes","No")</f>
      </c>
      <c r="D388" s="2"/>
      <c r="E388" s="9"/>
      <c r="F388" s="8"/>
      <c r="G388" s="9"/>
      <c r="H388" s="9"/>
      <c r="I388" s="8"/>
      <c r="J388" s="8"/>
      <c r="K388" s="8"/>
      <c r="L388" s="8"/>
      <c r="M388" s="2"/>
      <c r="N388" s="2"/>
      <c r="O388" s="8"/>
      <c r="P388" s="8"/>
      <c r="Q388" s="8"/>
      <c r="R388" s="8"/>
    </row>
    <row x14ac:dyDescent="0.25" r="389" customHeight="1" ht="18.75">
      <c r="A389" s="3">
        <v>27</v>
      </c>
      <c r="B389" s="11">
        <f>IFERROR((A389-$P$3) / $R$3, "")</f>
      </c>
      <c r="C389" s="38">
        <f>IF(ABS(B389)&gt;2,"Yes","No")</f>
      </c>
      <c r="D389" s="2"/>
      <c r="E389" s="9"/>
      <c r="F389" s="8"/>
      <c r="G389" s="9"/>
      <c r="H389" s="9"/>
      <c r="I389" s="8"/>
      <c r="J389" s="8"/>
      <c r="K389" s="8"/>
      <c r="L389" s="8"/>
      <c r="M389" s="2"/>
      <c r="N389" s="2"/>
      <c r="O389" s="8"/>
      <c r="P389" s="8"/>
      <c r="Q389" s="8"/>
      <c r="R389" s="8"/>
    </row>
    <row x14ac:dyDescent="0.25" r="390" customHeight="1" ht="18.75">
      <c r="A390" s="3">
        <v>24</v>
      </c>
      <c r="B390" s="11">
        <f>IFERROR((A390-$P$3) / $R$3, "")</f>
      </c>
      <c r="C390" s="38">
        <f>IF(ABS(B390)&gt;2,"Yes","No")</f>
      </c>
      <c r="D390" s="2"/>
      <c r="E390" s="9"/>
      <c r="F390" s="8"/>
      <c r="G390" s="9"/>
      <c r="H390" s="9"/>
      <c r="I390" s="8"/>
      <c r="J390" s="8"/>
      <c r="K390" s="8"/>
      <c r="L390" s="8"/>
      <c r="M390" s="2"/>
      <c r="N390" s="2"/>
      <c r="O390" s="8"/>
      <c r="P390" s="8"/>
      <c r="Q390" s="8"/>
      <c r="R390" s="8"/>
    </row>
    <row x14ac:dyDescent="0.25" r="391" customHeight="1" ht="18.75">
      <c r="A391" s="3">
        <v>27</v>
      </c>
      <c r="B391" s="11">
        <f>IFERROR((A391-$P$3) / $R$3, "")</f>
      </c>
      <c r="C391" s="38">
        <f>IF(ABS(B391)&gt;2,"Yes","No")</f>
      </c>
      <c r="D391" s="2"/>
      <c r="E391" s="9"/>
      <c r="F391" s="8"/>
      <c r="G391" s="9"/>
      <c r="H391" s="9"/>
      <c r="I391" s="8"/>
      <c r="J391" s="8"/>
      <c r="K391" s="8"/>
      <c r="L391" s="8"/>
      <c r="M391" s="2"/>
      <c r="N391" s="2"/>
      <c r="O391" s="8"/>
      <c r="P391" s="8"/>
      <c r="Q391" s="8"/>
      <c r="R391" s="8"/>
    </row>
    <row x14ac:dyDescent="0.25" r="392" customHeight="1" ht="18.75">
      <c r="A392" s="3">
        <v>27</v>
      </c>
      <c r="B392" s="11">
        <f>IFERROR((A392-$P$3) / $R$3, "")</f>
      </c>
      <c r="C392" s="38">
        <f>IF(ABS(B392)&gt;2,"Yes","No")</f>
      </c>
      <c r="D392" s="2"/>
      <c r="E392" s="9"/>
      <c r="F392" s="8"/>
      <c r="G392" s="9"/>
      <c r="H392" s="9"/>
      <c r="I392" s="8"/>
      <c r="J392" s="8"/>
      <c r="K392" s="8"/>
      <c r="L392" s="8"/>
      <c r="M392" s="2"/>
      <c r="N392" s="2"/>
      <c r="O392" s="8"/>
      <c r="P392" s="8"/>
      <c r="Q392" s="8"/>
      <c r="R392" s="8"/>
    </row>
    <row x14ac:dyDescent="0.25" r="393" customHeight="1" ht="18.75">
      <c r="A393" s="3">
        <v>31</v>
      </c>
      <c r="B393" s="11">
        <f>IFERROR((A393-$P$3) / $R$3, "")</f>
      </c>
      <c r="C393" s="38">
        <f>IF(ABS(B393)&gt;2,"Yes","No")</f>
      </c>
      <c r="D393" s="2"/>
      <c r="E393" s="9"/>
      <c r="F393" s="8"/>
      <c r="G393" s="9"/>
      <c r="H393" s="9"/>
      <c r="I393" s="8"/>
      <c r="J393" s="8"/>
      <c r="K393" s="8"/>
      <c r="L393" s="8"/>
      <c r="M393" s="2"/>
      <c r="N393" s="2"/>
      <c r="O393" s="8"/>
      <c r="P393" s="8"/>
      <c r="Q393" s="8"/>
      <c r="R393" s="8"/>
    </row>
    <row x14ac:dyDescent="0.25" r="394" customHeight="1" ht="18.75">
      <c r="A394" s="3">
        <v>28</v>
      </c>
      <c r="B394" s="11">
        <f>IFERROR((A394-$P$3) / $R$3, "")</f>
      </c>
      <c r="C394" s="38">
        <f>IF(ABS(B394)&gt;2,"Yes","No")</f>
      </c>
      <c r="D394" s="2"/>
      <c r="E394" s="9"/>
      <c r="F394" s="8"/>
      <c r="G394" s="9"/>
      <c r="H394" s="9"/>
      <c r="I394" s="8"/>
      <c r="J394" s="8"/>
      <c r="K394" s="8"/>
      <c r="L394" s="8"/>
      <c r="M394" s="2"/>
      <c r="N394" s="2"/>
      <c r="O394" s="8"/>
      <c r="P394" s="8"/>
      <c r="Q394" s="8"/>
      <c r="R394" s="8"/>
    </row>
    <row x14ac:dyDescent="0.25" r="395" customHeight="1" ht="18.75">
      <c r="A395" s="3">
        <v>38</v>
      </c>
      <c r="B395" s="11">
        <f>IFERROR((A395-$P$3) / $R$3, "")</f>
      </c>
      <c r="C395" s="38">
        <f>IF(ABS(B395)&gt;2,"Yes","No")</f>
      </c>
      <c r="D395" s="2"/>
      <c r="E395" s="9"/>
      <c r="F395" s="8"/>
      <c r="G395" s="9"/>
      <c r="H395" s="9"/>
      <c r="I395" s="8"/>
      <c r="J395" s="8"/>
      <c r="K395" s="8"/>
      <c r="L395" s="8"/>
      <c r="M395" s="2"/>
      <c r="N395" s="2"/>
      <c r="O395" s="8"/>
      <c r="P395" s="8"/>
      <c r="Q395" s="8"/>
      <c r="R395" s="8"/>
    </row>
    <row x14ac:dyDescent="0.25" r="396" customHeight="1" ht="18.75">
      <c r="A396" s="3">
        <v>23</v>
      </c>
      <c r="B396" s="11">
        <f>IFERROR((A396-$P$3) / $R$3, "")</f>
      </c>
      <c r="C396" s="38">
        <f>IF(ABS(B396)&gt;2,"Yes","No")</f>
      </c>
      <c r="D396" s="2"/>
      <c r="E396" s="9"/>
      <c r="F396" s="8"/>
      <c r="G396" s="9"/>
      <c r="H396" s="9"/>
      <c r="I396" s="8"/>
      <c r="J396" s="8"/>
      <c r="K396" s="8"/>
      <c r="L396" s="8"/>
      <c r="M396" s="2"/>
      <c r="N396" s="2"/>
      <c r="O396" s="8"/>
      <c r="P396" s="8"/>
      <c r="Q396" s="8"/>
      <c r="R396" s="8"/>
    </row>
    <row x14ac:dyDescent="0.25" r="397" customHeight="1" ht="18.75">
      <c r="A397" s="3">
        <v>22</v>
      </c>
      <c r="B397" s="11">
        <f>IFERROR((A397-$P$3) / $R$3, "")</f>
      </c>
      <c r="C397" s="38">
        <f>IF(ABS(B397)&gt;2,"Yes","No")</f>
      </c>
      <c r="D397" s="2"/>
      <c r="E397" s="9"/>
      <c r="F397" s="8"/>
      <c r="G397" s="9"/>
      <c r="H397" s="9"/>
      <c r="I397" s="8"/>
      <c r="J397" s="8"/>
      <c r="K397" s="8"/>
      <c r="L397" s="8"/>
      <c r="M397" s="2"/>
      <c r="N397" s="2"/>
      <c r="O397" s="8"/>
      <c r="P397" s="8"/>
      <c r="Q397" s="8"/>
      <c r="R397" s="8"/>
    </row>
    <row x14ac:dyDescent="0.25" r="398" customHeight="1" ht="18.75">
      <c r="A398" s="3">
        <v>25</v>
      </c>
      <c r="B398" s="11">
        <f>IFERROR((A398-$P$3) / $R$3, "")</f>
      </c>
      <c r="C398" s="38">
        <f>IF(ABS(B398)&gt;2,"Yes","No")</f>
      </c>
      <c r="D398" s="2"/>
      <c r="E398" s="9"/>
      <c r="F398" s="8"/>
      <c r="G398" s="9"/>
      <c r="H398" s="9"/>
      <c r="I398" s="8"/>
      <c r="J398" s="8"/>
      <c r="K398" s="8"/>
      <c r="L398" s="8"/>
      <c r="M398" s="2"/>
      <c r="N398" s="2"/>
      <c r="O398" s="8"/>
      <c r="P398" s="8"/>
      <c r="Q398" s="8"/>
      <c r="R398" s="8"/>
    </row>
    <row x14ac:dyDescent="0.25" r="399" customHeight="1" ht="18.75">
      <c r="A399" s="3">
        <v>38</v>
      </c>
      <c r="B399" s="11">
        <f>IFERROR((A399-$P$3) / $R$3, "")</f>
      </c>
      <c r="C399" s="38">
        <f>IF(ABS(B399)&gt;2,"Yes","No")</f>
      </c>
      <c r="D399" s="2"/>
      <c r="E399" s="9"/>
      <c r="F399" s="8"/>
      <c r="G399" s="9"/>
      <c r="H399" s="9"/>
      <c r="I399" s="8"/>
      <c r="J399" s="8"/>
      <c r="K399" s="8"/>
      <c r="L399" s="8"/>
      <c r="M399" s="2"/>
      <c r="N399" s="2"/>
      <c r="O399" s="8"/>
      <c r="P399" s="8"/>
      <c r="Q399" s="8"/>
      <c r="R399" s="8"/>
    </row>
    <row x14ac:dyDescent="0.25" r="400" customHeight="1" ht="18.75">
      <c r="A400" s="7"/>
      <c r="B400" s="8"/>
      <c r="C400" s="2"/>
      <c r="D400" s="2"/>
      <c r="E400" s="9"/>
      <c r="F400" s="8"/>
      <c r="G400" s="9"/>
      <c r="H400" s="9"/>
      <c r="I400" s="8"/>
      <c r="J400" s="8"/>
      <c r="K400" s="8"/>
      <c r="L400" s="8"/>
      <c r="M400" s="2"/>
      <c r="N400" s="2"/>
      <c r="O400" s="8"/>
      <c r="P400" s="8"/>
      <c r="Q400" s="8"/>
      <c r="R400" s="8"/>
    </row>
    <row x14ac:dyDescent="0.25" r="401" customHeight="1" ht="18.75">
      <c r="A401" s="7"/>
      <c r="B401" s="8"/>
      <c r="C401" s="2"/>
      <c r="D401" s="2"/>
      <c r="E401" s="9"/>
      <c r="F401" s="8"/>
      <c r="G401" s="9"/>
      <c r="H401" s="9"/>
      <c r="I401" s="8"/>
      <c r="J401" s="8"/>
      <c r="K401" s="8"/>
      <c r="L401" s="8"/>
      <c r="M401" s="2"/>
      <c r="N401" s="2"/>
      <c r="O401" s="8"/>
      <c r="P401" s="8"/>
      <c r="Q401" s="8"/>
      <c r="R401" s="8"/>
    </row>
    <row x14ac:dyDescent="0.25" r="402" customHeight="1" ht="18.75">
      <c r="A402" s="7"/>
      <c r="B402" s="8"/>
      <c r="C402" s="2"/>
      <c r="D402" s="2"/>
      <c r="E402" s="9"/>
      <c r="F402" s="8"/>
      <c r="G402" s="9"/>
      <c r="H402" s="9"/>
      <c r="I402" s="8"/>
      <c r="J402" s="8"/>
      <c r="K402" s="8"/>
      <c r="L402" s="8"/>
      <c r="M402" s="2"/>
      <c r="N402" s="2"/>
      <c r="O402" s="8"/>
      <c r="P402" s="8"/>
      <c r="Q402" s="8"/>
      <c r="R402" s="8"/>
    </row>
    <row x14ac:dyDescent="0.25" r="403" customHeight="1" ht="18.75">
      <c r="A403" s="7" t="s">
        <v>37</v>
      </c>
      <c r="B403" s="8"/>
      <c r="C403" s="2"/>
      <c r="D403" s="2"/>
      <c r="E403" s="9"/>
      <c r="F403" s="8"/>
      <c r="G403" s="9"/>
      <c r="H403" s="9"/>
      <c r="I403" s="8"/>
      <c r="J403" s="8"/>
      <c r="K403" s="8"/>
      <c r="L403" s="8"/>
      <c r="M403" s="2"/>
      <c r="N403" s="2"/>
      <c r="O403" s="8"/>
      <c r="P403" s="8"/>
      <c r="Q403" s="8"/>
      <c r="R403" s="8"/>
    </row>
    <row x14ac:dyDescent="0.25" r="404" customHeight="1" ht="18.75">
      <c r="A404" s="11">
        <v>0.0729099157485418</v>
      </c>
      <c r="B404" s="8"/>
      <c r="C404" s="2"/>
      <c r="D404" s="2"/>
      <c r="E404" s="9"/>
      <c r="F404" s="8"/>
      <c r="G404" s="9"/>
      <c r="H404" s="9"/>
      <c r="I404" s="8"/>
      <c r="J404" s="8"/>
      <c r="K404" s="8"/>
      <c r="L404" s="8"/>
      <c r="M404" s="2"/>
      <c r="N404" s="2"/>
      <c r="O404" s="8"/>
      <c r="P404" s="8"/>
      <c r="Q404" s="8"/>
      <c r="R404" s="8"/>
    </row>
    <row x14ac:dyDescent="0.25" r="405" customHeight="1" ht="18.75">
      <c r="A405" s="11">
        <v>0.053763440860215055</v>
      </c>
      <c r="B405" s="8"/>
      <c r="C405" s="2"/>
      <c r="D405" s="2"/>
      <c r="E405" s="9"/>
      <c r="F405" s="8"/>
      <c r="G405" s="9"/>
      <c r="H405" s="9"/>
      <c r="I405" s="8"/>
      <c r="J405" s="8"/>
      <c r="K405" s="8"/>
      <c r="L405" s="8"/>
      <c r="M405" s="2"/>
      <c r="N405" s="2"/>
      <c r="O405" s="8"/>
      <c r="P405" s="8"/>
      <c r="Q405" s="8"/>
      <c r="R405" s="8"/>
    </row>
    <row x14ac:dyDescent="0.25" r="406" customHeight="1" ht="18.75">
      <c r="A406" s="11">
        <v>0.05084745762711865</v>
      </c>
      <c r="B406" s="8"/>
      <c r="C406" s="2"/>
      <c r="D406" s="2"/>
      <c r="E406" s="9"/>
      <c r="F406" s="8"/>
      <c r="G406" s="9"/>
      <c r="H406" s="9"/>
      <c r="I406" s="8"/>
      <c r="J406" s="8"/>
      <c r="K406" s="8"/>
      <c r="L406" s="8"/>
      <c r="M406" s="2"/>
      <c r="N406" s="2"/>
      <c r="O406" s="8"/>
      <c r="P406" s="8"/>
      <c r="Q406" s="8"/>
      <c r="R406" s="8"/>
    </row>
    <row x14ac:dyDescent="0.25" r="407" customHeight="1" ht="18.75">
      <c r="A407" s="11">
        <v>0.050581915846016116</v>
      </c>
      <c r="B407" s="8"/>
      <c r="C407" s="2"/>
      <c r="D407" s="2"/>
      <c r="E407" s="9"/>
      <c r="F407" s="8"/>
      <c r="G407" s="9"/>
      <c r="H407" s="9"/>
      <c r="I407" s="8"/>
      <c r="J407" s="8"/>
      <c r="K407" s="8"/>
      <c r="L407" s="8"/>
      <c r="M407" s="2"/>
      <c r="N407" s="2"/>
      <c r="O407" s="8"/>
      <c r="P407" s="8"/>
      <c r="Q407" s="8"/>
      <c r="R407" s="8"/>
    </row>
    <row x14ac:dyDescent="0.25" r="408" customHeight="1" ht="18.75">
      <c r="A408" s="11">
        <v>0.050528249885163065</v>
      </c>
      <c r="B408" s="8"/>
      <c r="C408" s="2"/>
      <c r="D408" s="2"/>
      <c r="E408" s="9"/>
      <c r="F408" s="8"/>
      <c r="G408" s="9"/>
      <c r="H408" s="9"/>
      <c r="I408" s="8"/>
      <c r="J408" s="8"/>
      <c r="K408" s="8"/>
      <c r="L408" s="8"/>
      <c r="M408" s="2"/>
      <c r="N408" s="2"/>
      <c r="O408" s="8"/>
      <c r="P408" s="8"/>
      <c r="Q408" s="8"/>
      <c r="R408" s="8"/>
    </row>
    <row x14ac:dyDescent="0.25" r="409" customHeight="1" ht="18.75">
      <c r="A409" s="11">
        <v>0.049860853432282005</v>
      </c>
      <c r="B409" s="8"/>
      <c r="C409" s="2"/>
      <c r="D409" s="2"/>
      <c r="E409" s="9"/>
      <c r="F409" s="8"/>
      <c r="G409" s="9"/>
      <c r="H409" s="9"/>
      <c r="I409" s="8"/>
      <c r="J409" s="8"/>
      <c r="K409" s="8"/>
      <c r="L409" s="8"/>
      <c r="M409" s="2"/>
      <c r="N409" s="2"/>
      <c r="O409" s="8"/>
      <c r="P409" s="8"/>
      <c r="Q409" s="8"/>
      <c r="R409" s="8"/>
    </row>
    <row x14ac:dyDescent="0.25" r="410" customHeight="1" ht="18.75">
      <c r="A410" s="11">
        <v>0.04935064935064935</v>
      </c>
      <c r="B410" s="8"/>
      <c r="C410" s="2"/>
      <c r="D410" s="2"/>
      <c r="E410" s="9"/>
      <c r="F410" s="8"/>
      <c r="G410" s="9"/>
      <c r="H410" s="9"/>
      <c r="I410" s="8"/>
      <c r="J410" s="8"/>
      <c r="K410" s="8"/>
      <c r="L410" s="8"/>
      <c r="M410" s="2"/>
      <c r="N410" s="2"/>
      <c r="O410" s="8"/>
      <c r="P410" s="8"/>
      <c r="Q410" s="8"/>
      <c r="R410" s="8"/>
    </row>
    <row x14ac:dyDescent="0.25" r="411" customHeight="1" ht="18.75">
      <c r="A411" s="11">
        <v>0.04912663755458515</v>
      </c>
      <c r="B411" s="8"/>
      <c r="C411" s="2"/>
      <c r="D411" s="2"/>
      <c r="E411" s="9"/>
      <c r="F411" s="8"/>
      <c r="G411" s="9"/>
      <c r="H411" s="9"/>
      <c r="I411" s="8"/>
      <c r="J411" s="8"/>
      <c r="K411" s="8"/>
      <c r="L411" s="8"/>
      <c r="M411" s="2"/>
      <c r="N411" s="2"/>
      <c r="O411" s="8"/>
      <c r="P411" s="8"/>
      <c r="Q411" s="8"/>
      <c r="R411" s="8"/>
    </row>
    <row x14ac:dyDescent="0.25" r="412" customHeight="1" ht="18.75">
      <c r="A412" s="11">
        <v>0.047895500725689405</v>
      </c>
      <c r="B412" s="8"/>
      <c r="C412" s="2"/>
      <c r="D412" s="2"/>
      <c r="E412" s="9"/>
      <c r="F412" s="8"/>
      <c r="G412" s="9"/>
      <c r="H412" s="9"/>
      <c r="I412" s="8"/>
      <c r="J412" s="8"/>
      <c r="K412" s="8"/>
      <c r="L412" s="8"/>
      <c r="M412" s="2"/>
      <c r="N412" s="2"/>
      <c r="O412" s="8"/>
      <c r="P412" s="8"/>
      <c r="Q412" s="8"/>
      <c r="R412" s="8"/>
    </row>
    <row x14ac:dyDescent="0.25" r="413" customHeight="1" ht="18.75">
      <c r="A413" s="11">
        <v>0.04792332268370607</v>
      </c>
      <c r="B413" s="8"/>
      <c r="C413" s="2"/>
      <c r="D413" s="2"/>
      <c r="E413" s="9"/>
      <c r="F413" s="8"/>
      <c r="G413" s="9"/>
      <c r="H413" s="9"/>
      <c r="I413" s="8"/>
      <c r="J413" s="8"/>
      <c r="K413" s="8"/>
      <c r="L413" s="8"/>
      <c r="M413" s="2"/>
      <c r="N413" s="2"/>
      <c r="O413" s="8"/>
      <c r="P413" s="8"/>
      <c r="Q413" s="8"/>
      <c r="R413" s="8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Q413"/>
  <sheetViews>
    <sheetView workbookViewId="0"/>
  </sheetViews>
  <sheetFormatPr defaultRowHeight="15" x14ac:dyDescent="0.25"/>
  <cols>
    <col min="1" max="1" style="14" width="13.576428571428572" customWidth="1" bestFit="1"/>
    <col min="2" max="2" style="16" width="12.862142857142858" customWidth="1" bestFit="1"/>
    <col min="3" max="3" style="5" width="13.576428571428572" customWidth="1" bestFit="1"/>
    <col min="4" max="4" style="5" width="13.576428571428572" customWidth="1" bestFit="1"/>
    <col min="5" max="5" style="5" width="13.576428571428572" customWidth="1" bestFit="1"/>
    <col min="6" max="6" style="5" width="13.576428571428572" customWidth="1" bestFit="1"/>
    <col min="7" max="7" style="5" width="13.576428571428572" customWidth="1" bestFit="1"/>
    <col min="8" max="8" style="5" width="13.576428571428572" customWidth="1" bestFit="1"/>
    <col min="9" max="9" style="5" width="13.576428571428572" customWidth="1" bestFit="1"/>
    <col min="10" max="10" style="5" width="13.576428571428572" customWidth="1" bestFit="1"/>
    <col min="11" max="11" style="5" width="13.576428571428572" customWidth="1" bestFit="1"/>
    <col min="12" max="12" style="5" width="13.576428571428572" customWidth="1" bestFit="1"/>
    <col min="13" max="13" style="5" width="13.576428571428572" customWidth="1" bestFit="1"/>
    <col min="14" max="14" style="5" width="13.576428571428572" customWidth="1" bestFit="1"/>
    <col min="15" max="15" style="5" width="13.576428571428572" customWidth="1" bestFit="1"/>
    <col min="16" max="16" style="15" width="19.290714285714284" customWidth="1" bestFit="1"/>
    <col min="17" max="17" style="5" width="58.57642857142857" customWidth="1" bestFit="1"/>
  </cols>
  <sheetData>
    <row x14ac:dyDescent="0.25" r="1" customHeight="1" ht="18.75" customFormat="1" s="17">
      <c r="A1" s="21" t="s">
        <v>33</v>
      </c>
      <c r="B1" s="20" t="s">
        <v>35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41" t="s">
        <v>441</v>
      </c>
      <c r="Q1" s="18" t="s">
        <v>442</v>
      </c>
    </row>
    <row x14ac:dyDescent="0.25" r="2" customHeight="1" ht="18.75">
      <c r="A2" s="3">
        <v>26</v>
      </c>
      <c r="B2" s="3">
        <v>121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11">
        <f>CORREL(A2:A399,B2:B399)</f>
      </c>
      <c r="Q2" s="2" t="s">
        <v>443</v>
      </c>
    </row>
    <row x14ac:dyDescent="0.25" r="3" customHeight="1" ht="18.75">
      <c r="A3" s="3">
        <v>25</v>
      </c>
      <c r="B3" s="3">
        <v>104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8"/>
      <c r="Q3" s="2" t="s">
        <v>444</v>
      </c>
    </row>
    <row x14ac:dyDescent="0.25" r="4" customHeight="1" ht="18.75">
      <c r="A4" s="3">
        <v>24</v>
      </c>
      <c r="B4" s="3">
        <v>107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8"/>
      <c r="Q4" s="2" t="s">
        <v>445</v>
      </c>
    </row>
    <row x14ac:dyDescent="0.25" r="5" customHeight="1" ht="18.75">
      <c r="A5" s="3">
        <v>25</v>
      </c>
      <c r="B5" s="3">
        <v>110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8"/>
      <c r="Q5" s="2"/>
    </row>
    <row x14ac:dyDescent="0.25" r="6" customHeight="1" ht="18.75">
      <c r="A6" s="3">
        <v>26</v>
      </c>
      <c r="B6" s="3">
        <v>97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8"/>
      <c r="Q6" s="2"/>
    </row>
    <row x14ac:dyDescent="0.25" r="7" customHeight="1" ht="18.75">
      <c r="A7" s="3">
        <v>28</v>
      </c>
      <c r="B7" s="3">
        <v>116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8"/>
      <c r="Q7" s="2"/>
    </row>
    <row x14ac:dyDescent="0.25" r="8" customHeight="1" ht="18.75">
      <c r="A8" s="3">
        <v>30</v>
      </c>
      <c r="B8" s="3">
        <v>88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8"/>
      <c r="Q8" s="2"/>
    </row>
    <row x14ac:dyDescent="0.25" r="9" customHeight="1" ht="18.75">
      <c r="A9" s="3">
        <v>30</v>
      </c>
      <c r="B9" s="3">
        <v>79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8"/>
      <c r="Q9" s="2"/>
    </row>
    <row x14ac:dyDescent="0.25" r="10" customHeight="1" ht="18.75">
      <c r="A10" s="3">
        <v>27</v>
      </c>
      <c r="B10" s="3">
        <v>97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8"/>
      <c r="Q10" s="2"/>
    </row>
    <row x14ac:dyDescent="0.25" r="11" customHeight="1" ht="18.75">
      <c r="A11" s="3">
        <v>18</v>
      </c>
      <c r="B11" s="3">
        <v>121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8"/>
      <c r="Q11" s="2"/>
    </row>
    <row x14ac:dyDescent="0.25" r="12" customHeight="1" ht="18.75">
      <c r="A12" s="3">
        <v>26</v>
      </c>
      <c r="B12" s="3">
        <v>96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8"/>
      <c r="Q12" s="2"/>
    </row>
    <row x14ac:dyDescent="0.25" r="13" customHeight="1" ht="18.75">
      <c r="A13" s="3">
        <v>22</v>
      </c>
      <c r="B13" s="3">
        <v>121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8"/>
      <c r="Q13" s="2"/>
    </row>
    <row x14ac:dyDescent="0.25" r="14" customHeight="1" ht="18.75">
      <c r="A14" s="3">
        <v>21</v>
      </c>
      <c r="B14" s="3">
        <v>120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8"/>
      <c r="Q14" s="2"/>
    </row>
    <row x14ac:dyDescent="0.25" r="15" customHeight="1" ht="18.75">
      <c r="A15" s="3">
        <v>23</v>
      </c>
      <c r="B15" s="3">
        <v>97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8"/>
      <c r="Q15" s="2"/>
    </row>
    <row x14ac:dyDescent="0.25" r="16" customHeight="1" ht="18.75">
      <c r="A16" s="3">
        <v>24</v>
      </c>
      <c r="B16" s="3">
        <v>121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8"/>
      <c r="Q16" s="2"/>
    </row>
    <row x14ac:dyDescent="0.25" r="17" customHeight="1" ht="18.75">
      <c r="A17" s="3">
        <v>26</v>
      </c>
      <c r="B17" s="3">
        <v>98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8"/>
      <c r="Q17" s="2"/>
    </row>
    <row x14ac:dyDescent="0.25" r="18" customHeight="1" ht="18.75">
      <c r="A18" s="3">
        <v>19</v>
      </c>
      <c r="B18" s="3">
        <v>121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8"/>
      <c r="Q18" s="2"/>
    </row>
    <row x14ac:dyDescent="0.25" r="19" customHeight="1" ht="18.75">
      <c r="A19" s="3">
        <v>20</v>
      </c>
      <c r="B19" s="3">
        <v>114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8"/>
      <c r="Q19" s="2"/>
    </row>
    <row x14ac:dyDescent="0.25" r="20" customHeight="1" ht="18.75">
      <c r="A20" s="3">
        <v>24</v>
      </c>
      <c r="B20" s="3">
        <v>116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8"/>
      <c r="Q20" s="2"/>
    </row>
    <row x14ac:dyDescent="0.25" r="21" customHeight="1" ht="18.75">
      <c r="A21" s="3">
        <v>29</v>
      </c>
      <c r="B21" s="3">
        <v>68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8"/>
      <c r="Q21" s="2"/>
    </row>
    <row x14ac:dyDescent="0.25" r="22" customHeight="1" ht="18.75">
      <c r="A22" s="3">
        <v>26</v>
      </c>
      <c r="B22" s="3">
        <v>97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8"/>
      <c r="Q22" s="2"/>
    </row>
    <row x14ac:dyDescent="0.25" r="23" customHeight="1" ht="18.75">
      <c r="A23" s="3">
        <v>29</v>
      </c>
      <c r="B23" s="3">
        <v>98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8"/>
      <c r="Q23" s="2"/>
    </row>
    <row x14ac:dyDescent="0.25" r="24" customHeight="1" ht="18.75">
      <c r="A24" s="3">
        <v>24</v>
      </c>
      <c r="B24" s="3">
        <v>90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8"/>
      <c r="Q24" s="2"/>
    </row>
    <row x14ac:dyDescent="0.25" r="25" customHeight="1" ht="18.75">
      <c r="A25" s="3">
        <v>26</v>
      </c>
      <c r="B25" s="3">
        <v>79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8"/>
      <c r="Q25" s="2"/>
    </row>
    <row x14ac:dyDescent="0.25" r="26" customHeight="1" ht="18.75">
      <c r="A26" s="3">
        <v>26</v>
      </c>
      <c r="B26" s="3">
        <v>97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8"/>
      <c r="Q26" s="2"/>
    </row>
    <row x14ac:dyDescent="0.25" r="27" customHeight="1" ht="18.75">
      <c r="A27" s="3">
        <v>31</v>
      </c>
      <c r="B27" s="3">
        <v>79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8"/>
      <c r="Q27" s="2"/>
    </row>
    <row x14ac:dyDescent="0.25" r="28" customHeight="1" ht="18.75">
      <c r="A28" s="3">
        <v>26</v>
      </c>
      <c r="B28" s="3">
        <v>116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8"/>
      <c r="Q28" s="2"/>
    </row>
    <row x14ac:dyDescent="0.25" r="29" customHeight="1" ht="18.75">
      <c r="A29" s="3">
        <v>25</v>
      </c>
      <c r="B29" s="3">
        <v>121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8"/>
      <c r="Q29" s="2"/>
    </row>
    <row x14ac:dyDescent="0.25" r="30" customHeight="1" ht="18.75">
      <c r="A30" s="3">
        <v>29</v>
      </c>
      <c r="B30" s="3">
        <v>90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8"/>
      <c r="Q30" s="2"/>
    </row>
    <row x14ac:dyDescent="0.25" r="31" customHeight="1" ht="18.75">
      <c r="A31" s="3">
        <v>23</v>
      </c>
      <c r="B31" s="3">
        <v>115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8"/>
      <c r="Q31" s="2"/>
    </row>
    <row x14ac:dyDescent="0.25" r="32" customHeight="1" ht="18.75">
      <c r="A32" s="3">
        <v>22</v>
      </c>
      <c r="B32" s="3">
        <v>121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8"/>
      <c r="Q32" s="2"/>
    </row>
    <row x14ac:dyDescent="0.25" r="33" customHeight="1" ht="18.75">
      <c r="A33" s="3">
        <v>25</v>
      </c>
      <c r="B33" s="3">
        <v>90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8"/>
      <c r="Q33" s="2"/>
    </row>
    <row x14ac:dyDescent="0.25" r="34" customHeight="1" ht="18.75">
      <c r="A34" s="3">
        <v>23</v>
      </c>
      <c r="B34" s="3">
        <v>120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8"/>
      <c r="Q34" s="2"/>
    </row>
    <row x14ac:dyDescent="0.25" r="35" customHeight="1" ht="18.75">
      <c r="A35" s="11">
        <v>29.5</v>
      </c>
      <c r="B35" s="3">
        <v>97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8"/>
      <c r="Q35" s="2"/>
    </row>
    <row x14ac:dyDescent="0.25" r="36" customHeight="1" ht="18.75">
      <c r="A36" s="3">
        <v>27</v>
      </c>
      <c r="B36" s="3">
        <v>101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8"/>
      <c r="Q36" s="2"/>
    </row>
    <row x14ac:dyDescent="0.25" r="37" customHeight="1" ht="18.75">
      <c r="A37" s="3">
        <v>25</v>
      </c>
      <c r="B37" s="3">
        <v>116</v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8"/>
      <c r="Q37" s="2"/>
    </row>
    <row x14ac:dyDescent="0.25" r="38" customHeight="1" ht="18.75">
      <c r="A38" s="3">
        <v>29</v>
      </c>
      <c r="B38" s="3">
        <v>90</v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8"/>
      <c r="Q38" s="2"/>
    </row>
    <row x14ac:dyDescent="0.25" r="39" customHeight="1" ht="18.75">
      <c r="A39" s="3">
        <v>28</v>
      </c>
      <c r="B39" s="3">
        <v>107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8"/>
      <c r="Q39" s="2"/>
    </row>
    <row x14ac:dyDescent="0.25" r="40" customHeight="1" ht="18.75">
      <c r="A40" s="3">
        <v>20</v>
      </c>
      <c r="B40" s="3">
        <v>130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8"/>
      <c r="Q40" s="2"/>
    </row>
    <row x14ac:dyDescent="0.25" r="41" customHeight="1" ht="18.75">
      <c r="A41" s="3">
        <v>19</v>
      </c>
      <c r="B41" s="3">
        <v>120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8"/>
      <c r="Q41" s="2"/>
    </row>
    <row x14ac:dyDescent="0.25" r="42" customHeight="1" ht="18.75">
      <c r="A42" s="11">
        <v>16.5</v>
      </c>
      <c r="B42" s="3">
        <v>168</v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8"/>
      <c r="Q42" s="2"/>
    </row>
    <row x14ac:dyDescent="0.25" r="43" customHeight="1" ht="18.75">
      <c r="A43" s="11">
        <v>21.5</v>
      </c>
      <c r="B43" s="3">
        <v>121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8"/>
      <c r="Q43" s="2"/>
    </row>
    <row x14ac:dyDescent="0.25" r="44" customHeight="1" ht="18.75">
      <c r="A44" s="3">
        <v>29</v>
      </c>
      <c r="B44" s="3">
        <v>97</v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8"/>
      <c r="Q44" s="2"/>
    </row>
    <row x14ac:dyDescent="0.25" r="45" customHeight="1" ht="18.75">
      <c r="A45" s="11">
        <v>30.5</v>
      </c>
      <c r="B45" s="3">
        <v>97</v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8"/>
      <c r="Q45" s="2"/>
    </row>
    <row x14ac:dyDescent="0.25" r="46" customHeight="1" ht="18.75">
      <c r="A46" s="3">
        <v>36</v>
      </c>
      <c r="B46" s="3">
        <v>79</v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8"/>
      <c r="Q46" s="2"/>
    </row>
    <row x14ac:dyDescent="0.25" r="47" customHeight="1" ht="18.75">
      <c r="A47" s="11">
        <v>21.6</v>
      </c>
      <c r="B47" s="3">
        <v>121</v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8"/>
      <c r="Q47" s="2"/>
    </row>
    <row x14ac:dyDescent="0.25" r="48" customHeight="1" ht="18.75">
      <c r="A48" s="11">
        <v>31.5</v>
      </c>
      <c r="B48" s="3">
        <v>89</v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8"/>
      <c r="Q48" s="2"/>
    </row>
    <row x14ac:dyDescent="0.25" r="49" customHeight="1" ht="18.75">
      <c r="A49" s="11">
        <v>43.1</v>
      </c>
      <c r="B49" s="3">
        <v>90</v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8"/>
      <c r="Q49" s="2"/>
    </row>
    <row x14ac:dyDescent="0.25" r="50" customHeight="1" ht="18.75">
      <c r="A50" s="11">
        <v>20.3</v>
      </c>
      <c r="B50" s="3">
        <v>131</v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8"/>
      <c r="Q50" s="2"/>
    </row>
    <row x14ac:dyDescent="0.25" r="51" customHeight="1" ht="18.75">
      <c r="A51" s="3">
        <v>17</v>
      </c>
      <c r="B51" s="3">
        <v>163</v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8"/>
      <c r="Q51" s="2"/>
    </row>
    <row x14ac:dyDescent="0.25" r="52" customHeight="1" ht="18.75">
      <c r="A52" s="11">
        <v>16.2</v>
      </c>
      <c r="B52" s="3">
        <v>163</v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8"/>
      <c r="Q52" s="2"/>
    </row>
    <row x14ac:dyDescent="0.25" r="53" customHeight="1" ht="18.75">
      <c r="A53" s="11">
        <v>31.9</v>
      </c>
      <c r="B53" s="3">
        <v>89</v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8"/>
      <c r="Q53" s="2"/>
    </row>
    <row x14ac:dyDescent="0.25" r="54" customHeight="1" ht="18.75">
      <c r="A54" s="11">
        <v>37.3</v>
      </c>
      <c r="B54" s="3">
        <v>91</v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8"/>
      <c r="Q54" s="2"/>
    </row>
    <row x14ac:dyDescent="0.25" r="55" customHeight="1" ht="18.75">
      <c r="A55" s="11">
        <v>27.2</v>
      </c>
      <c r="B55" s="3">
        <v>141</v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8"/>
      <c r="Q55" s="2"/>
    </row>
    <row x14ac:dyDescent="0.25" r="56" customHeight="1" ht="18.75">
      <c r="A56" s="11">
        <v>25.4</v>
      </c>
      <c r="B56" s="3">
        <v>183</v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8"/>
      <c r="Q56" s="2"/>
    </row>
    <row x14ac:dyDescent="0.25" r="57" customHeight="1" ht="18.75">
      <c r="A57" s="11">
        <v>34.3</v>
      </c>
      <c r="B57" s="3">
        <v>97</v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8"/>
      <c r="Q57" s="2"/>
    </row>
    <row x14ac:dyDescent="0.25" r="58" customHeight="1" ht="18.75">
      <c r="A58" s="11">
        <v>41.5</v>
      </c>
      <c r="B58" s="3">
        <v>98</v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8"/>
      <c r="Q58" s="2"/>
    </row>
    <row x14ac:dyDescent="0.25" r="59" customHeight="1" ht="18.75">
      <c r="A59" s="3">
        <v>35</v>
      </c>
      <c r="B59" s="3">
        <v>122</v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8"/>
      <c r="Q59" s="2"/>
    </row>
    <row x14ac:dyDescent="0.25" r="60" customHeight="1" ht="18.75">
      <c r="A60" s="11">
        <v>29.8</v>
      </c>
      <c r="B60" s="3">
        <v>89</v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8"/>
      <c r="Q60" s="2"/>
    </row>
    <row x14ac:dyDescent="0.25" r="61" customHeight="1" ht="18.75">
      <c r="A61" s="11">
        <v>44.3</v>
      </c>
      <c r="B61" s="3">
        <v>90</v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8"/>
      <c r="Q61" s="2"/>
    </row>
    <row x14ac:dyDescent="0.25" r="62" customHeight="1" ht="18.75">
      <c r="A62" s="3">
        <v>30</v>
      </c>
      <c r="B62" s="3">
        <v>146</v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8"/>
      <c r="Q62" s="2"/>
    </row>
    <row x14ac:dyDescent="0.25" r="63" customHeight="1" ht="18.75">
      <c r="A63" s="11">
        <v>43.4</v>
      </c>
      <c r="B63" s="3">
        <v>90</v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8"/>
      <c r="Q63" s="2"/>
    </row>
    <row x14ac:dyDescent="0.25" r="64" customHeight="1" ht="18.75">
      <c r="A64" s="11">
        <v>40.9</v>
      </c>
      <c r="B64" s="3">
        <v>85</v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8"/>
      <c r="Q64" s="2"/>
    </row>
    <row x14ac:dyDescent="0.25" r="65" customHeight="1" ht="18.75">
      <c r="A65" s="11">
        <v>36.4</v>
      </c>
      <c r="B65" s="3">
        <v>121</v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8"/>
      <c r="Q65" s="2"/>
    </row>
    <row x14ac:dyDescent="0.25" r="66" customHeight="1" ht="18.75">
      <c r="A66" s="3">
        <v>33</v>
      </c>
      <c r="B66" s="3">
        <v>105</v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8"/>
      <c r="Q66" s="2"/>
    </row>
    <row x14ac:dyDescent="0.25" r="67" customHeight="1" ht="18.75">
      <c r="A67" s="11">
        <v>28.1</v>
      </c>
      <c r="B67" s="3">
        <v>141</v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8"/>
      <c r="Q67" s="2"/>
    </row>
    <row x14ac:dyDescent="0.25" r="68" customHeight="1" ht="18.75">
      <c r="A68" s="11">
        <v>34.5</v>
      </c>
      <c r="B68" s="3">
        <v>100</v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8"/>
      <c r="Q68" s="2"/>
    </row>
    <row x14ac:dyDescent="0.25" r="69" customHeight="1" ht="18.75">
      <c r="A69" s="11">
        <v>30.7</v>
      </c>
      <c r="B69" s="3">
        <v>145</v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8"/>
      <c r="Q69" s="2"/>
    </row>
    <row x14ac:dyDescent="0.25" r="70" customHeight="1" ht="18.75">
      <c r="A70" s="3">
        <v>36</v>
      </c>
      <c r="B70" s="3">
        <v>105</v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8"/>
      <c r="Q70" s="2"/>
    </row>
    <row x14ac:dyDescent="0.25" r="71" customHeight="1" ht="18.75">
      <c r="A71" s="3">
        <v>44</v>
      </c>
      <c r="B71" s="3">
        <v>97</v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8"/>
      <c r="Q71" s="2"/>
    </row>
    <row x14ac:dyDescent="0.25" r="72" customHeight="1" ht="18.75">
      <c r="A72" s="3">
        <v>27</v>
      </c>
      <c r="B72" s="3">
        <v>97</v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8"/>
      <c r="Q72" s="2"/>
    </row>
    <row x14ac:dyDescent="0.25" r="73" customHeight="1" ht="18.75">
      <c r="A73" s="3">
        <v>24</v>
      </c>
      <c r="B73" s="3">
        <v>113</v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8"/>
      <c r="Q73" s="2"/>
    </row>
    <row x14ac:dyDescent="0.25" r="74" customHeight="1" ht="18.75">
      <c r="A74" s="3">
        <v>35</v>
      </c>
      <c r="B74" s="3">
        <v>72</v>
      </c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8"/>
      <c r="Q74" s="2"/>
    </row>
    <row x14ac:dyDescent="0.25" r="75" customHeight="1" ht="18.75">
      <c r="A75" s="3">
        <v>25</v>
      </c>
      <c r="B75" s="3">
        <v>113</v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8"/>
      <c r="Q75" s="2"/>
    </row>
    <row x14ac:dyDescent="0.25" r="76" customHeight="1" ht="18.75">
      <c r="A76" s="3">
        <v>27</v>
      </c>
      <c r="B76" s="3">
        <v>97</v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8"/>
      <c r="Q76" s="2"/>
    </row>
    <row x14ac:dyDescent="0.25" r="77" customHeight="1" ht="18.75">
      <c r="A77" s="3">
        <v>31</v>
      </c>
      <c r="B77" s="3">
        <v>71</v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8"/>
      <c r="Q77" s="2"/>
    </row>
    <row x14ac:dyDescent="0.25" r="78" customHeight="1" ht="18.75">
      <c r="A78" s="3">
        <v>19</v>
      </c>
      <c r="B78" s="3">
        <v>70</v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8"/>
      <c r="Q78" s="2"/>
    </row>
    <row x14ac:dyDescent="0.25" r="79" customHeight="1" ht="18.75">
      <c r="A79" s="3">
        <v>27</v>
      </c>
      <c r="B79" s="3">
        <v>97</v>
      </c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8"/>
      <c r="Q79" s="2"/>
    </row>
    <row x14ac:dyDescent="0.25" r="80" customHeight="1" ht="18.75">
      <c r="A80" s="3">
        <v>24</v>
      </c>
      <c r="B80" s="3">
        <v>113</v>
      </c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8"/>
      <c r="Q80" s="2"/>
    </row>
    <row x14ac:dyDescent="0.25" r="81" customHeight="1" ht="18.75">
      <c r="A81" s="3">
        <v>28</v>
      </c>
      <c r="B81" s="3">
        <v>97</v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8"/>
      <c r="Q81" s="2"/>
    </row>
    <row x14ac:dyDescent="0.25" r="82" customHeight="1" ht="18.75">
      <c r="A82" s="3">
        <v>23</v>
      </c>
      <c r="B82" s="3">
        <v>120</v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8"/>
      <c r="Q82" s="2"/>
    </row>
    <row x14ac:dyDescent="0.25" r="83" customHeight="1" ht="18.75">
      <c r="A83" s="3">
        <v>18</v>
      </c>
      <c r="B83" s="3">
        <v>70</v>
      </c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8"/>
      <c r="Q83" s="2"/>
    </row>
    <row x14ac:dyDescent="0.25" r="84" customHeight="1" ht="18.75">
      <c r="A84" s="3">
        <v>22</v>
      </c>
      <c r="B84" s="3">
        <v>108</v>
      </c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8"/>
      <c r="Q84" s="2"/>
    </row>
    <row x14ac:dyDescent="0.25" r="85" customHeight="1" ht="18.75">
      <c r="A85" s="3">
        <v>20</v>
      </c>
      <c r="B85" s="3">
        <v>97</v>
      </c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8"/>
      <c r="Q85" s="2"/>
    </row>
    <row x14ac:dyDescent="0.25" r="86" customHeight="1" ht="18.75">
      <c r="A86" s="3">
        <v>20</v>
      </c>
      <c r="B86" s="3">
        <v>156</v>
      </c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8"/>
      <c r="Q86" s="2"/>
    </row>
    <row x14ac:dyDescent="0.25" r="87" customHeight="1" ht="18.75">
      <c r="A87" s="3">
        <v>24</v>
      </c>
      <c r="B87" s="3">
        <v>120</v>
      </c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8"/>
      <c r="Q87" s="2"/>
    </row>
    <row x14ac:dyDescent="0.25" r="88" customHeight="1" ht="18.75">
      <c r="A88" s="3">
        <v>26</v>
      </c>
      <c r="B88" s="3">
        <v>108</v>
      </c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8"/>
      <c r="Q88" s="2"/>
    </row>
    <row x14ac:dyDescent="0.25" r="89" customHeight="1" ht="18.75">
      <c r="A89" s="3">
        <v>32</v>
      </c>
      <c r="B89" s="3">
        <v>71</v>
      </c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8"/>
      <c r="Q89" s="2"/>
    </row>
    <row x14ac:dyDescent="0.25" r="90" customHeight="1" ht="18.75">
      <c r="A90" s="3">
        <v>31</v>
      </c>
      <c r="B90" s="3">
        <v>79</v>
      </c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8"/>
      <c r="Q90" s="2"/>
    </row>
    <row x14ac:dyDescent="0.25" r="91" customHeight="1" ht="18.75">
      <c r="A91" s="3">
        <v>31</v>
      </c>
      <c r="B91" s="3">
        <v>76</v>
      </c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8"/>
      <c r="Q91" s="2"/>
    </row>
    <row x14ac:dyDescent="0.25" r="92" customHeight="1" ht="18.75">
      <c r="A92" s="3">
        <v>32</v>
      </c>
      <c r="B92" s="3">
        <v>83</v>
      </c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8"/>
      <c r="Q92" s="2"/>
    </row>
    <row x14ac:dyDescent="0.25" r="93" customHeight="1" ht="18.75">
      <c r="A93" s="3">
        <v>24</v>
      </c>
      <c r="B93" s="3">
        <v>119</v>
      </c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8"/>
      <c r="Q93" s="2"/>
    </row>
    <row x14ac:dyDescent="0.25" r="94" customHeight="1" ht="18.75">
      <c r="A94" s="3">
        <v>24</v>
      </c>
      <c r="B94" s="3">
        <v>134</v>
      </c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8"/>
      <c r="Q94" s="2"/>
    </row>
    <row x14ac:dyDescent="0.25" r="95" customHeight="1" ht="18.75">
      <c r="A95" s="3">
        <v>29</v>
      </c>
      <c r="B95" s="3">
        <v>97</v>
      </c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8"/>
      <c r="Q95" s="2"/>
    </row>
    <row x14ac:dyDescent="0.25" r="96" customHeight="1" ht="18.75">
      <c r="A96" s="3">
        <v>33</v>
      </c>
      <c r="B96" s="3">
        <v>91</v>
      </c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8"/>
      <c r="Q96" s="2"/>
    </row>
    <row x14ac:dyDescent="0.25" r="97" customHeight="1" ht="18.75">
      <c r="A97" s="3">
        <v>32</v>
      </c>
      <c r="B97" s="3">
        <v>85</v>
      </c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8"/>
      <c r="Q97" s="2"/>
    </row>
    <row x14ac:dyDescent="0.25" r="98" customHeight="1" ht="18.75">
      <c r="A98" s="3">
        <v>28</v>
      </c>
      <c r="B98" s="3">
        <v>97</v>
      </c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8"/>
      <c r="Q98" s="2"/>
    </row>
    <row x14ac:dyDescent="0.25" r="99" customHeight="1" ht="18.75">
      <c r="A99" s="3">
        <v>33</v>
      </c>
      <c r="B99" s="3">
        <v>91</v>
      </c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8"/>
      <c r="Q99" s="2"/>
    </row>
    <row x14ac:dyDescent="0.25" r="100" customHeight="1" ht="18.75">
      <c r="A100" s="3">
        <v>19</v>
      </c>
      <c r="B100" s="3">
        <v>156</v>
      </c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8"/>
      <c r="Q100" s="2"/>
    </row>
    <row x14ac:dyDescent="0.25" r="101" customHeight="1" ht="18.75">
      <c r="A101" s="11">
        <v>21.5</v>
      </c>
      <c r="B101" s="3">
        <v>80</v>
      </c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8"/>
      <c r="Q101" s="2"/>
    </row>
    <row x14ac:dyDescent="0.25" r="102" customHeight="1" ht="18.75">
      <c r="A102" s="11">
        <v>33.5</v>
      </c>
      <c r="B102" s="3">
        <v>85</v>
      </c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8"/>
      <c r="Q102" s="2"/>
    </row>
    <row x14ac:dyDescent="0.25" r="103" customHeight="1" ht="18.75">
      <c r="A103" s="3">
        <v>30</v>
      </c>
      <c r="B103" s="3">
        <v>97</v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8"/>
      <c r="Q103" s="2"/>
    </row>
    <row x14ac:dyDescent="0.25" r="104" customHeight="1" ht="18.75">
      <c r="A104" s="11">
        <v>31.5</v>
      </c>
      <c r="B104" s="3">
        <v>98</v>
      </c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8"/>
      <c r="Q104" s="2"/>
    </row>
    <row x14ac:dyDescent="0.25" r="105" customHeight="1" ht="18.75">
      <c r="A105" s="3">
        <v>26</v>
      </c>
      <c r="B105" s="3">
        <v>97</v>
      </c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8"/>
      <c r="Q105" s="2"/>
    </row>
    <row x14ac:dyDescent="0.25" r="106" customHeight="1" ht="18.75">
      <c r="A106" s="3">
        <v>22</v>
      </c>
      <c r="B106" s="3">
        <v>146</v>
      </c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8"/>
      <c r="Q106" s="2"/>
    </row>
    <row x14ac:dyDescent="0.25" r="107" customHeight="1" ht="18.75">
      <c r="A107" s="11">
        <v>27.2</v>
      </c>
      <c r="B107" s="3">
        <v>119</v>
      </c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8"/>
      <c r="Q107" s="2"/>
    </row>
    <row x14ac:dyDescent="0.25" r="108" customHeight="1" ht="18.75">
      <c r="A108" s="11">
        <v>23.9</v>
      </c>
      <c r="B108" s="3">
        <v>119</v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8"/>
      <c r="Q108" s="2"/>
    </row>
    <row x14ac:dyDescent="0.25" r="109" customHeight="1" ht="18.75">
      <c r="A109" s="11">
        <v>21.1</v>
      </c>
      <c r="B109" s="3">
        <v>134</v>
      </c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8"/>
      <c r="Q109" s="2"/>
    </row>
    <row x14ac:dyDescent="0.25" r="110" customHeight="1" ht="18.75">
      <c r="A110" s="11">
        <v>27.5</v>
      </c>
      <c r="B110" s="3">
        <v>134</v>
      </c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8"/>
      <c r="Q110" s="2"/>
    </row>
    <row x14ac:dyDescent="0.25" r="111" customHeight="1" ht="18.75">
      <c r="A111" s="11">
        <v>39.4</v>
      </c>
      <c r="B111" s="3">
        <v>85</v>
      </c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8"/>
      <c r="Q111" s="2"/>
    </row>
    <row x14ac:dyDescent="0.25" r="112" customHeight="1" ht="18.75">
      <c r="A112" s="11">
        <v>36.1</v>
      </c>
      <c r="B112" s="3">
        <v>91</v>
      </c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8"/>
      <c r="Q112" s="2"/>
    </row>
    <row x14ac:dyDescent="0.25" r="113" customHeight="1" ht="18.75">
      <c r="A113" s="11">
        <v>29.5</v>
      </c>
      <c r="B113" s="3">
        <v>98</v>
      </c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8"/>
      <c r="Q113" s="2"/>
    </row>
    <row x14ac:dyDescent="0.25" r="114" customHeight="1" ht="18.75">
      <c r="A114" s="11">
        <v>32.8</v>
      </c>
      <c r="B114" s="3">
        <v>78</v>
      </c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8"/>
      <c r="Q114" s="2"/>
    </row>
    <row x14ac:dyDescent="0.25" r="115" customHeight="1" ht="18.75">
      <c r="A115" s="11">
        <v>34.1</v>
      </c>
      <c r="B115" s="3">
        <v>86</v>
      </c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8"/>
      <c r="Q115" s="2"/>
    </row>
    <row x14ac:dyDescent="0.25" r="116" customHeight="1" ht="18.75">
      <c r="A116" s="11">
        <v>31.8</v>
      </c>
      <c r="B116" s="3">
        <v>85</v>
      </c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8"/>
      <c r="Q116" s="2"/>
    </row>
    <row x14ac:dyDescent="0.25" r="117" customHeight="1" ht="18.75">
      <c r="A117" s="11">
        <v>23.7</v>
      </c>
      <c r="B117" s="3">
        <v>70</v>
      </c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8"/>
      <c r="Q117" s="2"/>
    </row>
    <row x14ac:dyDescent="0.25" r="118" customHeight="1" ht="18.75">
      <c r="A118" s="3">
        <v>37</v>
      </c>
      <c r="B118" s="3">
        <v>119</v>
      </c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8"/>
      <c r="Q118" s="2"/>
    </row>
    <row x14ac:dyDescent="0.25" r="119" customHeight="1" ht="18.75">
      <c r="A119" s="11">
        <v>44.6</v>
      </c>
      <c r="B119" s="3">
        <v>91</v>
      </c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8"/>
      <c r="Q119" s="2"/>
    </row>
    <row x14ac:dyDescent="0.25" r="120" customHeight="1" ht="18.75">
      <c r="A120" s="11">
        <v>29.8</v>
      </c>
      <c r="B120" s="3">
        <v>134</v>
      </c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8"/>
      <c r="Q120" s="2"/>
    </row>
    <row x14ac:dyDescent="0.25" r="121" customHeight="1" ht="18.75">
      <c r="A121" s="11">
        <v>32.2</v>
      </c>
      <c r="B121" s="3">
        <v>108</v>
      </c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8"/>
      <c r="Q121" s="2"/>
    </row>
    <row x14ac:dyDescent="0.25" r="122" customHeight="1" ht="18.75">
      <c r="A122" s="11">
        <v>37.2</v>
      </c>
      <c r="B122" s="3">
        <v>86</v>
      </c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8"/>
      <c r="Q122" s="2"/>
    </row>
    <row x14ac:dyDescent="0.25" r="123" customHeight="1" ht="18.75">
      <c r="A123" s="11">
        <v>32.4</v>
      </c>
      <c r="B123" s="3">
        <v>107</v>
      </c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8"/>
      <c r="Q123" s="2"/>
    </row>
    <row x14ac:dyDescent="0.25" r="124" customHeight="1" ht="18.75">
      <c r="A124" s="11">
        <v>33.8</v>
      </c>
      <c r="B124" s="3">
        <v>97</v>
      </c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8"/>
      <c r="Q124" s="2"/>
    </row>
    <row x14ac:dyDescent="0.25" r="125" customHeight="1" ht="18.75">
      <c r="A125" s="11">
        <v>40.8</v>
      </c>
      <c r="B125" s="3">
        <v>85</v>
      </c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8"/>
      <c r="Q125" s="2"/>
    </row>
    <row x14ac:dyDescent="0.25" r="126" customHeight="1" ht="18.75">
      <c r="A126" s="11">
        <v>46.6</v>
      </c>
      <c r="B126" s="3">
        <v>86</v>
      </c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8"/>
      <c r="Q126" s="2"/>
    </row>
    <row x14ac:dyDescent="0.25" r="127" customHeight="1" ht="18.75">
      <c r="A127" s="11">
        <v>38.1</v>
      </c>
      <c r="B127" s="3">
        <v>89</v>
      </c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8"/>
      <c r="Q127" s="2"/>
    </row>
    <row x14ac:dyDescent="0.25" r="128" customHeight="1" ht="18.75">
      <c r="A128" s="11">
        <v>31.3</v>
      </c>
      <c r="B128" s="3">
        <v>120</v>
      </c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8"/>
      <c r="Q128" s="2"/>
    </row>
    <row x14ac:dyDescent="0.25" r="129" customHeight="1" ht="18.75">
      <c r="A129" s="11">
        <v>32.7</v>
      </c>
      <c r="B129" s="3">
        <v>168</v>
      </c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8"/>
      <c r="Q129" s="2"/>
    </row>
    <row x14ac:dyDescent="0.25" r="130" customHeight="1" ht="18.75">
      <c r="A130" s="11">
        <v>32.9</v>
      </c>
      <c r="B130" s="3">
        <v>119</v>
      </c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8"/>
      <c r="Q130" s="2"/>
    </row>
    <row x14ac:dyDescent="0.25" r="131" customHeight="1" ht="18.75">
      <c r="A131" s="11">
        <v>34.1</v>
      </c>
      <c r="B131" s="3">
        <v>91</v>
      </c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8"/>
      <c r="Q131" s="2"/>
    </row>
    <row x14ac:dyDescent="0.25" r="132" customHeight="1" ht="18.75">
      <c r="A132" s="11">
        <v>35.1</v>
      </c>
      <c r="B132" s="3">
        <v>81</v>
      </c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8"/>
      <c r="Q132" s="2"/>
    </row>
    <row x14ac:dyDescent="0.25" r="133" customHeight="1" ht="18.75">
      <c r="A133" s="11">
        <v>33.7</v>
      </c>
      <c r="B133" s="3">
        <v>107</v>
      </c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8"/>
      <c r="Q133" s="2"/>
    </row>
    <row x14ac:dyDescent="0.25" r="134" customHeight="1" ht="18.75">
      <c r="A134" s="11">
        <v>39.1</v>
      </c>
      <c r="B134" s="3">
        <v>79</v>
      </c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8"/>
      <c r="Q134" s="2"/>
    </row>
    <row x14ac:dyDescent="0.25" r="135" customHeight="1" ht="18.75">
      <c r="A135" s="3">
        <v>37</v>
      </c>
      <c r="B135" s="3">
        <v>85</v>
      </c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8"/>
      <c r="Q135" s="2"/>
    </row>
    <row x14ac:dyDescent="0.25" r="136" customHeight="1" ht="18.75">
      <c r="A136" s="11">
        <v>32.3</v>
      </c>
      <c r="B136" s="3">
        <v>97</v>
      </c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8"/>
      <c r="Q136" s="2"/>
    </row>
    <row x14ac:dyDescent="0.25" r="137" customHeight="1" ht="18.75">
      <c r="A137" s="11">
        <v>32.4</v>
      </c>
      <c r="B137" s="3">
        <v>108</v>
      </c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8"/>
      <c r="Q137" s="2"/>
    </row>
    <row x14ac:dyDescent="0.25" r="138" customHeight="1" ht="18.75">
      <c r="A138" s="11">
        <v>37.7</v>
      </c>
      <c r="B138" s="3">
        <v>89</v>
      </c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8"/>
      <c r="Q138" s="2"/>
    </row>
    <row x14ac:dyDescent="0.25" r="139" customHeight="1" ht="18.75">
      <c r="A139" s="11">
        <v>31.6</v>
      </c>
      <c r="B139" s="3">
        <v>120</v>
      </c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8"/>
      <c r="Q139" s="2"/>
    </row>
    <row x14ac:dyDescent="0.25" r="140" customHeight="1" ht="18.75">
      <c r="A140" s="11">
        <v>24.2</v>
      </c>
      <c r="B140" s="3">
        <v>146</v>
      </c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8"/>
      <c r="Q140" s="2"/>
    </row>
    <row x14ac:dyDescent="0.25" r="141" customHeight="1" ht="18.75">
      <c r="A141" s="11">
        <v>25.4</v>
      </c>
      <c r="B141" s="3">
        <v>168</v>
      </c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8"/>
      <c r="Q141" s="2"/>
    </row>
    <row x14ac:dyDescent="0.25" r="142" customHeight="1" ht="18.75">
      <c r="A142" s="3">
        <v>36</v>
      </c>
      <c r="B142" s="3">
        <v>120</v>
      </c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8"/>
      <c r="Q142" s="2"/>
    </row>
    <row x14ac:dyDescent="0.25" r="143" customHeight="1" ht="18.75">
      <c r="A143" s="3">
        <v>32</v>
      </c>
      <c r="B143" s="3">
        <v>144</v>
      </c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8"/>
      <c r="Q143" s="2"/>
    </row>
    <row x14ac:dyDescent="0.25" r="144" customHeight="1" ht="18.75">
      <c r="A144" s="3">
        <v>31</v>
      </c>
      <c r="B144" s="3">
        <v>91</v>
      </c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8"/>
      <c r="Q144" s="2"/>
    </row>
    <row x14ac:dyDescent="0.25" r="145" customHeight="1" ht="18.75">
      <c r="A145" s="3">
        <v>38</v>
      </c>
      <c r="B145" s="3">
        <v>91</v>
      </c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8"/>
      <c r="Q145" s="2"/>
    </row>
    <row x14ac:dyDescent="0.25" r="146" customHeight="1" ht="18.75">
      <c r="A146" s="3">
        <v>32</v>
      </c>
      <c r="B146" s="3">
        <v>91</v>
      </c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8"/>
      <c r="Q146" s="2"/>
    </row>
    <row x14ac:dyDescent="0.25" r="147" customHeight="1" ht="18.75">
      <c r="A147" s="3">
        <v>36</v>
      </c>
      <c r="B147" s="3">
        <v>107</v>
      </c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8"/>
      <c r="Q147" s="2"/>
    </row>
    <row x14ac:dyDescent="0.25" r="148" customHeight="1" ht="18.75">
      <c r="A148" s="3">
        <v>38</v>
      </c>
      <c r="B148" s="3">
        <v>91</v>
      </c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8"/>
      <c r="Q148" s="2"/>
    </row>
    <row x14ac:dyDescent="0.25" r="149" customHeight="1" ht="18.75">
      <c r="A149" s="3">
        <v>37</v>
      </c>
      <c r="B149" s="3">
        <v>91</v>
      </c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8"/>
      <c r="Q149" s="2"/>
    </row>
    <row x14ac:dyDescent="0.25" r="150" customHeight="1" ht="18.75">
      <c r="A150" s="3">
        <v>34</v>
      </c>
      <c r="B150" s="3">
        <v>108</v>
      </c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8"/>
      <c r="Q150" s="2"/>
    </row>
    <row x14ac:dyDescent="0.25" r="151" customHeight="1" ht="18.75">
      <c r="A151" s="3">
        <v>18</v>
      </c>
      <c r="B151" s="3">
        <v>199</v>
      </c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8"/>
      <c r="Q151" s="2"/>
    </row>
    <row x14ac:dyDescent="0.25" r="152" customHeight="1" ht="18.75">
      <c r="A152" s="3">
        <v>21</v>
      </c>
      <c r="B152" s="3">
        <v>199</v>
      </c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8"/>
      <c r="Q152" s="2"/>
    </row>
    <row x14ac:dyDescent="0.25" r="153" customHeight="1" ht="18.75">
      <c r="A153" s="3">
        <v>22</v>
      </c>
      <c r="B153" s="3">
        <v>198</v>
      </c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8"/>
      <c r="Q153" s="2"/>
    </row>
    <row x14ac:dyDescent="0.25" r="154" customHeight="1" ht="18.75">
      <c r="A154" s="3">
        <v>21</v>
      </c>
      <c r="B154" s="3">
        <v>200</v>
      </c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8"/>
      <c r="Q154" s="2"/>
    </row>
    <row x14ac:dyDescent="0.25" r="155" customHeight="1" ht="18.75">
      <c r="A155" s="3">
        <v>14</v>
      </c>
      <c r="B155" s="3">
        <v>455</v>
      </c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8"/>
      <c r="Q155" s="2"/>
    </row>
    <row x14ac:dyDescent="0.25" r="156" customHeight="1" ht="18.75">
      <c r="A156" s="3">
        <v>14</v>
      </c>
      <c r="B156" s="3">
        <v>455</v>
      </c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8"/>
      <c r="Q156" s="2"/>
    </row>
    <row x14ac:dyDescent="0.25" r="157" customHeight="1" ht="18.75">
      <c r="A157" s="3">
        <v>14</v>
      </c>
      <c r="B157" s="3">
        <v>454</v>
      </c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8"/>
      <c r="Q157" s="2"/>
    </row>
    <row x14ac:dyDescent="0.25" r="158" customHeight="1" ht="18.75">
      <c r="A158" s="3">
        <v>14</v>
      </c>
      <c r="B158" s="3">
        <v>440</v>
      </c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8"/>
      <c r="Q158" s="2"/>
    </row>
    <row x14ac:dyDescent="0.25" r="159" customHeight="1" ht="18.75">
      <c r="A159" s="3">
        <v>15</v>
      </c>
      <c r="B159" s="3">
        <v>390</v>
      </c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8"/>
      <c r="Q159" s="2"/>
    </row>
    <row x14ac:dyDescent="0.25" r="160" customHeight="1" ht="18.75">
      <c r="A160" s="3">
        <v>11</v>
      </c>
      <c r="B160" s="3">
        <v>318</v>
      </c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8"/>
      <c r="Q160" s="2"/>
    </row>
    <row x14ac:dyDescent="0.25" r="161" customHeight="1" ht="18.75">
      <c r="A161" s="3">
        <v>15</v>
      </c>
      <c r="B161" s="3">
        <v>383</v>
      </c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8"/>
      <c r="Q161" s="2"/>
    </row>
    <row x14ac:dyDescent="0.25" r="162" customHeight="1" ht="18.75">
      <c r="A162" s="3">
        <v>10</v>
      </c>
      <c r="B162" s="3">
        <v>360</v>
      </c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8"/>
      <c r="Q162" s="2"/>
    </row>
    <row x14ac:dyDescent="0.25" r="163" customHeight="1" ht="18.75">
      <c r="A163" s="3">
        <v>10</v>
      </c>
      <c r="B163" s="3">
        <v>307</v>
      </c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8"/>
      <c r="Q163" s="2"/>
    </row>
    <row x14ac:dyDescent="0.25" r="164" customHeight="1" ht="18.75">
      <c r="A164" s="3">
        <v>15</v>
      </c>
      <c r="B164" s="3">
        <v>429</v>
      </c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8"/>
      <c r="Q164" s="2"/>
    </row>
    <row x14ac:dyDescent="0.25" r="165" customHeight="1" ht="18.75">
      <c r="A165" s="3">
        <v>15</v>
      </c>
      <c r="B165" s="3">
        <v>350</v>
      </c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8"/>
      <c r="Q165" s="2"/>
    </row>
    <row x14ac:dyDescent="0.25" r="166" customHeight="1" ht="18.75">
      <c r="A166" s="3">
        <v>14</v>
      </c>
      <c r="B166" s="3">
        <v>340</v>
      </c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8"/>
      <c r="Q166" s="2"/>
    </row>
    <row x14ac:dyDescent="0.25" r="167" customHeight="1" ht="18.75">
      <c r="A167" s="3">
        <v>16</v>
      </c>
      <c r="B167" s="3">
        <v>304</v>
      </c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8"/>
      <c r="Q167" s="2"/>
    </row>
    <row x14ac:dyDescent="0.25" r="168" customHeight="1" ht="18.75">
      <c r="A168" s="3">
        <v>18</v>
      </c>
      <c r="B168" s="3">
        <v>318</v>
      </c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8"/>
      <c r="Q168" s="2"/>
    </row>
    <row x14ac:dyDescent="0.25" r="169" customHeight="1" ht="18.75">
      <c r="A169" s="3">
        <v>9</v>
      </c>
      <c r="B169" s="3">
        <v>304</v>
      </c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8"/>
      <c r="Q169" s="2"/>
    </row>
    <row x14ac:dyDescent="0.25" r="170" customHeight="1" ht="18.75">
      <c r="A170" s="3">
        <v>17</v>
      </c>
      <c r="B170" s="3">
        <v>302</v>
      </c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8"/>
      <c r="Q170" s="2"/>
    </row>
    <row x14ac:dyDescent="0.25" r="171" customHeight="1" ht="18.75">
      <c r="A171" s="3">
        <v>15</v>
      </c>
      <c r="B171" s="3">
        <v>400</v>
      </c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8"/>
      <c r="Q171" s="2"/>
    </row>
    <row x14ac:dyDescent="0.25" r="172" customHeight="1" ht="18.75">
      <c r="A172" s="3">
        <v>18</v>
      </c>
      <c r="B172" s="3">
        <v>307</v>
      </c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8"/>
      <c r="Q172" s="2"/>
    </row>
    <row x14ac:dyDescent="0.25" r="173" customHeight="1" ht="18.75">
      <c r="A173" s="3">
        <v>28</v>
      </c>
      <c r="B173" s="3">
        <v>140</v>
      </c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8"/>
      <c r="Q173" s="2"/>
    </row>
    <row x14ac:dyDescent="0.25" r="174" customHeight="1" ht="18.75">
      <c r="A174" s="3">
        <v>23</v>
      </c>
      <c r="B174" s="3">
        <v>122</v>
      </c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8"/>
      <c r="Q174" s="2"/>
    </row>
    <row x14ac:dyDescent="0.25" r="175" customHeight="1" ht="18.75">
      <c r="A175" s="3">
        <v>26</v>
      </c>
      <c r="B175" s="3">
        <v>91</v>
      </c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8"/>
      <c r="Q175" s="2"/>
    </row>
    <row x14ac:dyDescent="0.25" r="176" customHeight="1" ht="18.75">
      <c r="A176" s="3">
        <v>22</v>
      </c>
      <c r="B176" s="3">
        <v>140</v>
      </c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8"/>
      <c r="Q176" s="2"/>
    </row>
    <row x14ac:dyDescent="0.25" r="177" customHeight="1" ht="18.75">
      <c r="A177" s="3">
        <v>25</v>
      </c>
      <c r="B177" s="3">
        <v>98</v>
      </c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8"/>
      <c r="Q177" s="2"/>
    </row>
    <row x14ac:dyDescent="0.25" r="178" customHeight="1" ht="18.75">
      <c r="A178" s="3">
        <v>19</v>
      </c>
      <c r="B178" s="3">
        <v>232</v>
      </c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8"/>
      <c r="Q178" s="2"/>
    </row>
    <row x14ac:dyDescent="0.25" r="179" customHeight="1" ht="18.75">
      <c r="A179" s="3">
        <v>18</v>
      </c>
      <c r="B179" s="3">
        <v>258</v>
      </c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8"/>
      <c r="Q179" s="2"/>
    </row>
    <row x14ac:dyDescent="0.25" r="180" customHeight="1" ht="18.75">
      <c r="A180" s="3">
        <v>16</v>
      </c>
      <c r="B180" s="3">
        <v>225</v>
      </c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8"/>
      <c r="Q180" s="2"/>
    </row>
    <row x14ac:dyDescent="0.25" r="181" customHeight="1" ht="18.75">
      <c r="A181" s="3">
        <v>19</v>
      </c>
      <c r="B181" s="3">
        <v>250</v>
      </c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8"/>
      <c r="Q181" s="2"/>
    </row>
    <row x14ac:dyDescent="0.25" r="182" customHeight="1" ht="18.75">
      <c r="A182" s="3">
        <v>18</v>
      </c>
      <c r="B182" s="3">
        <v>232</v>
      </c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8"/>
      <c r="Q182" s="2"/>
    </row>
    <row x14ac:dyDescent="0.25" r="183" customHeight="1" ht="18.75">
      <c r="A183" s="3">
        <v>17</v>
      </c>
      <c r="B183" s="3">
        <v>250</v>
      </c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8"/>
      <c r="Q183" s="2"/>
    </row>
    <row x14ac:dyDescent="0.25" r="184" customHeight="1" ht="18.75">
      <c r="A184" s="3">
        <v>18</v>
      </c>
      <c r="B184" s="3">
        <v>250</v>
      </c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8"/>
      <c r="Q184" s="2"/>
    </row>
    <row x14ac:dyDescent="0.25" r="185" customHeight="1" ht="18.75">
      <c r="A185" s="3">
        <v>19</v>
      </c>
      <c r="B185" s="3">
        <v>250</v>
      </c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8"/>
      <c r="Q185" s="2"/>
    </row>
    <row x14ac:dyDescent="0.25" r="186" customHeight="1" ht="18.75">
      <c r="A186" s="3">
        <v>14</v>
      </c>
      <c r="B186" s="3">
        <v>350</v>
      </c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8"/>
      <c r="Q186" s="2"/>
    </row>
    <row x14ac:dyDescent="0.25" r="187" customHeight="1" ht="18.75">
      <c r="A187" s="3">
        <v>14</v>
      </c>
      <c r="B187" s="3">
        <v>400</v>
      </c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8"/>
      <c r="Q187" s="2"/>
    </row>
    <row x14ac:dyDescent="0.25" r="188" customHeight="1" ht="18.75">
      <c r="A188" s="3">
        <v>14</v>
      </c>
      <c r="B188" s="3">
        <v>351</v>
      </c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8"/>
      <c r="Q188" s="2"/>
    </row>
    <row x14ac:dyDescent="0.25" r="189" customHeight="1" ht="18.75">
      <c r="A189" s="3">
        <v>14</v>
      </c>
      <c r="B189" s="3">
        <v>318</v>
      </c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8"/>
      <c r="Q189" s="2"/>
    </row>
    <row x14ac:dyDescent="0.25" r="190" customHeight="1" ht="18.75">
      <c r="A190" s="3">
        <v>12</v>
      </c>
      <c r="B190" s="3">
        <v>383</v>
      </c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8"/>
      <c r="Q190" s="2"/>
    </row>
    <row x14ac:dyDescent="0.25" r="191" customHeight="1" ht="18.75">
      <c r="A191" s="3">
        <v>13</v>
      </c>
      <c r="B191" s="3">
        <v>400</v>
      </c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8"/>
      <c r="Q191" s="2"/>
    </row>
    <row x14ac:dyDescent="0.25" r="192" customHeight="1" ht="18.75">
      <c r="A192" s="3">
        <v>13</v>
      </c>
      <c r="B192" s="3">
        <v>400</v>
      </c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8"/>
      <c r="Q192" s="2"/>
    </row>
    <row x14ac:dyDescent="0.25" r="193" customHeight="1" ht="18.75">
      <c r="A193" s="3">
        <v>21</v>
      </c>
      <c r="B193" s="3">
        <v>122</v>
      </c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8"/>
      <c r="Q193" s="2"/>
    </row>
    <row x14ac:dyDescent="0.25" r="194" customHeight="1" ht="18.75">
      <c r="A194" s="3">
        <v>25</v>
      </c>
      <c r="B194" s="11">
        <v>97.5</v>
      </c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8"/>
      <c r="Q194" s="2"/>
    </row>
    <row x14ac:dyDescent="0.25" r="195" customHeight="1" ht="18.75">
      <c r="A195" s="3">
        <v>20</v>
      </c>
      <c r="B195" s="3">
        <v>140</v>
      </c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8"/>
      <c r="Q195" s="2"/>
    </row>
    <row x14ac:dyDescent="0.25" r="196" customHeight="1" ht="18.75">
      <c r="A196" s="3">
        <v>28</v>
      </c>
      <c r="B196" s="3">
        <v>98</v>
      </c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8"/>
      <c r="Q196" s="2"/>
    </row>
    <row x14ac:dyDescent="0.25" r="197" customHeight="1" ht="18.75">
      <c r="A197" s="3">
        <v>22</v>
      </c>
      <c r="B197" s="3">
        <v>122</v>
      </c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8"/>
      <c r="Q197" s="2"/>
    </row>
    <row x14ac:dyDescent="0.25" r="198" customHeight="1" ht="18.75">
      <c r="A198" s="3">
        <v>11</v>
      </c>
      <c r="B198" s="3">
        <v>429</v>
      </c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8"/>
      <c r="Q198" s="2"/>
    </row>
    <row x14ac:dyDescent="0.25" r="199" customHeight="1" ht="18.75">
      <c r="A199" s="3">
        <v>13</v>
      </c>
      <c r="B199" s="3">
        <v>400</v>
      </c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8"/>
      <c r="Q199" s="2"/>
    </row>
    <row x14ac:dyDescent="0.25" r="200" customHeight="1" ht="18.75">
      <c r="A200" s="3">
        <v>17</v>
      </c>
      <c r="B200" s="3">
        <v>304</v>
      </c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8"/>
      <c r="Q200" s="2"/>
    </row>
    <row x14ac:dyDescent="0.25" r="201" customHeight="1" ht="18.75">
      <c r="A201" s="3">
        <v>14</v>
      </c>
      <c r="B201" s="3">
        <v>400</v>
      </c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8"/>
      <c r="Q201" s="2"/>
    </row>
    <row x14ac:dyDescent="0.25" r="202" customHeight="1" ht="18.75">
      <c r="A202" s="3">
        <v>13</v>
      </c>
      <c r="B202" s="3">
        <v>350</v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8"/>
      <c r="Q202" s="2"/>
    </row>
    <row x14ac:dyDescent="0.25" r="203" customHeight="1" ht="18.75">
      <c r="A203" s="3">
        <v>15</v>
      </c>
      <c r="B203" s="3">
        <v>304</v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8"/>
      <c r="Q203" s="2"/>
    </row>
    <row x14ac:dyDescent="0.25" r="204" customHeight="1" ht="18.75">
      <c r="A204" s="3">
        <v>14</v>
      </c>
      <c r="B204" s="3">
        <v>351</v>
      </c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8"/>
      <c r="Q204" s="2"/>
    </row>
    <row x14ac:dyDescent="0.25" r="205" customHeight="1" ht="18.75">
      <c r="A205" s="3">
        <v>14</v>
      </c>
      <c r="B205" s="3">
        <v>318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8"/>
      <c r="Q205" s="2"/>
    </row>
    <row x14ac:dyDescent="0.25" r="206" customHeight="1" ht="18.75">
      <c r="A206" s="3">
        <v>15</v>
      </c>
      <c r="B206" s="3">
        <v>318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8"/>
      <c r="Q206" s="2"/>
    </row>
    <row x14ac:dyDescent="0.25" r="207" customHeight="1" ht="18.75">
      <c r="A207" s="3">
        <v>12</v>
      </c>
      <c r="B207" s="3">
        <v>350</v>
      </c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8"/>
      <c r="Q207" s="2"/>
    </row>
    <row x14ac:dyDescent="0.25" r="208" customHeight="1" ht="18.75">
      <c r="A208" s="3">
        <v>13</v>
      </c>
      <c r="B208" s="3">
        <v>350</v>
      </c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8"/>
      <c r="Q208" s="2"/>
    </row>
    <row x14ac:dyDescent="0.25" r="209" customHeight="1" ht="18.75">
      <c r="A209" s="3">
        <v>13</v>
      </c>
      <c r="B209" s="3">
        <v>302</v>
      </c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8"/>
      <c r="Q209" s="2"/>
    </row>
    <row x14ac:dyDescent="0.25" r="210" customHeight="1" ht="18.75">
      <c r="A210" s="3">
        <v>13</v>
      </c>
      <c r="B210" s="3">
        <v>307</v>
      </c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8"/>
      <c r="Q210" s="2"/>
    </row>
    <row x14ac:dyDescent="0.25" r="211" customHeight="1" ht="18.75">
      <c r="A211" s="3">
        <v>19</v>
      </c>
      <c r="B211" s="3">
        <v>122</v>
      </c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8"/>
      <c r="Q211" s="2"/>
    </row>
    <row x14ac:dyDescent="0.25" r="212" customHeight="1" ht="18.75">
      <c r="A212" s="3">
        <v>21</v>
      </c>
      <c r="B212" s="3">
        <v>140</v>
      </c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8"/>
      <c r="Q212" s="2"/>
    </row>
    <row x14ac:dyDescent="0.25" r="213" customHeight="1" ht="18.75">
      <c r="A213" s="3">
        <v>21</v>
      </c>
      <c r="B213" s="3">
        <v>155</v>
      </c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8"/>
      <c r="Q213" s="2"/>
    </row>
    <row x14ac:dyDescent="0.25" r="214" customHeight="1" ht="18.75">
      <c r="A214" s="3">
        <v>18</v>
      </c>
      <c r="B214" s="3">
        <v>232</v>
      </c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8"/>
      <c r="Q214" s="2"/>
    </row>
    <row x14ac:dyDescent="0.25" r="215" customHeight="1" ht="18.75">
      <c r="A215" s="3">
        <v>18</v>
      </c>
      <c r="B215" s="3">
        <v>232</v>
      </c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8"/>
      <c r="Q215" s="2"/>
    </row>
    <row x14ac:dyDescent="0.25" r="216" customHeight="1" ht="18.75">
      <c r="A216" s="3">
        <v>18</v>
      </c>
      <c r="B216" s="3">
        <v>225</v>
      </c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8"/>
      <c r="Q216" s="2"/>
    </row>
    <row x14ac:dyDescent="0.25" r="217" customHeight="1" ht="18.75">
      <c r="A217" s="3">
        <v>23</v>
      </c>
      <c r="B217" s="3">
        <v>198</v>
      </c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8"/>
      <c r="Q217" s="2"/>
    </row>
    <row x14ac:dyDescent="0.25" r="218" customHeight="1" ht="18.75">
      <c r="A218" s="3">
        <v>16</v>
      </c>
      <c r="B218" s="3">
        <v>250</v>
      </c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8"/>
      <c r="Q218" s="2"/>
    </row>
    <row x14ac:dyDescent="0.25" r="219" customHeight="1" ht="18.75">
      <c r="A219" s="3">
        <v>18</v>
      </c>
      <c r="B219" s="3">
        <v>250</v>
      </c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8"/>
      <c r="Q219" s="2"/>
    </row>
    <row x14ac:dyDescent="0.25" r="220" customHeight="1" ht="18.75">
      <c r="A220" s="3">
        <v>16</v>
      </c>
      <c r="B220" s="3">
        <v>400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8"/>
      <c r="Q220" s="2"/>
    </row>
    <row x14ac:dyDescent="0.25" r="221" customHeight="1" ht="18.75">
      <c r="A221" s="3">
        <v>11</v>
      </c>
      <c r="B221" s="3">
        <v>350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8"/>
      <c r="Q221" s="2"/>
    </row>
    <row x14ac:dyDescent="0.25" r="222" customHeight="1" ht="18.75">
      <c r="A222" s="3">
        <v>13</v>
      </c>
      <c r="B222" s="3">
        <v>360</v>
      </c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8"/>
      <c r="Q222" s="2"/>
    </row>
    <row x14ac:dyDescent="0.25" r="223" customHeight="1" ht="18.75">
      <c r="A223" s="3">
        <v>12</v>
      </c>
      <c r="B223" s="3">
        <v>455</v>
      </c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8"/>
      <c r="Q223" s="2"/>
    </row>
    <row x14ac:dyDescent="0.25" r="224" customHeight="1" ht="18.75">
      <c r="A224" s="3">
        <v>13</v>
      </c>
      <c r="B224" s="3">
        <v>440</v>
      </c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8"/>
      <c r="Q224" s="2"/>
    </row>
    <row x14ac:dyDescent="0.25" r="225" customHeight="1" ht="18.75">
      <c r="A225" s="3">
        <v>15</v>
      </c>
      <c r="B225" s="3">
        <v>318</v>
      </c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8"/>
      <c r="Q225" s="2"/>
    </row>
    <row x14ac:dyDescent="0.25" r="226" customHeight="1" ht="18.75">
      <c r="A226" s="3">
        <v>13</v>
      </c>
      <c r="B226" s="3">
        <v>350</v>
      </c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8"/>
      <c r="Q226" s="2"/>
    </row>
    <row x14ac:dyDescent="0.25" r="227" customHeight="1" ht="18.75">
      <c r="A227" s="3">
        <v>14</v>
      </c>
      <c r="B227" s="3">
        <v>304</v>
      </c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8"/>
      <c r="Q227" s="2"/>
    </row>
    <row x14ac:dyDescent="0.25" r="228" customHeight="1" ht="18.75">
      <c r="A228" s="3">
        <v>12</v>
      </c>
      <c r="B228" s="3">
        <v>429</v>
      </c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8"/>
      <c r="Q228" s="2"/>
    </row>
    <row x14ac:dyDescent="0.25" r="229" customHeight="1" ht="18.75">
      <c r="A229" s="3">
        <v>12</v>
      </c>
      <c r="B229" s="3">
        <v>350</v>
      </c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8"/>
      <c r="Q229" s="2"/>
    </row>
    <row x14ac:dyDescent="0.25" r="230" customHeight="1" ht="18.75">
      <c r="A230" s="3">
        <v>15</v>
      </c>
      <c r="B230" s="3">
        <v>318</v>
      </c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8"/>
      <c r="Q230" s="2"/>
    </row>
    <row x14ac:dyDescent="0.25" r="231" customHeight="1" ht="18.75">
      <c r="A231" s="3">
        <v>13</v>
      </c>
      <c r="B231" s="3">
        <v>360</v>
      </c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8"/>
      <c r="Q231" s="2"/>
    </row>
    <row x14ac:dyDescent="0.25" r="232" customHeight="1" ht="18.75">
      <c r="A232" s="3">
        <v>13</v>
      </c>
      <c r="B232" s="3">
        <v>350</v>
      </c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8"/>
      <c r="Q232" s="2"/>
    </row>
    <row x14ac:dyDescent="0.25" r="233" customHeight="1" ht="18.75">
      <c r="A233" s="3">
        <v>13</v>
      </c>
      <c r="B233" s="3">
        <v>351</v>
      </c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8"/>
      <c r="Q233" s="2"/>
    </row>
    <row x14ac:dyDescent="0.25" r="234" customHeight="1" ht="18.75">
      <c r="A234" s="3">
        <v>15</v>
      </c>
      <c r="B234" s="3">
        <v>350</v>
      </c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8"/>
      <c r="Q234" s="2"/>
    </row>
    <row x14ac:dyDescent="0.25" r="235" customHeight="1" ht="18.75">
      <c r="A235" s="3">
        <v>14</v>
      </c>
      <c r="B235" s="3">
        <v>318</v>
      </c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8"/>
      <c r="Q235" s="2"/>
    </row>
    <row x14ac:dyDescent="0.25" r="236" customHeight="1" ht="18.75">
      <c r="A236" s="3">
        <v>12</v>
      </c>
      <c r="B236" s="3">
        <v>400</v>
      </c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8"/>
      <c r="Q236" s="2"/>
    </row>
    <row x14ac:dyDescent="0.25" r="237" customHeight="1" ht="18.75">
      <c r="A237" s="3">
        <v>14</v>
      </c>
      <c r="B237" s="3">
        <v>302</v>
      </c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8"/>
      <c r="Q237" s="2"/>
    </row>
    <row x14ac:dyDescent="0.25" r="238" customHeight="1" ht="18.75">
      <c r="A238" s="3">
        <v>13</v>
      </c>
      <c r="B238" s="3">
        <v>400</v>
      </c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8"/>
      <c r="Q238" s="2"/>
    </row>
    <row x14ac:dyDescent="0.25" r="239" customHeight="1" ht="18.75">
      <c r="A239" s="3">
        <v>11</v>
      </c>
      <c r="B239" s="3">
        <v>400</v>
      </c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8"/>
      <c r="Q239" s="2"/>
    </row>
    <row x14ac:dyDescent="0.25" r="240" customHeight="1" ht="18.75">
      <c r="A240" s="3">
        <v>28</v>
      </c>
      <c r="B240" s="3">
        <v>90</v>
      </c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8"/>
      <c r="Q240" s="2"/>
    </row>
    <row x14ac:dyDescent="0.25" r="241" customHeight="1" ht="18.75">
      <c r="A241" s="3">
        <v>26</v>
      </c>
      <c r="B241" s="3">
        <v>122</v>
      </c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8"/>
      <c r="Q241" s="2"/>
    </row>
    <row x14ac:dyDescent="0.25" r="242" customHeight="1" ht="18.75">
      <c r="A242" s="3">
        <v>25</v>
      </c>
      <c r="B242" s="3">
        <v>140</v>
      </c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8"/>
      <c r="Q242" s="2"/>
    </row>
    <row x14ac:dyDescent="0.25" r="243" customHeight="1" ht="18.75">
      <c r="A243" s="3">
        <v>19</v>
      </c>
      <c r="B243" s="3">
        <v>232</v>
      </c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8"/>
      <c r="Q243" s="2"/>
    </row>
    <row x14ac:dyDescent="0.25" r="244" customHeight="1" ht="18.75">
      <c r="A244" s="3">
        <v>20</v>
      </c>
      <c r="B244" s="3">
        <v>198</v>
      </c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8"/>
      <c r="Q244" s="2"/>
    </row>
    <row x14ac:dyDescent="0.25" r="245" customHeight="1" ht="18.75">
      <c r="A245" s="3">
        <v>16</v>
      </c>
      <c r="B245" s="3">
        <v>258</v>
      </c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8"/>
      <c r="Q245" s="2"/>
    </row>
    <row x14ac:dyDescent="0.25" r="246" customHeight="1" ht="18.75">
      <c r="A246" s="3">
        <v>15</v>
      </c>
      <c r="B246" s="3">
        <v>250</v>
      </c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8"/>
      <c r="Q246" s="2"/>
    </row>
    <row x14ac:dyDescent="0.25" r="247" customHeight="1" ht="18.75">
      <c r="A247" s="3">
        <v>18</v>
      </c>
      <c r="B247" s="3">
        <v>225</v>
      </c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8"/>
      <c r="Q247" s="2"/>
    </row>
    <row x14ac:dyDescent="0.25" r="248" customHeight="1" ht="18.75">
      <c r="A248" s="3">
        <v>16</v>
      </c>
      <c r="B248" s="3">
        <v>250</v>
      </c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8"/>
      <c r="Q248" s="2"/>
    </row>
    <row x14ac:dyDescent="0.25" r="249" customHeight="1" ht="18.75">
      <c r="A249" s="3">
        <v>21</v>
      </c>
      <c r="B249" s="3">
        <v>200</v>
      </c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8"/>
      <c r="Q249" s="2"/>
    </row>
    <row x14ac:dyDescent="0.25" r="250" customHeight="1" ht="18.75">
      <c r="A250" s="3">
        <v>14</v>
      </c>
      <c r="B250" s="3">
        <v>304</v>
      </c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8"/>
      <c r="Q250" s="2"/>
    </row>
    <row x14ac:dyDescent="0.25" r="251" customHeight="1" ht="18.75">
      <c r="A251" s="3">
        <v>16</v>
      </c>
      <c r="B251" s="3">
        <v>302</v>
      </c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8"/>
      <c r="Q251" s="2"/>
    </row>
    <row x14ac:dyDescent="0.25" r="252" customHeight="1" ht="18.75">
      <c r="A252" s="3">
        <v>14</v>
      </c>
      <c r="B252" s="3">
        <v>318</v>
      </c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8"/>
      <c r="Q252" s="2"/>
    </row>
    <row x14ac:dyDescent="0.25" r="253" customHeight="1" ht="18.75">
      <c r="A253" s="3">
        <v>13</v>
      </c>
      <c r="B253" s="3">
        <v>350</v>
      </c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8"/>
      <c r="Q253" s="2"/>
    </row>
    <row x14ac:dyDescent="0.25" r="254" customHeight="1" ht="18.75">
      <c r="A254" s="3">
        <v>14</v>
      </c>
      <c r="B254" s="3">
        <v>302</v>
      </c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8"/>
      <c r="Q254" s="2"/>
    </row>
    <row x14ac:dyDescent="0.25" r="255" customHeight="1" ht="18.75">
      <c r="A255" s="3">
        <v>23</v>
      </c>
      <c r="B255" s="3">
        <v>140</v>
      </c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8"/>
      <c r="Q255" s="2"/>
    </row>
    <row x14ac:dyDescent="0.25" r="256" customHeight="1" ht="18.75">
      <c r="A256" s="3">
        <v>23</v>
      </c>
      <c r="B256" s="3">
        <v>140</v>
      </c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8"/>
      <c r="Q256" s="2"/>
    </row>
    <row x14ac:dyDescent="0.25" r="257" customHeight="1" ht="18.75">
      <c r="A257" s="3">
        <v>21</v>
      </c>
      <c r="B257" s="3">
        <v>231</v>
      </c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8"/>
      <c r="Q257" s="2"/>
    </row>
    <row x14ac:dyDescent="0.25" r="258" customHeight="1" ht="18.75">
      <c r="A258" s="3">
        <v>20</v>
      </c>
      <c r="B258" s="3">
        <v>232</v>
      </c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8"/>
      <c r="Q258" s="2"/>
    </row>
    <row x14ac:dyDescent="0.25" r="259" customHeight="1" ht="18.75">
      <c r="A259" s="3">
        <v>18</v>
      </c>
      <c r="B259" s="3">
        <v>171</v>
      </c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8"/>
      <c r="Q259" s="2"/>
    </row>
    <row x14ac:dyDescent="0.25" r="260" customHeight="1" ht="18.75">
      <c r="A260" s="3">
        <v>18</v>
      </c>
      <c r="B260" s="3">
        <v>250</v>
      </c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8"/>
      <c r="Q260" s="2"/>
    </row>
    <row x14ac:dyDescent="0.25" r="261" customHeight="1" ht="18.75">
      <c r="A261" s="3">
        <v>15</v>
      </c>
      <c r="B261" s="3">
        <v>258</v>
      </c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8"/>
      <c r="Q261" s="2"/>
    </row>
    <row x14ac:dyDescent="0.25" r="262" customHeight="1" ht="18.75">
      <c r="A262" s="3">
        <v>19</v>
      </c>
      <c r="B262" s="3">
        <v>225</v>
      </c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8"/>
      <c r="Q262" s="2"/>
    </row>
    <row x14ac:dyDescent="0.25" r="263" customHeight="1" ht="18.75">
      <c r="A263" s="3">
        <v>17</v>
      </c>
      <c r="B263" s="3">
        <v>231</v>
      </c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8"/>
      <c r="Q263" s="2"/>
    </row>
    <row x14ac:dyDescent="0.25" r="264" customHeight="1" ht="18.75">
      <c r="A264" s="3">
        <v>19</v>
      </c>
      <c r="B264" s="3">
        <v>232</v>
      </c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8"/>
      <c r="Q264" s="2"/>
    </row>
    <row x14ac:dyDescent="0.25" r="265" customHeight="1" ht="18.75">
      <c r="A265" s="3">
        <v>16</v>
      </c>
      <c r="B265" s="3">
        <v>250</v>
      </c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8"/>
      <c r="Q265" s="2"/>
    </row>
    <row x14ac:dyDescent="0.25" r="266" customHeight="1" ht="18.75">
      <c r="A266" s="3">
        <v>18</v>
      </c>
      <c r="B266" s="3">
        <v>225</v>
      </c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8"/>
      <c r="Q266" s="2"/>
    </row>
    <row x14ac:dyDescent="0.25" r="267" customHeight="1" ht="18.75">
      <c r="A267" s="3">
        <v>15</v>
      </c>
      <c r="B267" s="3">
        <v>250</v>
      </c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8"/>
      <c r="Q267" s="2"/>
    </row>
    <row x14ac:dyDescent="0.25" r="268" customHeight="1" ht="18.75">
      <c r="A268" s="3">
        <v>15</v>
      </c>
      <c r="B268" s="3">
        <v>250</v>
      </c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8"/>
      <c r="Q268" s="2"/>
    </row>
    <row x14ac:dyDescent="0.25" r="269" customHeight="1" ht="18.75">
      <c r="A269" s="3">
        <v>13</v>
      </c>
      <c r="B269" s="3">
        <v>302</v>
      </c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8"/>
      <c r="Q269" s="2"/>
    </row>
    <row x14ac:dyDescent="0.25" r="270" customHeight="1" ht="18.75">
      <c r="A270" s="3">
        <v>16</v>
      </c>
      <c r="B270" s="3">
        <v>400</v>
      </c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8"/>
      <c r="Q270" s="2"/>
    </row>
    <row x14ac:dyDescent="0.25" r="271" customHeight="1" ht="18.75">
      <c r="A271" s="3">
        <v>20</v>
      </c>
      <c r="B271" s="3">
        <v>262</v>
      </c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8"/>
      <c r="Q271" s="2"/>
    </row>
    <row x14ac:dyDescent="0.25" r="272" customHeight="1" ht="18.75">
      <c r="A272" s="3">
        <v>16</v>
      </c>
      <c r="B272" s="3">
        <v>318</v>
      </c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8"/>
      <c r="Q272" s="2"/>
    </row>
    <row x14ac:dyDescent="0.25" r="273" customHeight="1" ht="18.75">
      <c r="A273" s="3">
        <v>15</v>
      </c>
      <c r="B273" s="3">
        <v>350</v>
      </c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8"/>
      <c r="Q273" s="2"/>
    </row>
    <row x14ac:dyDescent="0.25" r="274" customHeight="1" ht="18.75">
      <c r="A274" s="3">
        <v>14</v>
      </c>
      <c r="B274" s="3">
        <v>351</v>
      </c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8"/>
      <c r="Q274" s="2"/>
    </row>
    <row x14ac:dyDescent="0.25" r="275" customHeight="1" ht="18.75">
      <c r="A275" s="3">
        <v>25</v>
      </c>
      <c r="B275" s="3">
        <v>140</v>
      </c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8"/>
      <c r="Q275" s="2"/>
    </row>
    <row x14ac:dyDescent="0.25" r="276" customHeight="1" ht="18.75">
      <c r="A276" s="3">
        <v>26</v>
      </c>
      <c r="B276" s="3">
        <v>98</v>
      </c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8"/>
      <c r="Q276" s="2"/>
    </row>
    <row x14ac:dyDescent="0.25" r="277" customHeight="1" ht="18.75">
      <c r="A277" s="11">
        <v>26.5</v>
      </c>
      <c r="B277" s="3">
        <v>140</v>
      </c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8"/>
      <c r="Q277" s="2"/>
    </row>
    <row x14ac:dyDescent="0.25" r="278" customHeight="1" ht="18.75">
      <c r="A278" s="11">
        <v>24.5</v>
      </c>
      <c r="B278" s="3">
        <v>98</v>
      </c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8"/>
      <c r="Q278" s="2"/>
    </row>
    <row x14ac:dyDescent="0.25" r="279" customHeight="1" ht="18.75">
      <c r="A279" s="3">
        <v>29</v>
      </c>
      <c r="B279" s="3">
        <v>85</v>
      </c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8"/>
      <c r="Q279" s="2"/>
    </row>
    <row x14ac:dyDescent="0.25" r="280" customHeight="1" ht="18.75">
      <c r="A280" s="3">
        <v>22</v>
      </c>
      <c r="B280" s="3">
        <v>250</v>
      </c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8"/>
      <c r="Q280" s="2"/>
    </row>
    <row x14ac:dyDescent="0.25" r="281" customHeight="1" ht="18.75">
      <c r="A281" s="3">
        <v>22</v>
      </c>
      <c r="B281" s="3">
        <v>225</v>
      </c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8"/>
      <c r="Q281" s="2"/>
    </row>
    <row x14ac:dyDescent="0.25" r="282" customHeight="1" ht="18.75">
      <c r="A282" s="11">
        <v>18.5</v>
      </c>
      <c r="B282" s="3">
        <v>250</v>
      </c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8"/>
      <c r="Q282" s="2"/>
    </row>
    <row x14ac:dyDescent="0.25" r="283" customHeight="1" ht="18.75">
      <c r="A283" s="11">
        <v>17.5</v>
      </c>
      <c r="B283" s="3">
        <v>258</v>
      </c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8"/>
      <c r="Q283" s="2"/>
    </row>
    <row x14ac:dyDescent="0.25" r="284" customHeight="1" ht="18.75">
      <c r="A284" s="11">
        <v>22.5</v>
      </c>
      <c r="B284" s="3">
        <v>232</v>
      </c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8"/>
      <c r="Q284" s="2"/>
    </row>
    <row x14ac:dyDescent="0.25" r="285" customHeight="1" ht="18.75">
      <c r="A285" s="3">
        <v>20</v>
      </c>
      <c r="B285" s="3">
        <v>225</v>
      </c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8"/>
      <c r="Q285" s="2"/>
    </row>
    <row x14ac:dyDescent="0.25" r="286" customHeight="1" ht="18.75">
      <c r="A286" s="3">
        <v>24</v>
      </c>
      <c r="B286" s="3">
        <v>200</v>
      </c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8"/>
      <c r="Q286" s="2"/>
    </row>
    <row x14ac:dyDescent="0.25" r="287" customHeight="1" ht="18.75">
      <c r="A287" s="3">
        <v>18</v>
      </c>
      <c r="B287" s="3">
        <v>250</v>
      </c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8"/>
      <c r="Q287" s="2"/>
    </row>
    <row x14ac:dyDescent="0.25" r="288" customHeight="1" ht="18.75">
      <c r="A288" s="11">
        <v>16.5</v>
      </c>
      <c r="B288" s="3">
        <v>350</v>
      </c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8"/>
      <c r="Q288" s="2"/>
    </row>
    <row x14ac:dyDescent="0.25" r="289" customHeight="1" ht="18.75">
      <c r="A289" s="3">
        <v>13</v>
      </c>
      <c r="B289" s="3">
        <v>318</v>
      </c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8"/>
      <c r="Q289" s="2"/>
    </row>
    <row x14ac:dyDescent="0.25" r="290" customHeight="1" ht="18.75">
      <c r="A290" s="3">
        <v>13</v>
      </c>
      <c r="B290" s="3">
        <v>318</v>
      </c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8"/>
      <c r="Q290" s="2"/>
    </row>
    <row x14ac:dyDescent="0.25" r="291" customHeight="1" ht="18.75">
      <c r="A291" s="11">
        <v>14.5</v>
      </c>
      <c r="B291" s="3">
        <v>351</v>
      </c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8"/>
      <c r="Q291" s="2"/>
    </row>
    <row x14ac:dyDescent="0.25" r="292" customHeight="1" ht="18.75">
      <c r="A292" s="3">
        <v>13</v>
      </c>
      <c r="B292" s="3">
        <v>350</v>
      </c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8"/>
      <c r="Q292" s="2"/>
    </row>
    <row x14ac:dyDescent="0.25" r="293" customHeight="1" ht="18.75">
      <c r="A293" s="3">
        <v>16</v>
      </c>
      <c r="B293" s="3">
        <v>318</v>
      </c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8"/>
      <c r="Q293" s="2"/>
    </row>
    <row x14ac:dyDescent="0.25" r="294" customHeight="1" ht="18.75">
      <c r="A294" s="3">
        <v>13</v>
      </c>
      <c r="B294" s="3">
        <v>302</v>
      </c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8"/>
      <c r="Q294" s="2"/>
    </row>
    <row x14ac:dyDescent="0.25" r="295" customHeight="1" ht="18.75">
      <c r="A295" s="11">
        <v>17.5</v>
      </c>
      <c r="B295" s="3">
        <v>305</v>
      </c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8"/>
      <c r="Q295" s="2"/>
    </row>
    <row x14ac:dyDescent="0.25" r="296" customHeight="1" ht="18.75">
      <c r="A296" s="11">
        <v>15.5</v>
      </c>
      <c r="B296" s="3">
        <v>304</v>
      </c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8"/>
      <c r="Q296" s="2"/>
    </row>
    <row x14ac:dyDescent="0.25" r="297" customHeight="1" ht="18.75">
      <c r="A297" s="11">
        <v>25.5</v>
      </c>
      <c r="B297" s="3">
        <v>122</v>
      </c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8"/>
      <c r="Q297" s="2"/>
    </row>
    <row x14ac:dyDescent="0.25" r="298" customHeight="1" ht="18.75">
      <c r="A298" s="11">
        <v>33.5</v>
      </c>
      <c r="B298" s="3">
        <v>98</v>
      </c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8"/>
      <c r="Q298" s="2"/>
    </row>
    <row x14ac:dyDescent="0.25" r="299" customHeight="1" ht="18.75">
      <c r="A299" s="3">
        <v>30</v>
      </c>
      <c r="B299" s="3">
        <v>111</v>
      </c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8"/>
      <c r="Q299" s="2"/>
    </row>
    <row x14ac:dyDescent="0.25" r="300" customHeight="1" ht="18.75">
      <c r="A300" s="11">
        <v>25.5</v>
      </c>
      <c r="B300" s="3">
        <v>140</v>
      </c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8"/>
      <c r="Q300" s="2"/>
    </row>
    <row x14ac:dyDescent="0.25" r="301" customHeight="1" ht="18.75">
      <c r="A301" s="11">
        <v>24.5</v>
      </c>
      <c r="B301" s="3">
        <v>151</v>
      </c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8"/>
      <c r="Q301" s="2"/>
    </row>
    <row x14ac:dyDescent="0.25" r="302" customHeight="1" ht="18.75">
      <c r="A302" s="11">
        <v>30.5</v>
      </c>
      <c r="B302" s="3">
        <v>98</v>
      </c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8"/>
      <c r="Q302" s="2"/>
    </row>
    <row x14ac:dyDescent="0.25" r="303" customHeight="1" ht="18.75">
      <c r="A303" s="11">
        <v>17.5</v>
      </c>
      <c r="B303" s="3">
        <v>250</v>
      </c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8"/>
      <c r="Q303" s="2"/>
    </row>
    <row x14ac:dyDescent="0.25" r="304" customHeight="1" ht="18.75">
      <c r="A304" s="11">
        <v>20.5</v>
      </c>
      <c r="B304" s="3">
        <v>231</v>
      </c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8"/>
      <c r="Q304" s="2"/>
    </row>
    <row x14ac:dyDescent="0.25" r="305" customHeight="1" ht="18.75">
      <c r="A305" s="11">
        <v>18.5</v>
      </c>
      <c r="B305" s="3">
        <v>250</v>
      </c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8"/>
      <c r="Q305" s="2"/>
    </row>
    <row x14ac:dyDescent="0.25" r="306" customHeight="1" ht="18.75">
      <c r="A306" s="3">
        <v>19</v>
      </c>
      <c r="B306" s="3">
        <v>225</v>
      </c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8"/>
      <c r="Q306" s="2"/>
    </row>
    <row x14ac:dyDescent="0.25" r="307" customHeight="1" ht="18.75">
      <c r="A307" s="11">
        <v>15.5</v>
      </c>
      <c r="B307" s="3">
        <v>400</v>
      </c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8"/>
      <c r="Q307" s="2"/>
    </row>
    <row x14ac:dyDescent="0.25" r="308" customHeight="1" ht="18.75">
      <c r="A308" s="3">
        <v>16</v>
      </c>
      <c r="B308" s="3">
        <v>400</v>
      </c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8"/>
      <c r="Q308" s="2"/>
    </row>
    <row x14ac:dyDescent="0.25" r="309" customHeight="1" ht="18.75">
      <c r="A309" s="11">
        <v>15.5</v>
      </c>
      <c r="B309" s="3">
        <v>350</v>
      </c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8"/>
      <c r="Q309" s="2"/>
    </row>
    <row x14ac:dyDescent="0.25" r="310" customHeight="1" ht="18.75">
      <c r="A310" s="11">
        <v>17.5</v>
      </c>
      <c r="B310" s="3">
        <v>305</v>
      </c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8"/>
      <c r="Q310" s="2"/>
    </row>
    <row x14ac:dyDescent="0.25" r="311" customHeight="1" ht="18.75">
      <c r="A311" s="11">
        <v>15.5</v>
      </c>
      <c r="B311" s="3">
        <v>318</v>
      </c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8"/>
      <c r="Q311" s="2"/>
    </row>
    <row x14ac:dyDescent="0.25" r="312" customHeight="1" ht="18.75">
      <c r="A312" s="3">
        <v>16</v>
      </c>
      <c r="B312" s="3">
        <v>351</v>
      </c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8"/>
      <c r="Q312" s="2"/>
    </row>
    <row x14ac:dyDescent="0.25" r="313" customHeight="1" ht="18.75">
      <c r="A313" s="3">
        <v>15</v>
      </c>
      <c r="B313" s="3">
        <v>302</v>
      </c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8"/>
      <c r="Q313" s="2"/>
    </row>
    <row x14ac:dyDescent="0.25" r="314" customHeight="1" ht="18.75">
      <c r="A314" s="3">
        <v>17</v>
      </c>
      <c r="B314" s="3">
        <v>260</v>
      </c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8"/>
      <c r="Q314" s="2"/>
    </row>
    <row x14ac:dyDescent="0.25" r="315" customHeight="1" ht="18.75">
      <c r="A315" s="11">
        <v>23.2</v>
      </c>
      <c r="B315" s="3">
        <v>156</v>
      </c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8"/>
      <c r="Q315" s="2"/>
    </row>
    <row x14ac:dyDescent="0.25" r="316" customHeight="1" ht="18.75">
      <c r="A316" s="11">
        <v>36.1</v>
      </c>
      <c r="B316" s="3">
        <v>98</v>
      </c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8"/>
      <c r="Q316" s="2"/>
    </row>
    <row x14ac:dyDescent="0.25" r="317" customHeight="1" ht="18.75">
      <c r="A317" s="11">
        <v>30.9</v>
      </c>
      <c r="B317" s="3">
        <v>105</v>
      </c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8"/>
      <c r="Q317" s="2"/>
    </row>
    <row x14ac:dyDescent="0.25" r="318" customHeight="1" ht="18.75">
      <c r="A318" s="11">
        <v>25.1</v>
      </c>
      <c r="B318" s="3">
        <v>140</v>
      </c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8"/>
      <c r="Q318" s="2"/>
    </row>
    <row x14ac:dyDescent="0.25" r="319" customHeight="1" ht="18.75">
      <c r="A319" s="3">
        <v>30</v>
      </c>
      <c r="B319" s="3">
        <v>98</v>
      </c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8"/>
      <c r="Q319" s="2"/>
    </row>
    <row x14ac:dyDescent="0.25" r="320" customHeight="1" ht="18.75">
      <c r="A320" s="11">
        <v>23.8</v>
      </c>
      <c r="B320" s="3">
        <v>151</v>
      </c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8"/>
      <c r="Q320" s="2"/>
    </row>
    <row x14ac:dyDescent="0.25" r="321" customHeight="1" ht="18.75">
      <c r="A321" s="11">
        <v>17.7</v>
      </c>
      <c r="B321" s="3">
        <v>231</v>
      </c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8"/>
      <c r="Q321" s="2"/>
    </row>
    <row x14ac:dyDescent="0.25" r="322" customHeight="1" ht="18.75">
      <c r="A322" s="11">
        <v>18.1</v>
      </c>
      <c r="B322" s="3">
        <v>258</v>
      </c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8"/>
      <c r="Q322" s="2"/>
    </row>
    <row x14ac:dyDescent="0.25" r="323" customHeight="1" ht="18.75">
      <c r="A323" s="11">
        <v>20.6</v>
      </c>
      <c r="B323" s="3">
        <v>231</v>
      </c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8"/>
      <c r="Q323" s="2"/>
    </row>
    <row x14ac:dyDescent="0.25" r="324" customHeight="1" ht="18.75">
      <c r="A324" s="11">
        <v>18.6</v>
      </c>
      <c r="B324" s="3">
        <v>225</v>
      </c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8"/>
      <c r="Q324" s="2"/>
    </row>
    <row x14ac:dyDescent="0.25" r="325" customHeight="1" ht="18.75">
      <c r="A325" s="11">
        <v>20.5</v>
      </c>
      <c r="B325" s="3">
        <v>200</v>
      </c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8"/>
      <c r="Q325" s="2"/>
    </row>
    <row x14ac:dyDescent="0.25" r="326" customHeight="1" ht="18.75">
      <c r="A326" s="11">
        <v>19.2</v>
      </c>
      <c r="B326" s="3">
        <v>231</v>
      </c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8"/>
      <c r="Q326" s="2"/>
    </row>
    <row x14ac:dyDescent="0.25" r="327" customHeight="1" ht="18.75">
      <c r="A327" s="11">
        <v>20.5</v>
      </c>
      <c r="B327" s="3">
        <v>225</v>
      </c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8"/>
      <c r="Q327" s="2"/>
    </row>
    <row x14ac:dyDescent="0.25" r="328" customHeight="1" ht="18.75">
      <c r="A328" s="11">
        <v>20.2</v>
      </c>
      <c r="B328" s="3">
        <v>200</v>
      </c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8"/>
      <c r="Q328" s="2"/>
    </row>
    <row x14ac:dyDescent="0.25" r="329" customHeight="1" ht="18.75">
      <c r="A329" s="11">
        <v>19.4</v>
      </c>
      <c r="B329" s="3">
        <v>232</v>
      </c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8"/>
      <c r="Q329" s="2"/>
    </row>
    <row x14ac:dyDescent="0.25" r="330" customHeight="1" ht="18.75">
      <c r="A330" s="11">
        <v>20.8</v>
      </c>
      <c r="B330" s="3">
        <v>200</v>
      </c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8"/>
      <c r="Q330" s="2"/>
    </row>
    <row x14ac:dyDescent="0.25" r="331" customHeight="1" ht="18.75">
      <c r="A331" s="11">
        <v>18.1</v>
      </c>
      <c r="B331" s="3">
        <v>302</v>
      </c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8"/>
      <c r="Q331" s="2"/>
    </row>
    <row x14ac:dyDescent="0.25" r="332" customHeight="1" ht="18.75">
      <c r="A332" s="11">
        <v>19.2</v>
      </c>
      <c r="B332" s="3">
        <v>305</v>
      </c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8"/>
      <c r="Q332" s="2"/>
    </row>
    <row x14ac:dyDescent="0.25" r="333" customHeight="1" ht="18.75">
      <c r="A333" s="11">
        <v>20.2</v>
      </c>
      <c r="B333" s="3">
        <v>302</v>
      </c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8"/>
      <c r="Q333" s="2"/>
    </row>
    <row x14ac:dyDescent="0.25" r="334" customHeight="1" ht="18.75">
      <c r="A334" s="11">
        <v>19.4</v>
      </c>
      <c r="B334" s="3">
        <v>318</v>
      </c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8"/>
      <c r="Q334" s="2"/>
    </row>
    <row x14ac:dyDescent="0.25" r="335" customHeight="1" ht="18.75">
      <c r="A335" s="11">
        <v>17.5</v>
      </c>
      <c r="B335" s="3">
        <v>318</v>
      </c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8"/>
      <c r="Q335" s="2"/>
    </row>
    <row x14ac:dyDescent="0.25" r="336" customHeight="1" ht="18.75">
      <c r="A336" s="11">
        <v>19.9</v>
      </c>
      <c r="B336" s="3">
        <v>260</v>
      </c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8"/>
      <c r="Q336" s="2"/>
    </row>
    <row x14ac:dyDescent="0.25" r="337" customHeight="1" ht="18.75">
      <c r="A337" s="11">
        <v>35.7</v>
      </c>
      <c r="B337" s="3">
        <v>98</v>
      </c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8"/>
      <c r="Q337" s="2"/>
    </row>
    <row x14ac:dyDescent="0.25" r="338" customHeight="1" ht="18.75">
      <c r="A338" s="11">
        <v>33.5</v>
      </c>
      <c r="B338" s="3">
        <v>151</v>
      </c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8"/>
      <c r="Q338" s="2"/>
    </row>
    <row x14ac:dyDescent="0.25" r="339" customHeight="1" ht="18.75">
      <c r="A339" s="11">
        <v>28.4</v>
      </c>
      <c r="B339" s="3">
        <v>151</v>
      </c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8"/>
      <c r="Q339" s="2"/>
    </row>
    <row x14ac:dyDescent="0.25" r="340" customHeight="1" ht="18.75">
      <c r="A340" s="11">
        <v>34.5</v>
      </c>
      <c r="B340" s="3">
        <v>105</v>
      </c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8"/>
      <c r="Q340" s="2"/>
    </row>
    <row x14ac:dyDescent="0.25" r="341" customHeight="1" ht="18.75">
      <c r="A341" s="11">
        <v>34.2</v>
      </c>
      <c r="B341" s="3">
        <v>105</v>
      </c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8"/>
      <c r="Q341" s="2"/>
    </row>
    <row x14ac:dyDescent="0.25" r="342" customHeight="1" ht="18.75">
      <c r="A342" s="11">
        <v>22.3</v>
      </c>
      <c r="B342" s="3">
        <v>140</v>
      </c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8"/>
      <c r="Q342" s="2"/>
    </row>
    <row x14ac:dyDescent="0.25" r="343" customHeight="1" ht="18.75">
      <c r="A343" s="11">
        <v>27.4</v>
      </c>
      <c r="B343" s="3">
        <v>121</v>
      </c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8"/>
      <c r="Q343" s="2"/>
    </row>
    <row x14ac:dyDescent="0.25" r="344" customHeight="1" ht="18.75">
      <c r="A344" s="11">
        <v>28.8</v>
      </c>
      <c r="B344" s="3">
        <v>173</v>
      </c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8"/>
      <c r="Q344" s="2"/>
    </row>
    <row x14ac:dyDescent="0.25" r="345" customHeight="1" ht="18.75">
      <c r="A345" s="11">
        <v>26.8</v>
      </c>
      <c r="B345" s="3">
        <v>173</v>
      </c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8"/>
      <c r="Q345" s="2"/>
    </row>
    <row x14ac:dyDescent="0.25" r="346" customHeight="1" ht="18.75">
      <c r="A346" s="11">
        <v>21.5</v>
      </c>
      <c r="B346" s="3">
        <v>231</v>
      </c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8"/>
      <c r="Q346" s="2"/>
    </row>
    <row x14ac:dyDescent="0.25" r="347" customHeight="1" ht="18.75">
      <c r="A347" s="11">
        <v>20.6</v>
      </c>
      <c r="B347" s="3">
        <v>225</v>
      </c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8"/>
      <c r="Q347" s="2"/>
    </row>
    <row x14ac:dyDescent="0.25" r="348" customHeight="1" ht="18.75">
      <c r="A348" s="11">
        <v>19.8</v>
      </c>
      <c r="B348" s="3">
        <v>200</v>
      </c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8"/>
      <c r="Q348" s="2"/>
    </row>
    <row x14ac:dyDescent="0.25" r="349" customHeight="1" ht="18.75">
      <c r="A349" s="11">
        <v>20.2</v>
      </c>
      <c r="B349" s="3">
        <v>232</v>
      </c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8"/>
      <c r="Q349" s="2"/>
    </row>
    <row x14ac:dyDescent="0.25" r="350" customHeight="1" ht="18.75">
      <c r="A350" s="11">
        <v>18.5</v>
      </c>
      <c r="B350" s="3">
        <v>360</v>
      </c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8"/>
      <c r="Q350" s="2"/>
    </row>
    <row x14ac:dyDescent="0.25" r="351" customHeight="1" ht="18.75">
      <c r="A351" s="11">
        <v>16.9</v>
      </c>
      <c r="B351" s="3">
        <v>350</v>
      </c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8"/>
      <c r="Q351" s="2"/>
    </row>
    <row x14ac:dyDescent="0.25" r="352" customHeight="1" ht="18.75">
      <c r="A352" s="11">
        <v>18.2</v>
      </c>
      <c r="B352" s="3">
        <v>318</v>
      </c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8"/>
      <c r="Q352" s="2"/>
    </row>
    <row x14ac:dyDescent="0.25" r="353" customHeight="1" ht="18.75">
      <c r="A353" s="11">
        <v>15.5</v>
      </c>
      <c r="B353" s="3">
        <v>351</v>
      </c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8"/>
      <c r="Q353" s="2"/>
    </row>
    <row x14ac:dyDescent="0.25" r="354" customHeight="1" ht="18.75">
      <c r="A354" s="11">
        <v>16.5</v>
      </c>
      <c r="B354" s="3">
        <v>351</v>
      </c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8"/>
      <c r="Q354" s="2"/>
    </row>
    <row x14ac:dyDescent="0.25" r="355" customHeight="1" ht="18.75">
      <c r="A355" s="11">
        <v>19.2</v>
      </c>
      <c r="B355" s="3">
        <v>267</v>
      </c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8"/>
      <c r="Q355" s="2"/>
    </row>
    <row x14ac:dyDescent="0.25" r="356" customHeight="1" ht="18.75">
      <c r="A356" s="11">
        <v>17.6</v>
      </c>
      <c r="B356" s="3">
        <v>302</v>
      </c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8"/>
      <c r="Q356" s="2"/>
    </row>
    <row x14ac:dyDescent="0.25" r="357" customHeight="1" ht="18.75">
      <c r="A357" s="3">
        <v>17</v>
      </c>
      <c r="B357" s="3">
        <v>305</v>
      </c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8"/>
      <c r="Q357" s="2"/>
    </row>
    <row x14ac:dyDescent="0.25" r="358" customHeight="1" ht="18.75">
      <c r="A358" s="3">
        <v>23</v>
      </c>
      <c r="B358" s="3">
        <v>350</v>
      </c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8"/>
      <c r="Q358" s="2"/>
    </row>
    <row x14ac:dyDescent="0.25" r="359" customHeight="1" ht="18.75">
      <c r="A359" s="11">
        <v>23.9</v>
      </c>
      <c r="B359" s="3">
        <v>260</v>
      </c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8"/>
      <c r="Q359" s="2"/>
    </row>
    <row x14ac:dyDescent="0.25" r="360" customHeight="1" ht="18.75">
      <c r="A360" s="11">
        <v>27.9</v>
      </c>
      <c r="B360" s="3">
        <v>156</v>
      </c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8"/>
      <c r="Q360" s="2"/>
    </row>
    <row x14ac:dyDescent="0.25" r="361" customHeight="1" ht="18.75">
      <c r="A361" s="3">
        <v>28</v>
      </c>
      <c r="B361" s="3">
        <v>151</v>
      </c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8"/>
      <c r="Q361" s="2"/>
    </row>
    <row x14ac:dyDescent="0.25" r="362" customHeight="1" ht="18.75">
      <c r="A362" s="11">
        <v>32.1</v>
      </c>
      <c r="B362" s="3">
        <v>98</v>
      </c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8"/>
      <c r="Q362" s="2"/>
    </row>
    <row x14ac:dyDescent="0.25" r="363" customHeight="1" ht="18.75">
      <c r="A363" s="11">
        <v>26.4</v>
      </c>
      <c r="B363" s="3">
        <v>140</v>
      </c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8"/>
      <c r="Q363" s="2"/>
    </row>
    <row x14ac:dyDescent="0.25" r="364" customHeight="1" ht="18.75">
      <c r="A364" s="11">
        <v>24.3</v>
      </c>
      <c r="B364" s="3">
        <v>151</v>
      </c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8"/>
      <c r="Q364" s="2"/>
    </row>
    <row x14ac:dyDescent="0.25" r="365" customHeight="1" ht="18.75">
      <c r="A365" s="11">
        <v>23.6</v>
      </c>
      <c r="B365" s="3">
        <v>140</v>
      </c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8"/>
      <c r="Q365" s="2"/>
    </row>
    <row x14ac:dyDescent="0.25" r="366" customHeight="1" ht="18.75">
      <c r="A366" s="11">
        <v>19.1</v>
      </c>
      <c r="B366" s="3">
        <v>225</v>
      </c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8"/>
      <c r="Q366" s="2"/>
    </row>
    <row x14ac:dyDescent="0.25" r="367" customHeight="1" ht="18.75">
      <c r="A367" s="3">
        <v>30</v>
      </c>
      <c r="B367" s="3">
        <v>135</v>
      </c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8"/>
      <c r="Q367" s="2"/>
    </row>
    <row x14ac:dyDescent="0.25" r="368" customHeight="1" ht="18.75">
      <c r="A368" s="11">
        <v>25.8</v>
      </c>
      <c r="B368" s="3">
        <v>156</v>
      </c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8"/>
      <c r="Q368" s="2"/>
    </row>
    <row x14ac:dyDescent="0.25" r="369" customHeight="1" ht="18.75">
      <c r="A369" s="3">
        <v>39</v>
      </c>
      <c r="B369" s="3">
        <v>86</v>
      </c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8"/>
      <c r="Q369" s="2"/>
    </row>
    <row x14ac:dyDescent="0.25" r="370" customHeight="1" ht="18.75">
      <c r="A370" s="11">
        <v>27.2</v>
      </c>
      <c r="B370" s="3">
        <v>135</v>
      </c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8"/>
      <c r="Q370" s="2"/>
    </row>
    <row x14ac:dyDescent="0.25" r="371" customHeight="1" ht="18.75">
      <c r="A371" s="11">
        <v>26.6</v>
      </c>
      <c r="B371" s="3">
        <v>151</v>
      </c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8"/>
      <c r="Q371" s="2"/>
    </row>
    <row x14ac:dyDescent="0.25" r="372" customHeight="1" ht="18.75">
      <c r="A372" s="11">
        <v>34.4</v>
      </c>
      <c r="B372" s="3">
        <v>98</v>
      </c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8"/>
      <c r="Q372" s="2"/>
    </row>
    <row x14ac:dyDescent="0.25" r="373" customHeight="1" ht="18.75">
      <c r="A373" s="11">
        <v>34.7</v>
      </c>
      <c r="B373" s="3">
        <v>105</v>
      </c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8"/>
      <c r="Q373" s="2"/>
    </row>
    <row x14ac:dyDescent="0.25" r="374" customHeight="1" ht="18.75">
      <c r="A374" s="11">
        <v>29.9</v>
      </c>
      <c r="B374" s="3">
        <v>98</v>
      </c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8"/>
      <c r="Q374" s="2"/>
    </row>
    <row x14ac:dyDescent="0.25" r="375" customHeight="1" ht="18.75">
      <c r="A375" s="11">
        <v>23.5</v>
      </c>
      <c r="B375" s="3">
        <v>173</v>
      </c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8"/>
      <c r="Q375" s="2"/>
    </row>
    <row x14ac:dyDescent="0.25" r="376" customHeight="1" ht="18.75">
      <c r="A376" s="11">
        <v>22.4</v>
      </c>
      <c r="B376" s="3">
        <v>231</v>
      </c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8"/>
      <c r="Q376" s="2"/>
    </row>
    <row x14ac:dyDescent="0.25" r="377" customHeight="1" ht="18.75">
      <c r="A377" s="11">
        <v>20.2</v>
      </c>
      <c r="B377" s="3">
        <v>200</v>
      </c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8"/>
      <c r="Q377" s="2"/>
    </row>
    <row x14ac:dyDescent="0.25" r="378" customHeight="1" ht="18.75">
      <c r="A378" s="11">
        <v>17.6</v>
      </c>
      <c r="B378" s="3">
        <v>225</v>
      </c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8"/>
      <c r="Q378" s="2"/>
    </row>
    <row x14ac:dyDescent="0.25" r="379" customHeight="1" ht="18.75">
      <c r="A379" s="11">
        <v>26.6</v>
      </c>
      <c r="B379" s="3">
        <v>350</v>
      </c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8"/>
      <c r="Q379" s="2"/>
    </row>
    <row x14ac:dyDescent="0.25" r="380" customHeight="1" ht="18.75">
      <c r="A380" s="3">
        <v>34</v>
      </c>
      <c r="B380" s="3">
        <v>112</v>
      </c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8"/>
      <c r="Q380" s="2"/>
    </row>
    <row x14ac:dyDescent="0.25" r="381" customHeight="1" ht="18.75">
      <c r="A381" s="3">
        <v>32</v>
      </c>
      <c r="B381" s="3">
        <v>135</v>
      </c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8"/>
      <c r="Q381" s="2"/>
    </row>
    <row x14ac:dyDescent="0.25" r="382" customHeight="1" ht="18.75">
      <c r="A382" s="3">
        <v>26</v>
      </c>
      <c r="B382" s="3">
        <v>156</v>
      </c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8"/>
      <c r="Q382" s="2"/>
    </row>
    <row x14ac:dyDescent="0.25" r="383" customHeight="1" ht="18.75">
      <c r="A383" s="3">
        <v>36</v>
      </c>
      <c r="B383" s="3">
        <v>135</v>
      </c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8"/>
      <c r="Q383" s="2"/>
    </row>
    <row x14ac:dyDescent="0.25" r="384" customHeight="1" ht="18.75">
      <c r="A384" s="3">
        <v>28</v>
      </c>
      <c r="B384" s="3">
        <v>112</v>
      </c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8"/>
      <c r="Q384" s="2"/>
    </row>
    <row x14ac:dyDescent="0.25" r="385" customHeight="1" ht="18.75">
      <c r="A385" s="3">
        <v>27</v>
      </c>
      <c r="B385" s="3">
        <v>112</v>
      </c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8"/>
      <c r="Q385" s="2"/>
    </row>
    <row x14ac:dyDescent="0.25" r="386" customHeight="1" ht="18.75">
      <c r="A386" s="3">
        <v>29</v>
      </c>
      <c r="B386" s="3">
        <v>135</v>
      </c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8"/>
      <c r="Q386" s="2"/>
    </row>
    <row x14ac:dyDescent="0.25" r="387" customHeight="1" ht="18.75">
      <c r="A387" s="3">
        <v>31</v>
      </c>
      <c r="B387" s="3">
        <v>112</v>
      </c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8"/>
      <c r="Q387" s="2"/>
    </row>
    <row x14ac:dyDescent="0.25" r="388" customHeight="1" ht="18.75">
      <c r="A388" s="3">
        <v>36</v>
      </c>
      <c r="B388" s="3">
        <v>98</v>
      </c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8"/>
      <c r="Q388" s="2"/>
    </row>
    <row x14ac:dyDescent="0.25" r="389" customHeight="1" ht="18.75">
      <c r="A389" s="3">
        <v>27</v>
      </c>
      <c r="B389" s="3">
        <v>151</v>
      </c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8"/>
      <c r="Q389" s="2"/>
    </row>
    <row x14ac:dyDescent="0.25" r="390" customHeight="1" ht="18.75">
      <c r="A390" s="3">
        <v>24</v>
      </c>
      <c r="B390" s="3">
        <v>140</v>
      </c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8"/>
      <c r="Q390" s="2"/>
    </row>
    <row x14ac:dyDescent="0.25" r="391" customHeight="1" ht="18.75">
      <c r="A391" s="3">
        <v>27</v>
      </c>
      <c r="B391" s="3">
        <v>140</v>
      </c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8"/>
      <c r="Q391" s="2"/>
    </row>
    <row x14ac:dyDescent="0.25" r="392" customHeight="1" ht="18.75">
      <c r="A392" s="3">
        <v>27</v>
      </c>
      <c r="B392" s="3">
        <v>151</v>
      </c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8"/>
      <c r="Q392" s="2"/>
    </row>
    <row x14ac:dyDescent="0.25" r="393" customHeight="1" ht="18.75">
      <c r="A393" s="3">
        <v>31</v>
      </c>
      <c r="B393" s="3">
        <v>119</v>
      </c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8"/>
      <c r="Q393" s="2"/>
    </row>
    <row x14ac:dyDescent="0.25" r="394" customHeight="1" ht="18.75">
      <c r="A394" s="3">
        <v>28</v>
      </c>
      <c r="B394" s="3">
        <v>120</v>
      </c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8"/>
      <c r="Q394" s="2"/>
    </row>
    <row x14ac:dyDescent="0.25" r="395" customHeight="1" ht="18.75">
      <c r="A395" s="3">
        <v>38</v>
      </c>
      <c r="B395" s="3">
        <v>105</v>
      </c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8"/>
      <c r="Q395" s="2"/>
    </row>
    <row x14ac:dyDescent="0.25" r="396" customHeight="1" ht="18.75">
      <c r="A396" s="3">
        <v>23</v>
      </c>
      <c r="B396" s="3">
        <v>151</v>
      </c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8"/>
      <c r="Q396" s="2"/>
    </row>
    <row x14ac:dyDescent="0.25" r="397" customHeight="1" ht="18.75">
      <c r="A397" s="3">
        <v>22</v>
      </c>
      <c r="B397" s="3">
        <v>232</v>
      </c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8"/>
      <c r="Q397" s="2"/>
    </row>
    <row x14ac:dyDescent="0.25" r="398" customHeight="1" ht="18.75">
      <c r="A398" s="3">
        <v>25</v>
      </c>
      <c r="B398" s="3">
        <v>181</v>
      </c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8"/>
      <c r="Q398" s="2"/>
    </row>
    <row x14ac:dyDescent="0.25" r="399" customHeight="1" ht="18.75">
      <c r="A399" s="3">
        <v>38</v>
      </c>
      <c r="B399" s="3">
        <v>262</v>
      </c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8"/>
      <c r="Q399" s="2"/>
    </row>
    <row x14ac:dyDescent="0.25" r="400" customHeight="1" ht="18.75">
      <c r="A400" s="7"/>
      <c r="B400" s="9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8"/>
      <c r="Q400" s="2"/>
    </row>
    <row x14ac:dyDescent="0.25" r="401" customHeight="1" ht="18.75">
      <c r="A401" s="7"/>
      <c r="B401" s="9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8"/>
      <c r="Q401" s="2"/>
    </row>
    <row x14ac:dyDescent="0.25" r="402" customHeight="1" ht="18.75">
      <c r="A402" s="7"/>
      <c r="B402" s="9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8"/>
      <c r="Q402" s="2"/>
    </row>
    <row x14ac:dyDescent="0.25" r="403" customHeight="1" ht="18.75">
      <c r="A403" s="7" t="s">
        <v>37</v>
      </c>
      <c r="B403" s="9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8"/>
      <c r="Q403" s="2"/>
    </row>
    <row x14ac:dyDescent="0.25" r="404" customHeight="1" ht="18.75">
      <c r="A404" s="11">
        <v>0.0729099157485418</v>
      </c>
      <c r="B404" s="9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8"/>
      <c r="Q404" s="2"/>
    </row>
    <row x14ac:dyDescent="0.25" r="405" customHeight="1" ht="18.75">
      <c r="A405" s="11">
        <v>0.053763440860215055</v>
      </c>
      <c r="B405" s="9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8"/>
      <c r="Q405" s="2"/>
    </row>
    <row x14ac:dyDescent="0.25" r="406" customHeight="1" ht="18.75">
      <c r="A406" s="11">
        <v>0.05084745762711865</v>
      </c>
      <c r="B406" s="9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8"/>
      <c r="Q406" s="2"/>
    </row>
    <row x14ac:dyDescent="0.25" r="407" customHeight="1" ht="18.75">
      <c r="A407" s="11">
        <v>0.050581915846016116</v>
      </c>
      <c r="B407" s="9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8"/>
      <c r="Q407" s="2"/>
    </row>
    <row x14ac:dyDescent="0.25" r="408" customHeight="1" ht="18.75">
      <c r="A408" s="11">
        <v>0.050528249885163065</v>
      </c>
      <c r="B408" s="9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8"/>
      <c r="Q408" s="2"/>
    </row>
    <row x14ac:dyDescent="0.25" r="409" customHeight="1" ht="18.75">
      <c r="A409" s="11">
        <v>0.049860853432282005</v>
      </c>
      <c r="B409" s="9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8"/>
      <c r="Q409" s="2"/>
    </row>
    <row x14ac:dyDescent="0.25" r="410" customHeight="1" ht="18.75">
      <c r="A410" s="11">
        <v>0.04935064935064935</v>
      </c>
      <c r="B410" s="9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8"/>
      <c r="Q410" s="2"/>
    </row>
    <row x14ac:dyDescent="0.25" r="411" customHeight="1" ht="18.75">
      <c r="A411" s="11">
        <v>0.04912663755458515</v>
      </c>
      <c r="B411" s="9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8"/>
      <c r="Q411" s="2"/>
    </row>
    <row x14ac:dyDescent="0.25" r="412" customHeight="1" ht="18.75">
      <c r="A412" s="11">
        <v>0.047895500725689405</v>
      </c>
      <c r="B412" s="9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8"/>
      <c r="Q412" s="2"/>
    </row>
    <row x14ac:dyDescent="0.25" r="413" customHeight="1" ht="18.75">
      <c r="A413" s="11">
        <v>0.04792332268370607</v>
      </c>
      <c r="B413" s="9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8"/>
      <c r="Q413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N46"/>
  <sheetViews>
    <sheetView workbookViewId="0"/>
  </sheetViews>
  <sheetFormatPr defaultRowHeight="15" x14ac:dyDescent="0.25"/>
  <cols>
    <col min="1" max="1" style="13" width="12.576428571428572" customWidth="1" bestFit="1"/>
    <col min="2" max="2" style="14" width="14.43357142857143" customWidth="1" bestFit="1"/>
    <col min="3" max="3" style="4" width="14.43357142857143" customWidth="1" bestFit="1"/>
    <col min="4" max="4" style="5" width="14.43357142857143" customWidth="1" bestFit="1"/>
    <col min="5" max="5" style="5" width="17.719285714285714" customWidth="1" bestFit="1"/>
    <col min="6" max="6" style="15" width="16.005" customWidth="1" bestFit="1"/>
    <col min="7" max="7" style="15" width="11.862142857142858" customWidth="1" bestFit="1"/>
    <col min="8" max="8" style="15" width="11.862142857142858" customWidth="1" bestFit="1"/>
    <col min="9" max="9" style="5" width="12.290714285714287" customWidth="1" bestFit="1"/>
    <col min="10" max="10" style="15" width="22.290714285714284" customWidth="1" bestFit="1"/>
    <col min="11" max="11" style="15" width="12.005" customWidth="1" bestFit="1"/>
    <col min="12" max="12" style="15" width="13.576428571428572" customWidth="1" bestFit="1"/>
    <col min="13" max="13" style="15" width="7.005" customWidth="1" bestFit="1"/>
    <col min="14" max="14" style="16" width="9.147857142857141" customWidth="1" bestFit="1"/>
  </cols>
  <sheetData>
    <row x14ac:dyDescent="0.25" r="1" customHeight="1" ht="18.75">
      <c r="A1" s="6"/>
      <c r="B1" s="7"/>
      <c r="C1" s="1"/>
      <c r="D1" s="2"/>
      <c r="E1" s="2"/>
      <c r="F1" s="8"/>
      <c r="G1" s="8"/>
      <c r="H1" s="8" t="s">
        <v>427</v>
      </c>
      <c r="I1" s="2"/>
      <c r="J1" s="8" t="s">
        <v>428</v>
      </c>
      <c r="K1" s="8" t="s">
        <v>429</v>
      </c>
      <c r="L1" s="8" t="s">
        <v>390</v>
      </c>
      <c r="M1" s="8" t="s">
        <v>430</v>
      </c>
      <c r="N1" s="9" t="s">
        <v>398</v>
      </c>
    </row>
    <row x14ac:dyDescent="0.25" r="2" customHeight="1" ht="18.75">
      <c r="A2" s="6"/>
      <c r="B2" s="7"/>
      <c r="C2" s="1"/>
      <c r="D2" s="2"/>
      <c r="E2" s="2"/>
      <c r="F2" s="8"/>
      <c r="G2" s="8" t="s">
        <v>431</v>
      </c>
      <c r="H2" s="11">
        <f>ROUND(27.891428, 3)</f>
      </c>
      <c r="I2" s="2"/>
      <c r="J2" s="11">
        <f>MIN(B4:B46)</f>
      </c>
      <c r="K2" s="11">
        <f>_xlfn.QUARTILE.INC(B4:B46, 1)</f>
      </c>
      <c r="L2" s="11">
        <f>MEDIAN(B4:B46)</f>
      </c>
      <c r="M2" s="11">
        <f>_xlfn.QUARTILE.INC(B4:B46,3)</f>
      </c>
      <c r="N2" s="3">
        <f>MAX(B4:B46)</f>
      </c>
    </row>
    <row x14ac:dyDescent="0.25" r="3" customHeight="1" ht="18.75">
      <c r="A3" s="6" t="s">
        <v>23</v>
      </c>
      <c r="B3" s="7" t="s">
        <v>24</v>
      </c>
      <c r="C3" s="42" t="s">
        <v>432</v>
      </c>
      <c r="D3" s="43" t="s">
        <v>422</v>
      </c>
      <c r="E3" s="2"/>
      <c r="F3" s="8" t="s">
        <v>433</v>
      </c>
      <c r="G3" s="8" t="s">
        <v>434</v>
      </c>
      <c r="H3" s="11">
        <f>ROUND(30.450632,3)</f>
      </c>
      <c r="I3" s="2"/>
      <c r="J3" s="8"/>
      <c r="K3" s="8"/>
      <c r="L3" s="8"/>
      <c r="M3" s="8"/>
      <c r="N3" s="9"/>
    </row>
    <row x14ac:dyDescent="0.25" r="4" customHeight="1" ht="18.75">
      <c r="A4" s="10" t="s">
        <v>27</v>
      </c>
      <c r="B4" s="11">
        <v>27.891428571428573</v>
      </c>
      <c r="C4" s="11">
        <f>IFERROR((B4-$F$10)/$G$10,"")</f>
      </c>
      <c r="D4" s="2"/>
      <c r="E4" s="2"/>
      <c r="F4" s="8"/>
      <c r="G4" s="8" t="s">
        <v>435</v>
      </c>
      <c r="H4" s="11">
        <f>ROUND(20.0835341,3)</f>
      </c>
      <c r="I4" s="2"/>
      <c r="J4" s="8" t="s">
        <v>436</v>
      </c>
      <c r="K4" s="8"/>
      <c r="L4" s="8"/>
      <c r="M4" s="8"/>
      <c r="N4" s="9"/>
    </row>
    <row x14ac:dyDescent="0.25" r="5" customHeight="1" ht="18.75">
      <c r="A5" s="10">
        <v>70</v>
      </c>
      <c r="B5" s="11">
        <v>25.2</v>
      </c>
      <c r="C5" s="11">
        <f>IFERROR((B5-$F$10)/$G$10,"")</f>
      </c>
      <c r="D5" s="38">
        <f>IF(ABS(C5)&gt;2,"Yes","No")</f>
      </c>
      <c r="E5" s="2"/>
      <c r="F5" s="8"/>
      <c r="G5" s="8" t="s">
        <v>437</v>
      </c>
      <c r="H5" s="11">
        <f>ROUND(23.514572,3)</f>
      </c>
      <c r="I5" s="2"/>
      <c r="J5" s="11">
        <f>M2-K2</f>
      </c>
      <c r="K5" s="8"/>
      <c r="L5" s="8"/>
      <c r="M5" s="8"/>
      <c r="N5" s="9"/>
    </row>
    <row x14ac:dyDescent="0.25" r="6" customHeight="1" ht="18.75">
      <c r="A6" s="10">
        <v>71</v>
      </c>
      <c r="B6" s="11">
        <v>28.75</v>
      </c>
      <c r="C6" s="11">
        <f>IFERROR((B6-$F$10)/$G$10,"")</f>
      </c>
      <c r="D6" s="38">
        <f>IF(ABS(C6)&gt;2,"Yes","No")</f>
      </c>
      <c r="E6" s="2"/>
      <c r="F6" s="8"/>
      <c r="G6" s="8"/>
      <c r="H6" s="8" t="s">
        <v>438</v>
      </c>
      <c r="I6" s="2"/>
      <c r="J6" s="8"/>
      <c r="K6" s="8"/>
      <c r="L6" s="8"/>
      <c r="M6" s="8"/>
      <c r="N6" s="9"/>
    </row>
    <row x14ac:dyDescent="0.25" r="7" customHeight="1" ht="18.75">
      <c r="A7" s="10">
        <v>72</v>
      </c>
      <c r="B7" s="3">
        <v>22</v>
      </c>
      <c r="C7" s="11">
        <f>IFERROR((B7-$F$10)/$G$10,"")</f>
      </c>
      <c r="D7" s="38">
        <f>IF(ABS(C7)&gt;2,"Yes","No")</f>
      </c>
      <c r="E7" s="2"/>
      <c r="F7" s="8"/>
      <c r="G7" s="8"/>
      <c r="H7" s="8"/>
      <c r="I7" s="2"/>
      <c r="J7" s="8"/>
      <c r="K7" s="8"/>
      <c r="L7" s="8"/>
      <c r="M7" s="8"/>
      <c r="N7" s="9"/>
    </row>
    <row x14ac:dyDescent="0.25" r="8" customHeight="1" ht="18.75">
      <c r="A8" s="10">
        <v>73</v>
      </c>
      <c r="B8" s="3">
        <v>24</v>
      </c>
      <c r="C8" s="11">
        <f>IFERROR((B8-$F$10)/$G$10,"")</f>
      </c>
      <c r="D8" s="38">
        <f>IF(ABS(C8)&gt;2,"Yes","No")</f>
      </c>
      <c r="E8" s="2"/>
      <c r="F8" s="8" t="s">
        <v>439</v>
      </c>
      <c r="G8" s="8"/>
      <c r="H8" s="8"/>
      <c r="I8" s="2"/>
      <c r="J8" s="8"/>
      <c r="K8" s="8"/>
      <c r="L8" s="8"/>
      <c r="M8" s="8"/>
      <c r="N8" s="9"/>
    </row>
    <row x14ac:dyDescent="0.25" r="9" customHeight="1" ht="18.75">
      <c r="A9" s="10">
        <v>74</v>
      </c>
      <c r="B9" s="3">
        <v>27</v>
      </c>
      <c r="C9" s="11">
        <f>IFERROR((B9-$F$10)/$G$10,"")</f>
      </c>
      <c r="D9" s="38">
        <f>IF(ABS(C9)&gt;2,"Yes","No")</f>
      </c>
      <c r="E9" s="2"/>
      <c r="F9" s="8" t="s">
        <v>389</v>
      </c>
      <c r="G9" s="8" t="s">
        <v>440</v>
      </c>
      <c r="H9" s="8"/>
      <c r="I9" s="2"/>
      <c r="J9" s="8"/>
      <c r="K9" s="8"/>
      <c r="L9" s="8"/>
      <c r="M9" s="8"/>
      <c r="N9" s="9"/>
    </row>
    <row x14ac:dyDescent="0.25" r="10" customHeight="1" ht="18.75">
      <c r="A10" s="10">
        <v>75</v>
      </c>
      <c r="B10" s="11">
        <v>24.5</v>
      </c>
      <c r="C10" s="11">
        <f>IFERROR((B10-$F$10)/$G$10,"")</f>
      </c>
      <c r="D10" s="38">
        <f>IF(ABS(C10)&gt;2,"Yes","No")</f>
      </c>
      <c r="E10" s="2"/>
      <c r="F10" s="11">
        <f>GETPIVOTDATA("mpg",$A$3)</f>
      </c>
      <c r="G10" s="11">
        <f>_xlfn.STDEV.P(B5:B17,B19:B31,B33:B45)</f>
      </c>
      <c r="H10" s="8"/>
      <c r="I10" s="2"/>
      <c r="J10" s="8"/>
      <c r="K10" s="8"/>
      <c r="L10" s="8"/>
      <c r="M10" s="8"/>
      <c r="N10" s="9"/>
    </row>
    <row x14ac:dyDescent="0.25" r="11" customHeight="1" ht="18.75">
      <c r="A11" s="10">
        <v>76</v>
      </c>
      <c r="B11" s="11">
        <v>24.25</v>
      </c>
      <c r="C11" s="11">
        <f>IFERROR((B11-$F$10)/$G$10,"")</f>
      </c>
      <c r="D11" s="38">
        <f>IF(ABS(C11)&gt;2,"Yes","No")</f>
      </c>
      <c r="E11" s="2"/>
      <c r="F11" s="8"/>
      <c r="G11" s="8"/>
      <c r="H11" s="8"/>
      <c r="I11" s="2"/>
      <c r="J11" s="8"/>
      <c r="K11" s="8"/>
      <c r="L11" s="8"/>
      <c r="M11" s="8"/>
      <c r="N11" s="9"/>
    </row>
    <row x14ac:dyDescent="0.25" r="12" customHeight="1" ht="18.75">
      <c r="A12" s="10">
        <v>77</v>
      </c>
      <c r="B12" s="11">
        <v>29.25</v>
      </c>
      <c r="C12" s="11">
        <f>IFERROR((B12-$F$10)/$G$10,"")</f>
      </c>
      <c r="D12" s="38">
        <f>IF(ABS(C12)&gt;2,"Yes","No")</f>
      </c>
      <c r="E12" s="2"/>
      <c r="F12" s="8"/>
      <c r="G12" s="8"/>
      <c r="H12" s="8"/>
      <c r="I12" s="2"/>
      <c r="J12" s="8"/>
      <c r="K12" s="8"/>
      <c r="L12" s="8"/>
      <c r="M12" s="8"/>
      <c r="N12" s="9"/>
    </row>
    <row x14ac:dyDescent="0.25" r="13" customHeight="1" ht="18.75">
      <c r="A13" s="10">
        <v>78</v>
      </c>
      <c r="B13" s="11">
        <v>24.95</v>
      </c>
      <c r="C13" s="11">
        <f>IFERROR((B13-$F$10)/$G$10,"")</f>
      </c>
      <c r="D13" s="38">
        <f>IF(ABS(C13)&gt;2,"Yes","No")</f>
      </c>
      <c r="E13" s="2"/>
      <c r="F13" s="8"/>
      <c r="G13" s="8"/>
      <c r="H13" s="8"/>
      <c r="I13" s="2"/>
      <c r="J13" s="8"/>
      <c r="K13" s="8"/>
      <c r="L13" s="8"/>
      <c r="M13" s="8"/>
      <c r="N13" s="9"/>
    </row>
    <row x14ac:dyDescent="0.25" r="14" customHeight="1" ht="18.75">
      <c r="A14" s="10">
        <v>79</v>
      </c>
      <c r="B14" s="11">
        <v>30.45</v>
      </c>
      <c r="C14" s="11">
        <f>IFERROR((B14-$F$10)/$G$10,"")</f>
      </c>
      <c r="D14" s="38">
        <f>IF(ABS(C14)&gt;2,"Yes","No")</f>
      </c>
      <c r="E14" s="2"/>
      <c r="F14" s="8"/>
      <c r="G14" s="8"/>
      <c r="H14" s="8"/>
      <c r="I14" s="2"/>
      <c r="J14" s="8"/>
      <c r="K14" s="8"/>
      <c r="L14" s="8"/>
      <c r="M14" s="8"/>
      <c r="N14" s="9"/>
    </row>
    <row x14ac:dyDescent="0.25" r="15" customHeight="1" ht="18.75">
      <c r="A15" s="10">
        <v>80</v>
      </c>
      <c r="B15" s="11">
        <v>37.28888888888889</v>
      </c>
      <c r="C15" s="11">
        <f>IFERROR((B15-$F$10)/$G$10,"")</f>
      </c>
      <c r="D15" s="38">
        <f>IF(ABS(C15)&gt;2,"Yes","No")</f>
      </c>
      <c r="E15" s="2"/>
      <c r="F15" s="8"/>
      <c r="G15" s="8"/>
      <c r="H15" s="8"/>
      <c r="I15" s="2"/>
      <c r="J15" s="8"/>
      <c r="K15" s="8"/>
      <c r="L15" s="8"/>
      <c r="M15" s="8"/>
      <c r="N15" s="9"/>
    </row>
    <row x14ac:dyDescent="0.25" r="16" customHeight="1" ht="18.75">
      <c r="A16" s="10">
        <v>81</v>
      </c>
      <c r="B16" s="11">
        <v>31.575</v>
      </c>
      <c r="C16" s="11">
        <f>IFERROR((B16-$F$10)/$G$10,"")</f>
      </c>
      <c r="D16" s="38">
        <f>IF(ABS(C16)&gt;2,"Yes","No")</f>
      </c>
      <c r="E16" s="2"/>
      <c r="F16" s="8"/>
      <c r="G16" s="8"/>
      <c r="H16" s="8"/>
      <c r="I16" s="2"/>
      <c r="J16" s="8"/>
      <c r="K16" s="8"/>
      <c r="L16" s="8"/>
      <c r="M16" s="8"/>
      <c r="N16" s="9"/>
    </row>
    <row x14ac:dyDescent="0.25" r="17" customHeight="1" ht="18.75">
      <c r="A17" s="10">
        <v>82</v>
      </c>
      <c r="B17" s="3">
        <v>40</v>
      </c>
      <c r="C17" s="11">
        <f>IFERROR((B17-$F$10)/$G$10,"")</f>
      </c>
      <c r="D17" s="38">
        <f>IF(ABS(C17)&gt;2,"Yes","No")</f>
      </c>
      <c r="E17" s="2"/>
      <c r="F17" s="8"/>
      <c r="G17" s="8"/>
      <c r="H17" s="8"/>
      <c r="I17" s="2"/>
      <c r="J17" s="8"/>
      <c r="K17" s="8"/>
      <c r="L17" s="8"/>
      <c r="M17" s="8"/>
      <c r="N17" s="9"/>
    </row>
    <row x14ac:dyDescent="0.25" r="18" customHeight="1" ht="18.75">
      <c r="A18" s="10" t="s">
        <v>28</v>
      </c>
      <c r="B18" s="11">
        <v>30.450632911392397</v>
      </c>
      <c r="C18" s="11">
        <f>IFERROR((B18-$F$10)/$G$10,"")</f>
      </c>
      <c r="D18" s="2"/>
      <c r="E18" s="2"/>
      <c r="F18" s="8"/>
      <c r="G18" s="8"/>
      <c r="H18" s="8"/>
      <c r="I18" s="2"/>
      <c r="J18" s="8"/>
      <c r="K18" s="8"/>
      <c r="L18" s="8"/>
      <c r="M18" s="8"/>
      <c r="N18" s="9"/>
    </row>
    <row x14ac:dyDescent="0.25" r="19" customHeight="1" ht="18.75">
      <c r="A19" s="10">
        <v>70</v>
      </c>
      <c r="B19" s="11">
        <v>25.5</v>
      </c>
      <c r="C19" s="11">
        <f>IFERROR((B19-$F$10)/$G$10,"")</f>
      </c>
      <c r="D19" s="38">
        <f>IF(ABS(C19)&gt;2,"Yes","No")</f>
      </c>
      <c r="E19" s="2"/>
      <c r="F19" s="8"/>
      <c r="G19" s="8"/>
      <c r="H19" s="8"/>
      <c r="I19" s="2"/>
      <c r="J19" s="8"/>
      <c r="K19" s="8"/>
      <c r="L19" s="8"/>
      <c r="M19" s="8"/>
      <c r="N19" s="9"/>
    </row>
    <row x14ac:dyDescent="0.25" r="20" customHeight="1" ht="18.75">
      <c r="A20" s="10">
        <v>71</v>
      </c>
      <c r="B20" s="11">
        <v>29.5</v>
      </c>
      <c r="C20" s="11">
        <f>IFERROR((B20-$F$10)/$G$10,"")</f>
      </c>
      <c r="D20" s="38">
        <f>IF(ABS(C20)&gt;2,"Yes","No")</f>
      </c>
      <c r="E20" s="2"/>
      <c r="F20" s="8"/>
      <c r="G20" s="8"/>
      <c r="H20" s="8"/>
      <c r="I20" s="2"/>
      <c r="J20" s="8"/>
      <c r="K20" s="8"/>
      <c r="L20" s="8"/>
      <c r="M20" s="8"/>
      <c r="N20" s="9"/>
    </row>
    <row x14ac:dyDescent="0.25" r="21" customHeight="1" ht="18.75">
      <c r="A21" s="10">
        <v>72</v>
      </c>
      <c r="B21" s="11">
        <v>24.2</v>
      </c>
      <c r="C21" s="11">
        <f>IFERROR((B21-$F$10)/$G$10,"")</f>
      </c>
      <c r="D21" s="38">
        <f>IF(ABS(C21)&gt;2,"Yes","No")</f>
      </c>
      <c r="E21" s="2"/>
      <c r="F21" s="8"/>
      <c r="G21" s="8"/>
      <c r="H21" s="8"/>
      <c r="I21" s="2"/>
      <c r="J21" s="8"/>
      <c r="K21" s="8"/>
      <c r="L21" s="8"/>
      <c r="M21" s="8"/>
      <c r="N21" s="9"/>
    </row>
    <row x14ac:dyDescent="0.25" r="22" customHeight="1" ht="18.75">
      <c r="A22" s="10">
        <v>73</v>
      </c>
      <c r="B22" s="3">
        <v>20</v>
      </c>
      <c r="C22" s="11">
        <f>IFERROR((B22-$F$10)/$G$10,"")</f>
      </c>
      <c r="D22" s="38">
        <f>IF(ABS(C22)&gt;2,"Yes","No")</f>
      </c>
      <c r="E22" s="2"/>
      <c r="F22" s="8"/>
      <c r="G22" s="8"/>
      <c r="H22" s="8"/>
      <c r="I22" s="2"/>
      <c r="J22" s="8"/>
      <c r="K22" s="8"/>
      <c r="L22" s="8"/>
      <c r="M22" s="8"/>
      <c r="N22" s="9"/>
    </row>
    <row x14ac:dyDescent="0.25" r="23" customHeight="1" ht="18.75">
      <c r="A23" s="10">
        <v>74</v>
      </c>
      <c r="B23" s="11">
        <v>29.333333333333332</v>
      </c>
      <c r="C23" s="11">
        <f>IFERROR((B23-$F$10)/$G$10,"")</f>
      </c>
      <c r="D23" s="38">
        <f>IF(ABS(C23)&gt;2,"Yes","No")</f>
      </c>
      <c r="E23" s="2"/>
      <c r="F23" s="8"/>
      <c r="G23" s="8"/>
      <c r="H23" s="8"/>
      <c r="I23" s="2"/>
      <c r="J23" s="8"/>
      <c r="K23" s="8"/>
      <c r="L23" s="8"/>
      <c r="M23" s="8"/>
      <c r="N23" s="9"/>
    </row>
    <row x14ac:dyDescent="0.25" r="24" customHeight="1" ht="18.75">
      <c r="A24" s="10">
        <v>75</v>
      </c>
      <c r="B24" s="11">
        <v>27.5</v>
      </c>
      <c r="C24" s="11">
        <f>IFERROR((B24-$F$10)/$G$10,"")</f>
      </c>
      <c r="D24" s="38">
        <f>IF(ABS(C24)&gt;2,"Yes","No")</f>
      </c>
      <c r="E24" s="2"/>
      <c r="F24" s="8"/>
      <c r="G24" s="8"/>
      <c r="H24" s="8"/>
      <c r="I24" s="2"/>
      <c r="J24" s="8"/>
      <c r="K24" s="8"/>
      <c r="L24" s="8"/>
      <c r="M24" s="8"/>
      <c r="N24" s="9"/>
    </row>
    <row x14ac:dyDescent="0.25" r="25" customHeight="1" ht="18.75">
      <c r="A25" s="10">
        <v>76</v>
      </c>
      <c r="B25" s="3">
        <v>28</v>
      </c>
      <c r="C25" s="11">
        <f>IFERROR((B25-$F$10)/$G$10,"")</f>
      </c>
      <c r="D25" s="38">
        <f>IF(ABS(C25)&gt;2,"Yes","No")</f>
      </c>
      <c r="E25" s="2"/>
      <c r="F25" s="8"/>
      <c r="G25" s="8"/>
      <c r="H25" s="8"/>
      <c r="I25" s="2"/>
      <c r="J25" s="8"/>
      <c r="K25" s="8"/>
      <c r="L25" s="8"/>
      <c r="M25" s="8"/>
      <c r="N25" s="9"/>
    </row>
    <row x14ac:dyDescent="0.25" r="26" customHeight="1" ht="18.75">
      <c r="A26" s="10">
        <v>77</v>
      </c>
      <c r="B26" s="11">
        <v>27.416666666666668</v>
      </c>
      <c r="C26" s="11">
        <f>IFERROR((B26-$F$10)/$G$10,"")</f>
      </c>
      <c r="D26" s="38">
        <f>IF(ABS(C26)&gt;2,"Yes","No")</f>
      </c>
      <c r="E26" s="2"/>
      <c r="F26" s="8"/>
      <c r="G26" s="8"/>
      <c r="H26" s="8"/>
      <c r="I26" s="2"/>
      <c r="J26" s="8"/>
      <c r="K26" s="8"/>
      <c r="L26" s="8"/>
      <c r="M26" s="8"/>
      <c r="N26" s="9"/>
    </row>
    <row x14ac:dyDescent="0.25" r="27" customHeight="1" ht="18.75">
      <c r="A27" s="10">
        <v>78</v>
      </c>
      <c r="B27" s="11">
        <v>29.687499999999996</v>
      </c>
      <c r="C27" s="11">
        <f>IFERROR((B27-$F$10)/$G$10,"")</f>
      </c>
      <c r="D27" s="38">
        <f>IF(ABS(C27)&gt;2,"Yes","No")</f>
      </c>
      <c r="E27" s="2"/>
      <c r="F27" s="8"/>
      <c r="G27" s="8"/>
      <c r="H27" s="8"/>
      <c r="I27" s="2"/>
      <c r="J27" s="8"/>
      <c r="K27" s="8"/>
      <c r="L27" s="8"/>
      <c r="M27" s="8"/>
      <c r="N27" s="9"/>
    </row>
    <row x14ac:dyDescent="0.25" r="28" customHeight="1" ht="18.75">
      <c r="A28" s="10">
        <v>79</v>
      </c>
      <c r="B28" s="11">
        <v>32.95</v>
      </c>
      <c r="C28" s="11">
        <f>IFERROR((B28-$F$10)/$G$10,"")</f>
      </c>
      <c r="D28" s="38">
        <f>IF(ABS(C28)&gt;2,"Yes","No")</f>
      </c>
      <c r="E28" s="2"/>
      <c r="F28" s="8"/>
      <c r="G28" s="8"/>
      <c r="H28" s="8"/>
      <c r="I28" s="2"/>
      <c r="J28" s="8"/>
      <c r="K28" s="8"/>
      <c r="L28" s="8"/>
      <c r="M28" s="8"/>
      <c r="N28" s="9"/>
    </row>
    <row x14ac:dyDescent="0.25" r="29" customHeight="1" ht="18.75">
      <c r="A29" s="10">
        <v>80</v>
      </c>
      <c r="B29" s="11">
        <v>35.4</v>
      </c>
      <c r="C29" s="11">
        <f>IFERROR((B29-$F$10)/$G$10,"")</f>
      </c>
      <c r="D29" s="38">
        <f>IF(ABS(C29)&gt;2,"Yes","No")</f>
      </c>
      <c r="E29" s="2"/>
      <c r="F29" s="8"/>
      <c r="G29" s="8"/>
      <c r="H29" s="8"/>
      <c r="I29" s="2"/>
      <c r="J29" s="8"/>
      <c r="K29" s="8"/>
      <c r="L29" s="8"/>
      <c r="M29" s="8"/>
      <c r="N29" s="9"/>
    </row>
    <row x14ac:dyDescent="0.25" r="30" customHeight="1" ht="18.75">
      <c r="A30" s="10">
        <v>81</v>
      </c>
      <c r="B30" s="11">
        <v>32.95833333333333</v>
      </c>
      <c r="C30" s="11">
        <f>IFERROR((B30-$F$10)/$G$10,"")</f>
      </c>
      <c r="D30" s="38">
        <f>IF(ABS(C30)&gt;2,"Yes","No")</f>
      </c>
      <c r="E30" s="2"/>
      <c r="F30" s="8"/>
      <c r="G30" s="8"/>
      <c r="H30" s="8"/>
      <c r="I30" s="2"/>
      <c r="J30" s="8"/>
      <c r="K30" s="8"/>
      <c r="L30" s="8"/>
      <c r="M30" s="8"/>
      <c r="N30" s="9"/>
    </row>
    <row x14ac:dyDescent="0.25" r="31" customHeight="1" ht="18.75">
      <c r="A31" s="10">
        <v>82</v>
      </c>
      <c r="B31" s="11">
        <v>34.888888888888886</v>
      </c>
      <c r="C31" s="11">
        <f>IFERROR((B31-$F$10)/$G$10,"")</f>
      </c>
      <c r="D31" s="38">
        <f>IF(ABS(C31)&gt;2,"Yes","No")</f>
      </c>
      <c r="E31" s="2"/>
      <c r="F31" s="8"/>
      <c r="G31" s="8"/>
      <c r="H31" s="8"/>
      <c r="I31" s="2"/>
      <c r="J31" s="8"/>
      <c r="K31" s="8"/>
      <c r="L31" s="8"/>
      <c r="M31" s="8"/>
      <c r="N31" s="9"/>
    </row>
    <row x14ac:dyDescent="0.25" r="32" customHeight="1" ht="18.75">
      <c r="A32" s="10" t="s">
        <v>29</v>
      </c>
      <c r="B32" s="11">
        <v>20.083534136546177</v>
      </c>
      <c r="C32" s="11">
        <f>IFERROR((B32-$F$10)/$G$10,"")</f>
      </c>
      <c r="D32" s="2"/>
      <c r="E32" s="2"/>
      <c r="F32" s="8"/>
      <c r="G32" s="8"/>
      <c r="H32" s="8"/>
      <c r="I32" s="2"/>
      <c r="J32" s="8"/>
      <c r="K32" s="8"/>
      <c r="L32" s="8"/>
      <c r="M32" s="8"/>
      <c r="N32" s="9"/>
    </row>
    <row x14ac:dyDescent="0.25" r="33" customHeight="1" ht="18.75">
      <c r="A33" s="10">
        <v>70</v>
      </c>
      <c r="B33" s="11">
        <v>15.272727272727273</v>
      </c>
      <c r="C33" s="11">
        <f>IFERROR((B33-$F$10)/$G$10,"")</f>
      </c>
      <c r="D33" s="38">
        <f>IF(ABS(C33)&gt;2,"Yes","No")</f>
      </c>
      <c r="E33" s="2"/>
      <c r="F33" s="8"/>
      <c r="G33" s="8"/>
      <c r="H33" s="8"/>
      <c r="I33" s="2"/>
      <c r="J33" s="8"/>
      <c r="K33" s="8"/>
      <c r="L33" s="8"/>
      <c r="M33" s="8"/>
      <c r="N33" s="9"/>
    </row>
    <row x14ac:dyDescent="0.25" r="34" customHeight="1" ht="18.75">
      <c r="A34" s="10">
        <v>71</v>
      </c>
      <c r="B34" s="11">
        <v>18.1</v>
      </c>
      <c r="C34" s="11">
        <f>IFERROR((B34-$F$10)/$G$10,"")</f>
      </c>
      <c r="D34" s="38">
        <f>IF(ABS(C34)&gt;2,"Yes","No")</f>
      </c>
      <c r="E34" s="2"/>
      <c r="F34" s="8"/>
      <c r="G34" s="8"/>
      <c r="H34" s="8"/>
      <c r="I34" s="2"/>
      <c r="J34" s="8"/>
      <c r="K34" s="8"/>
      <c r="L34" s="8"/>
      <c r="M34" s="8"/>
      <c r="N34" s="9"/>
    </row>
    <row x14ac:dyDescent="0.25" r="35" customHeight="1" ht="18.75">
      <c r="A35" s="10">
        <v>72</v>
      </c>
      <c r="B35" s="11">
        <v>16.27777777777778</v>
      </c>
      <c r="C35" s="11">
        <f>IFERROR((B35-$F$10)/$G$10,"")</f>
      </c>
      <c r="D35" s="38">
        <f>IF(ABS(C35)&gt;2,"Yes","No")</f>
      </c>
      <c r="E35" s="2"/>
      <c r="F35" s="8"/>
      <c r="G35" s="8"/>
      <c r="H35" s="8"/>
      <c r="I35" s="2"/>
      <c r="J35" s="8"/>
      <c r="K35" s="8"/>
      <c r="L35" s="8"/>
      <c r="M35" s="8"/>
      <c r="N35" s="9"/>
    </row>
    <row x14ac:dyDescent="0.25" r="36" customHeight="1" ht="18.75">
      <c r="A36" s="10">
        <v>73</v>
      </c>
      <c r="B36" s="11">
        <v>15.03448275862069</v>
      </c>
      <c r="C36" s="11">
        <f>IFERROR((B36-$F$10)/$G$10,"")</f>
      </c>
      <c r="D36" s="38">
        <f>IF(ABS(C36)&gt;2,"Yes","No")</f>
      </c>
      <c r="E36" s="2"/>
      <c r="F36" s="8"/>
      <c r="G36" s="8"/>
      <c r="H36" s="8"/>
      <c r="I36" s="2"/>
      <c r="J36" s="8"/>
      <c r="K36" s="8"/>
      <c r="L36" s="8"/>
      <c r="M36" s="8"/>
      <c r="N36" s="9"/>
    </row>
    <row x14ac:dyDescent="0.25" r="37" customHeight="1" ht="18.75">
      <c r="A37" s="10">
        <v>74</v>
      </c>
      <c r="B37" s="11">
        <v>18.333333333333332</v>
      </c>
      <c r="C37" s="11">
        <f>IFERROR((B37-$F$10)/$G$10,"")</f>
      </c>
      <c r="D37" s="38">
        <f>IF(ABS(C37)&gt;2,"Yes","No")</f>
      </c>
      <c r="E37" s="2"/>
      <c r="F37" s="8"/>
      <c r="G37" s="8"/>
      <c r="H37" s="8"/>
      <c r="I37" s="2"/>
      <c r="J37" s="8"/>
      <c r="K37" s="8"/>
      <c r="L37" s="8"/>
      <c r="M37" s="8"/>
      <c r="N37" s="9"/>
    </row>
    <row x14ac:dyDescent="0.25" r="38" customHeight="1" ht="18.75">
      <c r="A38" s="10">
        <v>75</v>
      </c>
      <c r="B38" s="11">
        <v>17.55</v>
      </c>
      <c r="C38" s="11">
        <f>IFERROR((B38-$F$10)/$G$10,"")</f>
      </c>
      <c r="D38" s="38">
        <f>IF(ABS(C38)&gt;2,"Yes","No")</f>
      </c>
      <c r="E38" s="2"/>
      <c r="F38" s="8"/>
      <c r="G38" s="8"/>
      <c r="H38" s="8"/>
      <c r="I38" s="2"/>
      <c r="J38" s="8"/>
      <c r="K38" s="8"/>
      <c r="L38" s="8"/>
      <c r="M38" s="8"/>
      <c r="N38" s="9"/>
    </row>
    <row x14ac:dyDescent="0.25" r="39" customHeight="1" ht="18.75">
      <c r="A39" s="10">
        <v>76</v>
      </c>
      <c r="B39" s="11">
        <v>19.431818181818183</v>
      </c>
      <c r="C39" s="11">
        <f>IFERROR((B39-$F$10)/$G$10,"")</f>
      </c>
      <c r="D39" s="38">
        <f>IF(ABS(C39)&gt;2,"Yes","No")</f>
      </c>
      <c r="E39" s="2"/>
      <c r="F39" s="8"/>
      <c r="G39" s="8"/>
      <c r="H39" s="8"/>
      <c r="I39" s="2"/>
      <c r="J39" s="8"/>
      <c r="K39" s="8"/>
      <c r="L39" s="8"/>
      <c r="M39" s="8"/>
      <c r="N39" s="9"/>
    </row>
    <row x14ac:dyDescent="0.25" r="40" customHeight="1" ht="18.75">
      <c r="A40" s="10">
        <v>77</v>
      </c>
      <c r="B40" s="11">
        <v>20.72222222222222</v>
      </c>
      <c r="C40" s="11">
        <f>IFERROR((B40-$F$10)/$G$10,"")</f>
      </c>
      <c r="D40" s="38">
        <f>IF(ABS(C40)&gt;2,"Yes","No")</f>
      </c>
      <c r="E40" s="2"/>
      <c r="F40" s="8"/>
      <c r="G40" s="8"/>
      <c r="H40" s="8"/>
      <c r="I40" s="2"/>
      <c r="J40" s="8"/>
      <c r="K40" s="8"/>
      <c r="L40" s="8"/>
      <c r="M40" s="8"/>
      <c r="N40" s="9"/>
    </row>
    <row x14ac:dyDescent="0.25" r="41" customHeight="1" ht="18.75">
      <c r="A41" s="10">
        <v>78</v>
      </c>
      <c r="B41" s="11">
        <v>21.772727272727273</v>
      </c>
      <c r="C41" s="11">
        <f>IFERROR((B41-$F$10)/$G$10,"")</f>
      </c>
      <c r="D41" s="38">
        <f>IF(ABS(C41)&gt;2,"Yes","No")</f>
      </c>
      <c r="E41" s="2"/>
      <c r="F41" s="8"/>
      <c r="G41" s="8"/>
      <c r="H41" s="8"/>
      <c r="I41" s="2"/>
      <c r="J41" s="8"/>
      <c r="K41" s="8"/>
      <c r="L41" s="8"/>
      <c r="M41" s="8"/>
      <c r="N41" s="9"/>
    </row>
    <row x14ac:dyDescent="0.25" r="42" customHeight="1" ht="18.75">
      <c r="A42" s="10">
        <v>79</v>
      </c>
      <c r="B42" s="11">
        <v>23.47826086956522</v>
      </c>
      <c r="C42" s="11">
        <f>IFERROR((B42-$F$10)/$G$10,"")</f>
      </c>
      <c r="D42" s="38">
        <f>IF(ABS(C42)&gt;2,"Yes","No")</f>
      </c>
      <c r="E42" s="2"/>
      <c r="F42" s="8"/>
      <c r="G42" s="8"/>
      <c r="H42" s="8"/>
      <c r="I42" s="2"/>
      <c r="J42" s="8"/>
      <c r="K42" s="8"/>
      <c r="L42" s="8"/>
      <c r="M42" s="8"/>
      <c r="N42" s="9"/>
    </row>
    <row x14ac:dyDescent="0.25" r="43" customHeight="1" ht="18.75">
      <c r="A43" s="10">
        <v>80</v>
      </c>
      <c r="B43" s="11">
        <v>25.914285714285715</v>
      </c>
      <c r="C43" s="11">
        <f>IFERROR((B43-$F$10)/$G$10,"")</f>
      </c>
      <c r="D43" s="38">
        <f>IF(ABS(C43)&gt;2,"Yes","No")</f>
      </c>
      <c r="E43" s="2"/>
      <c r="F43" s="8"/>
      <c r="G43" s="8"/>
      <c r="H43" s="8"/>
      <c r="I43" s="2"/>
      <c r="J43" s="8"/>
      <c r="K43" s="8"/>
      <c r="L43" s="8"/>
      <c r="M43" s="8"/>
      <c r="N43" s="9"/>
    </row>
    <row x14ac:dyDescent="0.25" r="44" customHeight="1" ht="18.75">
      <c r="A44" s="10">
        <v>81</v>
      </c>
      <c r="B44" s="11">
        <v>27.530769230769234</v>
      </c>
      <c r="C44" s="11">
        <f>IFERROR((B44-$F$10)/$G$10,"")</f>
      </c>
      <c r="D44" s="38">
        <f>IF(ABS(C44)&gt;2,"Yes","No")</f>
      </c>
      <c r="E44" s="2"/>
      <c r="F44" s="8"/>
      <c r="G44" s="8"/>
      <c r="H44" s="8"/>
      <c r="I44" s="2"/>
      <c r="J44" s="8"/>
      <c r="K44" s="8"/>
      <c r="L44" s="8"/>
      <c r="M44" s="8"/>
      <c r="N44" s="9"/>
    </row>
    <row x14ac:dyDescent="0.25" r="45" customHeight="1" ht="18.75">
      <c r="A45" s="10">
        <v>82</v>
      </c>
      <c r="B45" s="11">
        <v>29.45</v>
      </c>
      <c r="C45" s="11">
        <f>IFERROR((B45-$F$10)/$G$10,"")</f>
      </c>
      <c r="D45" s="38">
        <f>IF(ABS(C45)&gt;2,"Yes","No")</f>
      </c>
      <c r="E45" s="2"/>
      <c r="F45" s="8"/>
      <c r="G45" s="8"/>
      <c r="H45" s="8"/>
      <c r="I45" s="2"/>
      <c r="J45" s="8"/>
      <c r="K45" s="8"/>
      <c r="L45" s="8"/>
      <c r="M45" s="8"/>
      <c r="N45" s="9"/>
    </row>
    <row x14ac:dyDescent="0.25" r="46" customHeight="1" ht="18.75">
      <c r="A46" s="10" t="s">
        <v>30</v>
      </c>
      <c r="B46" s="11">
        <v>23.514572864321607</v>
      </c>
      <c r="C46" s="3">
        <f>IFERROR((B46-$F$10)/$G$10,"")</f>
      </c>
      <c r="D46" s="2"/>
      <c r="E46" s="2"/>
      <c r="F46" s="8"/>
      <c r="G46" s="8"/>
      <c r="H46" s="8"/>
      <c r="I46" s="2"/>
      <c r="J46" s="8"/>
      <c r="K46" s="8"/>
      <c r="L46" s="8"/>
      <c r="M46" s="8"/>
      <c r="N46" s="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L399"/>
  <sheetViews>
    <sheetView workbookViewId="0"/>
  </sheetViews>
  <sheetFormatPr defaultRowHeight="15" x14ac:dyDescent="0.25"/>
  <cols>
    <col min="1" max="1" style="5" width="31.862142857142857" customWidth="1" bestFit="1"/>
    <col min="2" max="2" style="4" width="12.719285714285713" customWidth="1" bestFit="1"/>
    <col min="3" max="3" style="14" width="18.005" customWidth="1" bestFit="1"/>
    <col min="4" max="4" style="5" width="18.005" customWidth="1" bestFit="1"/>
    <col min="5" max="5" style="14" width="21.290714285714284" customWidth="1" bestFit="1"/>
    <col min="6" max="6" style="5" width="11.290714285714287" customWidth="1" bestFit="1"/>
    <col min="7" max="7" style="5" width="13.576428571428572" customWidth="1" bestFit="1"/>
    <col min="8" max="8" style="15" width="16.005" customWidth="1" bestFit="1"/>
    <col min="9" max="9" style="15" width="24.719285714285714" customWidth="1" bestFit="1"/>
    <col min="10" max="10" style="5" width="13.576428571428572" customWidth="1" bestFit="1"/>
    <col min="11" max="11" style="16" width="20.433571428571426" customWidth="1" bestFit="1"/>
    <col min="12" max="12" style="15" width="13.576428571428572" customWidth="1" bestFit="1"/>
  </cols>
  <sheetData>
    <row x14ac:dyDescent="0.25" r="1" customHeight="1" ht="18.75" customFormat="1" s="17">
      <c r="A1" s="19" t="s">
        <v>31</v>
      </c>
      <c r="B1" s="20" t="s">
        <v>38</v>
      </c>
      <c r="C1" s="40" t="s">
        <v>421</v>
      </c>
      <c r="D1" s="18" t="s">
        <v>422</v>
      </c>
      <c r="E1" s="40" t="s">
        <v>423</v>
      </c>
      <c r="F1" s="18"/>
      <c r="G1" s="18"/>
      <c r="H1" s="41" t="s">
        <v>424</v>
      </c>
      <c r="I1" s="41"/>
      <c r="J1" s="18"/>
      <c r="K1" s="37" t="s">
        <v>425</v>
      </c>
      <c r="L1" s="41"/>
    </row>
    <row x14ac:dyDescent="0.25" r="2" customHeight="1" ht="18.75">
      <c r="A2" s="2" t="s">
        <v>41</v>
      </c>
      <c r="B2" s="11">
        <v>12.5</v>
      </c>
      <c r="C2" s="11">
        <f>IFERROR((B2-$H$3)/$I$3,"")</f>
      </c>
      <c r="D2" s="38">
        <f>IF(ABS(C2)&gt;2,"Yes","No")</f>
      </c>
      <c r="E2" s="11">
        <f>IFERROR((B2-$K$3) / ($L$3-$K$3),"")</f>
      </c>
      <c r="F2" s="2"/>
      <c r="G2" s="2"/>
      <c r="H2" s="8" t="s">
        <v>389</v>
      </c>
      <c r="I2" s="8" t="s">
        <v>426</v>
      </c>
      <c r="J2" s="2"/>
      <c r="K2" s="9" t="s">
        <v>397</v>
      </c>
      <c r="L2" s="8" t="s">
        <v>398</v>
      </c>
    </row>
    <row x14ac:dyDescent="0.25" r="3" customHeight="1" ht="18.75">
      <c r="A3" s="2" t="s">
        <v>42</v>
      </c>
      <c r="B3" s="11">
        <v>17.5</v>
      </c>
      <c r="C3" s="11">
        <f>IFERROR((B3-$H$3)/$I$3,"")</f>
      </c>
      <c r="D3" s="38">
        <f>IF(ABS(C3)&gt;2,"Yes","No")</f>
      </c>
      <c r="E3" s="11">
        <f>IFERROR((B3-$K$3) / ($L$3-$K$3),"")</f>
      </c>
      <c r="F3" s="2"/>
      <c r="G3" s="2"/>
      <c r="H3" s="11">
        <f>AVERAGE(B2:B399)</f>
      </c>
      <c r="I3" s="11">
        <f>_xlfn.STDEV.P(B2:B399)</f>
      </c>
      <c r="J3" s="2"/>
      <c r="K3" s="3">
        <f>MIN(B2:B399)</f>
      </c>
      <c r="L3" s="11">
        <f>MAX(B2:B399)</f>
      </c>
    </row>
    <row x14ac:dyDescent="0.25" r="4" customHeight="1" ht="18.75">
      <c r="A4" s="2" t="s">
        <v>43</v>
      </c>
      <c r="B4" s="11">
        <v>14.5</v>
      </c>
      <c r="C4" s="11">
        <f>IFERROR((B4-$H$3)/$I$3,"")</f>
      </c>
      <c r="D4" s="38">
        <f>IF(ABS(C4)&gt;2,"Yes","No")</f>
      </c>
      <c r="E4" s="11">
        <f>IFERROR((B4-$K$3) / ($L$3-$K$3),"")</f>
      </c>
      <c r="F4" s="2"/>
      <c r="G4" s="2"/>
      <c r="H4" s="8"/>
      <c r="I4" s="8"/>
      <c r="J4" s="2"/>
      <c r="K4" s="9"/>
      <c r="L4" s="8"/>
    </row>
    <row x14ac:dyDescent="0.25" r="5" customHeight="1" ht="18.75">
      <c r="A5" s="2" t="s">
        <v>44</v>
      </c>
      <c r="B5" s="11">
        <v>17.5</v>
      </c>
      <c r="C5" s="11">
        <f>IFERROR((B5-$H$3)/$I$3,"")</f>
      </c>
      <c r="D5" s="38">
        <f>IF(ABS(C5)&gt;2,"Yes","No")</f>
      </c>
      <c r="E5" s="11">
        <f>IFERROR((B5-$K$3) / ($L$3-$K$3),"")</f>
      </c>
      <c r="F5" s="2"/>
      <c r="G5" s="2"/>
      <c r="H5" s="8"/>
      <c r="I5" s="8"/>
      <c r="J5" s="2"/>
      <c r="K5" s="9"/>
      <c r="L5" s="8"/>
    </row>
    <row x14ac:dyDescent="0.25" r="6" customHeight="1" ht="18.75">
      <c r="A6" s="2" t="s">
        <v>45</v>
      </c>
      <c r="B6" s="11">
        <v>20.5</v>
      </c>
      <c r="C6" s="11">
        <f>IFERROR((B6-$H$3)/$I$3,"")</f>
      </c>
      <c r="D6" s="38">
        <f>IF(ABS(C6)&gt;2,"Yes","No")</f>
      </c>
      <c r="E6" s="11">
        <f>IFERROR((B6-$K$3) / ($L$3-$K$3),"")</f>
      </c>
      <c r="F6" s="2"/>
      <c r="G6" s="2"/>
      <c r="H6" s="8"/>
      <c r="I6" s="8"/>
      <c r="J6" s="2"/>
      <c r="K6" s="9"/>
      <c r="L6" s="8"/>
    </row>
    <row x14ac:dyDescent="0.25" r="7" customHeight="1" ht="18.75">
      <c r="A7" s="2" t="s">
        <v>46</v>
      </c>
      <c r="B7" s="3">
        <v>14</v>
      </c>
      <c r="C7" s="11">
        <f>IFERROR((B7-$H$3)/$I$3,"")</f>
      </c>
      <c r="D7" s="38">
        <f>IF(ABS(C7)&gt;2,"Yes","No")</f>
      </c>
      <c r="E7" s="11">
        <f>IFERROR((B7-$K$3) / ($L$3-$K$3),"")</f>
      </c>
      <c r="F7" s="2"/>
      <c r="G7" s="2"/>
      <c r="H7" s="8"/>
      <c r="I7" s="8"/>
      <c r="J7" s="2"/>
      <c r="K7" s="9"/>
      <c r="L7" s="8"/>
    </row>
    <row x14ac:dyDescent="0.25" r="8" customHeight="1" ht="18.75">
      <c r="A8" s="2" t="s">
        <v>47</v>
      </c>
      <c r="B8" s="11">
        <v>14.5</v>
      </c>
      <c r="C8" s="11">
        <f>IFERROR((B8-$H$3)/$I$3,"")</f>
      </c>
      <c r="D8" s="38">
        <f>IF(ABS(C8)&gt;2,"Yes","No")</f>
      </c>
      <c r="E8" s="11">
        <f>IFERROR((B8-$K$3) / ($L$3-$K$3),"")</f>
      </c>
      <c r="F8" s="2"/>
      <c r="G8" s="2"/>
      <c r="H8" s="8"/>
      <c r="I8" s="8"/>
      <c r="J8" s="2"/>
      <c r="K8" s="9"/>
      <c r="L8" s="8"/>
    </row>
    <row x14ac:dyDescent="0.25" r="9" customHeight="1" ht="18.75">
      <c r="A9" s="2" t="s">
        <v>48</v>
      </c>
      <c r="B9" s="11">
        <v>19.5</v>
      </c>
      <c r="C9" s="11">
        <f>IFERROR((B9-$H$3)/$I$3,"")</f>
      </c>
      <c r="D9" s="38">
        <f>IF(ABS(C9)&gt;2,"Yes","No")</f>
      </c>
      <c r="E9" s="11">
        <f>IFERROR((B9-$K$3) / ($L$3-$K$3),"")</f>
      </c>
      <c r="F9" s="2"/>
      <c r="G9" s="2"/>
      <c r="H9" s="8"/>
      <c r="I9" s="8"/>
      <c r="J9" s="2"/>
      <c r="K9" s="9"/>
      <c r="L9" s="8"/>
    </row>
    <row x14ac:dyDescent="0.25" r="10" customHeight="1" ht="18.75">
      <c r="A10" s="2" t="s">
        <v>49</v>
      </c>
      <c r="B10" s="3">
        <v>19</v>
      </c>
      <c r="C10" s="11">
        <f>IFERROR((B10-$H$3)/$I$3,"")</f>
      </c>
      <c r="D10" s="38">
        <f>IF(ABS(C10)&gt;2,"Yes","No")</f>
      </c>
      <c r="E10" s="11">
        <f>IFERROR((B10-$K$3) / ($L$3-$K$3),"")</f>
      </c>
      <c r="F10" s="2"/>
      <c r="G10" s="2"/>
      <c r="H10" s="8"/>
      <c r="I10" s="8"/>
      <c r="J10" s="2"/>
      <c r="K10" s="9"/>
      <c r="L10" s="8"/>
    </row>
    <row x14ac:dyDescent="0.25" r="11" customHeight="1" ht="18.75">
      <c r="A11" s="2" t="s">
        <v>50</v>
      </c>
      <c r="B11" s="11">
        <v>14.5</v>
      </c>
      <c r="C11" s="11">
        <f>IFERROR((B11-$H$3)/$I$3,"")</f>
      </c>
      <c r="D11" s="38">
        <f>IF(ABS(C11)&gt;2,"Yes","No")</f>
      </c>
      <c r="E11" s="11">
        <f>IFERROR((B11-$K$3) / ($L$3-$K$3),"")</f>
      </c>
      <c r="F11" s="2"/>
      <c r="G11" s="2"/>
      <c r="H11" s="8"/>
      <c r="I11" s="8"/>
      <c r="J11" s="2"/>
      <c r="K11" s="9"/>
      <c r="L11" s="8"/>
    </row>
    <row x14ac:dyDescent="0.25" r="12" customHeight="1" ht="18.75">
      <c r="A12" s="2" t="s">
        <v>51</v>
      </c>
      <c r="B12" s="3">
        <v>18</v>
      </c>
      <c r="C12" s="11">
        <f>IFERROR((B12-$H$3)/$I$3,"")</f>
      </c>
      <c r="D12" s="38">
        <f>IF(ABS(C12)&gt;2,"Yes","No")</f>
      </c>
      <c r="E12" s="11">
        <f>IFERROR((B12-$K$3) / ($L$3-$K$3),"")</f>
      </c>
      <c r="F12" s="2"/>
      <c r="G12" s="2"/>
      <c r="H12" s="8"/>
      <c r="I12" s="8"/>
      <c r="J12" s="2"/>
      <c r="K12" s="9"/>
      <c r="L12" s="8"/>
    </row>
    <row x14ac:dyDescent="0.25" r="13" customHeight="1" ht="18.75">
      <c r="A13" s="2" t="s">
        <v>52</v>
      </c>
      <c r="B13" s="3">
        <v>18</v>
      </c>
      <c r="C13" s="11">
        <f>IFERROR((B13-$H$3)/$I$3,"")</f>
      </c>
      <c r="D13" s="38">
        <f>IF(ABS(C13)&gt;2,"Yes","No")</f>
      </c>
      <c r="E13" s="11">
        <f>IFERROR((B13-$K$3) / ($L$3-$K$3),"")</f>
      </c>
      <c r="F13" s="2"/>
      <c r="G13" s="2"/>
      <c r="H13" s="8"/>
      <c r="I13" s="8"/>
      <c r="J13" s="2"/>
      <c r="K13" s="9"/>
      <c r="L13" s="8"/>
    </row>
    <row x14ac:dyDescent="0.25" r="14" customHeight="1" ht="18.75">
      <c r="A14" s="2" t="s">
        <v>53</v>
      </c>
      <c r="B14" s="11">
        <v>19.5</v>
      </c>
      <c r="C14" s="11">
        <f>IFERROR((B14-$H$3)/$I$3,"")</f>
      </c>
      <c r="D14" s="38">
        <f>IF(ABS(C14)&gt;2,"Yes","No")</f>
      </c>
      <c r="E14" s="11">
        <f>IFERROR((B14-$K$3) / ($L$3-$K$3),"")</f>
      </c>
      <c r="F14" s="2"/>
      <c r="G14" s="2"/>
      <c r="H14" s="8"/>
      <c r="I14" s="8"/>
      <c r="J14" s="2"/>
      <c r="K14" s="9"/>
      <c r="L14" s="8"/>
    </row>
    <row x14ac:dyDescent="0.25" r="15" customHeight="1" ht="18.75">
      <c r="A15" s="2" t="s">
        <v>54</v>
      </c>
      <c r="B15" s="11">
        <v>23.5</v>
      </c>
      <c r="C15" s="11">
        <f>IFERROR((B15-$H$3)/$I$3,"")</f>
      </c>
      <c r="D15" s="38">
        <f>IF(ABS(C15)&gt;2,"Yes","No")</f>
      </c>
      <c r="E15" s="11">
        <f>IFERROR((B15-$K$3) / ($L$3-$K$3),"")</f>
      </c>
      <c r="F15" s="2"/>
      <c r="G15" s="2"/>
      <c r="H15" s="8"/>
      <c r="I15" s="8"/>
      <c r="J15" s="2"/>
      <c r="K15" s="9"/>
      <c r="L15" s="8"/>
    </row>
    <row x14ac:dyDescent="0.25" r="16" customHeight="1" ht="18.75">
      <c r="A16" s="2" t="s">
        <v>55</v>
      </c>
      <c r="B16" s="3">
        <v>14</v>
      </c>
      <c r="C16" s="11">
        <f>IFERROR((B16-$H$3)/$I$3,"")</f>
      </c>
      <c r="D16" s="38">
        <f>IF(ABS(C16)&gt;2,"Yes","No")</f>
      </c>
      <c r="E16" s="11">
        <f>IFERROR((B16-$K$3) / ($L$3-$K$3),"")</f>
      </c>
      <c r="F16" s="2"/>
      <c r="G16" s="2"/>
      <c r="H16" s="8"/>
      <c r="I16" s="8"/>
      <c r="J16" s="2"/>
      <c r="K16" s="9"/>
      <c r="L16" s="8"/>
    </row>
    <row x14ac:dyDescent="0.25" r="17" customHeight="1" ht="18.75">
      <c r="A17" s="2" t="s">
        <v>56</v>
      </c>
      <c r="B17" s="11">
        <v>15.5</v>
      </c>
      <c r="C17" s="11">
        <f>IFERROR((B17-$H$3)/$I$3,"")</f>
      </c>
      <c r="D17" s="38">
        <f>IF(ABS(C17)&gt;2,"Yes","No")</f>
      </c>
      <c r="E17" s="11">
        <f>IFERROR((B17-$K$3) / ($L$3-$K$3),"")</f>
      </c>
      <c r="F17" s="2"/>
      <c r="G17" s="2"/>
      <c r="H17" s="8"/>
      <c r="I17" s="8"/>
      <c r="J17" s="2"/>
      <c r="K17" s="9"/>
      <c r="L17" s="8"/>
    </row>
    <row x14ac:dyDescent="0.25" r="18" customHeight="1" ht="18.75">
      <c r="A18" s="2" t="s">
        <v>57</v>
      </c>
      <c r="B18" s="11">
        <v>15.5</v>
      </c>
      <c r="C18" s="11">
        <f>IFERROR((B18-$H$3)/$I$3,"")</f>
      </c>
      <c r="D18" s="38">
        <f>IF(ABS(C18)&gt;2,"Yes","No")</f>
      </c>
      <c r="E18" s="11">
        <f>IFERROR((B18-$K$3) / ($L$3-$K$3),"")</f>
      </c>
      <c r="F18" s="2"/>
      <c r="G18" s="2"/>
      <c r="H18" s="8"/>
      <c r="I18" s="8"/>
      <c r="J18" s="2"/>
      <c r="K18" s="9"/>
      <c r="L18" s="8"/>
    </row>
    <row x14ac:dyDescent="0.25" r="19" customHeight="1" ht="18.75">
      <c r="A19" s="2" t="s">
        <v>58</v>
      </c>
      <c r="B19" s="3">
        <v>14</v>
      </c>
      <c r="C19" s="11">
        <f>IFERROR((B19-$H$3)/$I$3,"")</f>
      </c>
      <c r="D19" s="38">
        <f>IF(ABS(C19)&gt;2,"Yes","No")</f>
      </c>
      <c r="E19" s="11">
        <f>IFERROR((B19-$K$3) / ($L$3-$K$3),"")</f>
      </c>
      <c r="F19" s="2"/>
      <c r="G19" s="2"/>
      <c r="H19" s="8"/>
      <c r="I19" s="8"/>
      <c r="J19" s="2"/>
      <c r="K19" s="9"/>
      <c r="L19" s="8"/>
    </row>
    <row x14ac:dyDescent="0.25" r="20" customHeight="1" ht="18.75">
      <c r="A20" s="2" t="s">
        <v>59</v>
      </c>
      <c r="B20" s="11">
        <v>15.5</v>
      </c>
      <c r="C20" s="11">
        <f>IFERROR((B20-$H$3)/$I$3,"")</f>
      </c>
      <c r="D20" s="38">
        <f>IF(ABS(C20)&gt;2,"Yes","No")</f>
      </c>
      <c r="E20" s="11">
        <f>IFERROR((B20-$K$3) / ($L$3-$K$3),"")</f>
      </c>
      <c r="F20" s="2"/>
      <c r="G20" s="2"/>
      <c r="H20" s="8"/>
      <c r="I20" s="8"/>
      <c r="J20" s="2"/>
      <c r="K20" s="9"/>
      <c r="L20" s="8"/>
    </row>
    <row x14ac:dyDescent="0.25" r="21" customHeight="1" ht="18.75">
      <c r="A21" s="2" t="s">
        <v>60</v>
      </c>
      <c r="B21" s="11">
        <v>19.5</v>
      </c>
      <c r="C21" s="11">
        <f>IFERROR((B21-$H$3)/$I$3,"")</f>
      </c>
      <c r="D21" s="38">
        <f>IF(ABS(C21)&gt;2,"Yes","No")</f>
      </c>
      <c r="E21" s="11">
        <f>IFERROR((B21-$K$3) / ($L$3-$K$3),"")</f>
      </c>
      <c r="F21" s="2"/>
      <c r="G21" s="2"/>
      <c r="H21" s="8"/>
      <c r="I21" s="8"/>
      <c r="J21" s="2"/>
      <c r="K21" s="9"/>
      <c r="L21" s="8"/>
    </row>
    <row x14ac:dyDescent="0.25" r="22" customHeight="1" ht="18.75">
      <c r="A22" s="2" t="s">
        <v>61</v>
      </c>
      <c r="B22" s="3">
        <v>21</v>
      </c>
      <c r="C22" s="11">
        <f>IFERROR((B22-$H$3)/$I$3,"")</f>
      </c>
      <c r="D22" s="38">
        <f>IF(ABS(C22)&gt;2,"Yes","No")</f>
      </c>
      <c r="E22" s="11">
        <f>IFERROR((B22-$K$3) / ($L$3-$K$3),"")</f>
      </c>
      <c r="F22" s="2"/>
      <c r="G22" s="2"/>
      <c r="H22" s="8"/>
      <c r="I22" s="8"/>
      <c r="J22" s="2"/>
      <c r="K22" s="9"/>
      <c r="L22" s="8"/>
    </row>
    <row x14ac:dyDescent="0.25" r="23" customHeight="1" ht="18.75">
      <c r="A23" s="2" t="s">
        <v>62</v>
      </c>
      <c r="B23" s="11">
        <v>16.5</v>
      </c>
      <c r="C23" s="11">
        <f>IFERROR((B23-$H$3)/$I$3,"")</f>
      </c>
      <c r="D23" s="38">
        <f>IF(ABS(C23)&gt;2,"Yes","No")</f>
      </c>
      <c r="E23" s="11">
        <f>IFERROR((B23-$K$3) / ($L$3-$K$3),"")</f>
      </c>
      <c r="F23" s="2"/>
      <c r="G23" s="2"/>
      <c r="H23" s="8"/>
      <c r="I23" s="8"/>
      <c r="J23" s="2"/>
      <c r="K23" s="9"/>
      <c r="L23" s="8"/>
    </row>
    <row x14ac:dyDescent="0.25" r="24" customHeight="1" ht="18.75">
      <c r="A24" s="2" t="s">
        <v>60</v>
      </c>
      <c r="B24" s="11">
        <v>15.5</v>
      </c>
      <c r="C24" s="11">
        <f>IFERROR((B24-$H$3)/$I$3,"")</f>
      </c>
      <c r="D24" s="38">
        <f>IF(ABS(C24)&gt;2,"Yes","No")</f>
      </c>
      <c r="E24" s="11">
        <f>IFERROR((B24-$K$3) / ($L$3-$K$3),"")</f>
      </c>
      <c r="F24" s="2"/>
      <c r="G24" s="2"/>
      <c r="H24" s="8"/>
      <c r="I24" s="8"/>
      <c r="J24" s="2"/>
      <c r="K24" s="9"/>
      <c r="L24" s="8"/>
    </row>
    <row x14ac:dyDescent="0.25" r="25" customHeight="1" ht="18.75">
      <c r="A25" s="2" t="s">
        <v>63</v>
      </c>
      <c r="B25" s="11">
        <v>15.5</v>
      </c>
      <c r="C25" s="11">
        <f>IFERROR((B25-$H$3)/$I$3,"")</f>
      </c>
      <c r="D25" s="38">
        <f>IF(ABS(C25)&gt;2,"Yes","No")</f>
      </c>
      <c r="E25" s="11">
        <f>IFERROR((B25-$K$3) / ($L$3-$K$3),"")</f>
      </c>
      <c r="F25" s="2"/>
      <c r="G25" s="2"/>
      <c r="H25" s="8"/>
      <c r="I25" s="8"/>
      <c r="J25" s="2"/>
      <c r="K25" s="9"/>
      <c r="L25" s="8"/>
    </row>
    <row x14ac:dyDescent="0.25" r="26" customHeight="1" ht="18.75">
      <c r="A26" s="2" t="s">
        <v>59</v>
      </c>
      <c r="B26" s="11">
        <v>14.5</v>
      </c>
      <c r="C26" s="11">
        <f>IFERROR((B26-$H$3)/$I$3,"")</f>
      </c>
      <c r="D26" s="38">
        <f>IF(ABS(C26)&gt;2,"Yes","No")</f>
      </c>
      <c r="E26" s="11">
        <f>IFERROR((B26-$K$3) / ($L$3-$K$3),"")</f>
      </c>
      <c r="F26" s="2"/>
      <c r="G26" s="2"/>
      <c r="H26" s="8"/>
      <c r="I26" s="8"/>
      <c r="J26" s="2"/>
      <c r="K26" s="9"/>
      <c r="L26" s="8"/>
    </row>
    <row x14ac:dyDescent="0.25" r="27" customHeight="1" ht="18.75">
      <c r="A27" s="2" t="s">
        <v>64</v>
      </c>
      <c r="B27" s="3">
        <v>16</v>
      </c>
      <c r="C27" s="11">
        <f>IFERROR((B27-$H$3)/$I$3,"")</f>
      </c>
      <c r="D27" s="38">
        <f>IF(ABS(C27)&gt;2,"Yes","No")</f>
      </c>
      <c r="E27" s="11">
        <f>IFERROR((B27-$K$3) / ($L$3-$K$3),"")</f>
      </c>
      <c r="F27" s="2"/>
      <c r="G27" s="2"/>
      <c r="H27" s="8"/>
      <c r="I27" s="8"/>
      <c r="J27" s="2"/>
      <c r="K27" s="9"/>
      <c r="L27" s="8"/>
    </row>
    <row x14ac:dyDescent="0.25" r="28" customHeight="1" ht="18.75">
      <c r="A28" s="2" t="s">
        <v>65</v>
      </c>
      <c r="B28" s="3">
        <v>14</v>
      </c>
      <c r="C28" s="11">
        <f>IFERROR((B28-$H$3)/$I$3,"")</f>
      </c>
      <c r="D28" s="38">
        <f>IF(ABS(C28)&gt;2,"Yes","No")</f>
      </c>
      <c r="E28" s="11">
        <f>IFERROR((B28-$K$3) / ($L$3-$K$3),"")</f>
      </c>
      <c r="F28" s="2"/>
      <c r="G28" s="2"/>
      <c r="H28" s="8"/>
      <c r="I28" s="8"/>
      <c r="J28" s="2"/>
      <c r="K28" s="9"/>
      <c r="L28" s="8"/>
    </row>
    <row x14ac:dyDescent="0.25" r="29" customHeight="1" ht="18.75">
      <c r="A29" s="2" t="s">
        <v>55</v>
      </c>
      <c r="B29" s="11">
        <v>13.5</v>
      </c>
      <c r="C29" s="11">
        <f>IFERROR((B29-$H$3)/$I$3,"")</f>
      </c>
      <c r="D29" s="38">
        <f>IF(ABS(C29)&gt;2,"Yes","No")</f>
      </c>
      <c r="E29" s="11">
        <f>IFERROR((B29-$K$3) / ($L$3-$K$3),"")</f>
      </c>
      <c r="F29" s="2"/>
      <c r="G29" s="2"/>
      <c r="H29" s="8"/>
      <c r="I29" s="8"/>
      <c r="J29" s="2"/>
      <c r="K29" s="9"/>
      <c r="L29" s="8"/>
    </row>
    <row x14ac:dyDescent="0.25" r="30" customHeight="1" ht="18.75">
      <c r="A30" s="2" t="s">
        <v>66</v>
      </c>
      <c r="B30" s="3">
        <v>14</v>
      </c>
      <c r="C30" s="11">
        <f>IFERROR((B30-$H$3)/$I$3,"")</f>
      </c>
      <c r="D30" s="38">
        <f>IF(ABS(C30)&gt;2,"Yes","No")</f>
      </c>
      <c r="E30" s="11">
        <f>IFERROR((B30-$K$3) / ($L$3-$K$3),"")</f>
      </c>
      <c r="F30" s="2"/>
      <c r="G30" s="2"/>
      <c r="H30" s="8"/>
      <c r="I30" s="8"/>
      <c r="J30" s="2"/>
      <c r="K30" s="9"/>
      <c r="L30" s="8"/>
    </row>
    <row x14ac:dyDescent="0.25" r="31" customHeight="1" ht="18.75">
      <c r="A31" s="2" t="s">
        <v>58</v>
      </c>
      <c r="B31" s="3">
        <v>15</v>
      </c>
      <c r="C31" s="11">
        <f>IFERROR((B31-$H$3)/$I$3,"")</f>
      </c>
      <c r="D31" s="38">
        <f>IF(ABS(C31)&gt;2,"Yes","No")</f>
      </c>
      <c r="E31" s="11">
        <f>IFERROR((B31-$K$3) / ($L$3-$K$3),"")</f>
      </c>
      <c r="F31" s="2"/>
      <c r="G31" s="2"/>
      <c r="H31" s="8"/>
      <c r="I31" s="8"/>
      <c r="J31" s="2"/>
      <c r="K31" s="9"/>
      <c r="L31" s="8"/>
    </row>
    <row x14ac:dyDescent="0.25" r="32" customHeight="1" ht="18.75">
      <c r="A32" s="2" t="s">
        <v>67</v>
      </c>
      <c r="B32" s="11">
        <v>14.5</v>
      </c>
      <c r="C32" s="11">
        <f>IFERROR((B32-$H$3)/$I$3,"")</f>
      </c>
      <c r="D32" s="38">
        <f>IF(ABS(C32)&gt;2,"Yes","No")</f>
      </c>
      <c r="E32" s="11">
        <f>IFERROR((B32-$K$3) / ($L$3-$K$3),"")</f>
      </c>
      <c r="F32" s="2"/>
      <c r="G32" s="2"/>
      <c r="H32" s="8"/>
      <c r="I32" s="8"/>
      <c r="J32" s="2"/>
      <c r="K32" s="9"/>
      <c r="L32" s="8"/>
    </row>
    <row x14ac:dyDescent="0.25" r="33" customHeight="1" ht="18.75">
      <c r="A33" s="2" t="s">
        <v>63</v>
      </c>
      <c r="B33" s="11">
        <v>16.5</v>
      </c>
      <c r="C33" s="11">
        <f>IFERROR((B33-$H$3)/$I$3,"")</f>
      </c>
      <c r="D33" s="38">
        <f>IF(ABS(C33)&gt;2,"Yes","No")</f>
      </c>
      <c r="E33" s="11">
        <f>IFERROR((B33-$K$3) / ($L$3-$K$3),"")</f>
      </c>
      <c r="F33" s="2"/>
      <c r="G33" s="2"/>
      <c r="H33" s="8"/>
      <c r="I33" s="8"/>
      <c r="J33" s="2"/>
      <c r="K33" s="9"/>
      <c r="L33" s="8"/>
    </row>
    <row x14ac:dyDescent="0.25" r="34" customHeight="1" ht="18.75">
      <c r="A34" s="2" t="s">
        <v>44</v>
      </c>
      <c r="B34" s="3">
        <v>17</v>
      </c>
      <c r="C34" s="11">
        <f>IFERROR((B34-$H$3)/$I$3,"")</f>
      </c>
      <c r="D34" s="38">
        <f>IF(ABS(C34)&gt;2,"Yes","No")</f>
      </c>
      <c r="E34" s="11">
        <f>IFERROR((B34-$K$3) / ($L$3-$K$3),"")</f>
      </c>
      <c r="F34" s="2"/>
      <c r="G34" s="2"/>
      <c r="H34" s="8"/>
      <c r="I34" s="8"/>
      <c r="J34" s="2"/>
      <c r="K34" s="9"/>
      <c r="L34" s="8"/>
    </row>
    <row x14ac:dyDescent="0.25" r="35" customHeight="1" ht="18.75">
      <c r="A35" s="2" t="s">
        <v>66</v>
      </c>
      <c r="B35" s="11">
        <v>12.2</v>
      </c>
      <c r="C35" s="11">
        <f>IFERROR((B35-$H$3)/$I$3,"")</f>
      </c>
      <c r="D35" s="38">
        <f>IF(ABS(C35)&gt;2,"Yes","No")</f>
      </c>
      <c r="E35" s="11">
        <f>IFERROR((B35-$K$3) / ($L$3-$K$3),"")</f>
      </c>
      <c r="F35" s="2"/>
      <c r="G35" s="2"/>
      <c r="H35" s="8"/>
      <c r="I35" s="8"/>
      <c r="J35" s="2"/>
      <c r="K35" s="9"/>
      <c r="L35" s="8"/>
    </row>
    <row x14ac:dyDescent="0.25" r="36" customHeight="1" ht="18.75">
      <c r="A36" s="2" t="s">
        <v>68</v>
      </c>
      <c r="B36" s="11">
        <v>15.3</v>
      </c>
      <c r="C36" s="11">
        <f>IFERROR((B36-$H$3)/$I$3,"")</f>
      </c>
      <c r="D36" s="38">
        <f>IF(ABS(C36)&gt;2,"Yes","No")</f>
      </c>
      <c r="E36" s="11">
        <f>IFERROR((B36-$K$3) / ($L$3-$K$3),"")</f>
      </c>
      <c r="F36" s="2"/>
      <c r="G36" s="2"/>
      <c r="H36" s="8"/>
      <c r="I36" s="8"/>
      <c r="J36" s="2"/>
      <c r="K36" s="9"/>
      <c r="L36" s="8"/>
    </row>
    <row x14ac:dyDescent="0.25" r="37" customHeight="1" ht="18.75">
      <c r="A37" s="2" t="s">
        <v>46</v>
      </c>
      <c r="B37" s="11">
        <v>16.9</v>
      </c>
      <c r="C37" s="11">
        <f>IFERROR((B37-$H$3)/$I$3,"")</f>
      </c>
      <c r="D37" s="38">
        <f>IF(ABS(C37)&gt;2,"Yes","No")</f>
      </c>
      <c r="E37" s="11">
        <f>IFERROR((B37-$K$3) / ($L$3-$K$3),"")</f>
      </c>
      <c r="F37" s="2"/>
      <c r="G37" s="2"/>
      <c r="H37" s="8"/>
      <c r="I37" s="8"/>
      <c r="J37" s="2"/>
      <c r="K37" s="9"/>
      <c r="L37" s="8"/>
    </row>
    <row x14ac:dyDescent="0.25" r="38" customHeight="1" ht="18.75">
      <c r="A38" s="2" t="s">
        <v>69</v>
      </c>
      <c r="B38" s="11">
        <v>14.2</v>
      </c>
      <c r="C38" s="11">
        <f>IFERROR((B38-$H$3)/$I$3,"")</f>
      </c>
      <c r="D38" s="38">
        <f>IF(ABS(C38)&gt;2,"Yes","No")</f>
      </c>
      <c r="E38" s="11">
        <f>IFERROR((B38-$K$3) / ($L$3-$K$3),"")</f>
      </c>
      <c r="F38" s="2"/>
      <c r="G38" s="2"/>
      <c r="H38" s="8"/>
      <c r="I38" s="8"/>
      <c r="J38" s="2"/>
      <c r="K38" s="9"/>
      <c r="L38" s="8"/>
    </row>
    <row x14ac:dyDescent="0.25" r="39" customHeight="1" ht="18.75">
      <c r="A39" s="2" t="s">
        <v>70</v>
      </c>
      <c r="B39" s="11">
        <v>15.5</v>
      </c>
      <c r="C39" s="11">
        <f>IFERROR((B39-$H$3)/$I$3,"")</f>
      </c>
      <c r="D39" s="38">
        <f>IF(ABS(C39)&gt;2,"Yes","No")</f>
      </c>
      <c r="E39" s="11">
        <f>IFERROR((B39-$K$3) / ($L$3-$K$3),"")</f>
      </c>
      <c r="F39" s="2"/>
      <c r="G39" s="2"/>
      <c r="H39" s="8"/>
      <c r="I39" s="8"/>
      <c r="J39" s="2"/>
      <c r="K39" s="9"/>
      <c r="L39" s="8"/>
    </row>
    <row x14ac:dyDescent="0.25" r="40" customHeight="1" ht="18.75">
      <c r="A40" s="2" t="s">
        <v>71</v>
      </c>
      <c r="B40" s="11">
        <v>15.7</v>
      </c>
      <c r="C40" s="11">
        <f>IFERROR((B40-$H$3)/$I$3,"")</f>
      </c>
      <c r="D40" s="38">
        <f>IF(ABS(C40)&gt;2,"Yes","No")</f>
      </c>
      <c r="E40" s="11">
        <f>IFERROR((B40-$K$3) / ($L$3-$K$3),"")</f>
      </c>
      <c r="F40" s="2"/>
      <c r="G40" s="2"/>
      <c r="H40" s="8"/>
      <c r="I40" s="8"/>
      <c r="J40" s="2"/>
      <c r="K40" s="9"/>
      <c r="L40" s="8"/>
    </row>
    <row x14ac:dyDescent="0.25" r="41" customHeight="1" ht="18.75">
      <c r="A41" s="2" t="s">
        <v>44</v>
      </c>
      <c r="B41" s="11">
        <v>21.9</v>
      </c>
      <c r="C41" s="11">
        <f>IFERROR((B41-$H$3)/$I$3,"")</f>
      </c>
      <c r="D41" s="38">
        <f>IF(ABS(C41)&gt;2,"Yes","No")</f>
      </c>
      <c r="E41" s="11">
        <f>IFERROR((B41-$K$3) / ($L$3-$K$3),"")</f>
      </c>
      <c r="F41" s="2"/>
      <c r="G41" s="2"/>
      <c r="H41" s="8"/>
      <c r="I41" s="8"/>
      <c r="J41" s="2"/>
      <c r="K41" s="9"/>
      <c r="L41" s="8"/>
    </row>
    <row x14ac:dyDescent="0.25" r="42" customHeight="1" ht="18.75">
      <c r="A42" s="2" t="s">
        <v>72</v>
      </c>
      <c r="B42" s="11">
        <v>16.7</v>
      </c>
      <c r="C42" s="11">
        <f>IFERROR((B42-$H$3)/$I$3,"")</f>
      </c>
      <c r="D42" s="38">
        <f>IF(ABS(C42)&gt;2,"Yes","No")</f>
      </c>
      <c r="E42" s="11">
        <f>IFERROR((B42-$K$3) / ($L$3-$K$3),"")</f>
      </c>
      <c r="F42" s="2"/>
      <c r="G42" s="2"/>
      <c r="H42" s="8"/>
      <c r="I42" s="8"/>
      <c r="J42" s="2"/>
      <c r="K42" s="9"/>
      <c r="L42" s="8"/>
    </row>
    <row x14ac:dyDescent="0.25" r="43" customHeight="1" ht="18.75">
      <c r="A43" s="2" t="s">
        <v>73</v>
      </c>
      <c r="B43" s="11">
        <v>12.8</v>
      </c>
      <c r="C43" s="11">
        <f>IFERROR((B43-$H$3)/$I$3,"")</f>
      </c>
      <c r="D43" s="38">
        <f>IF(ABS(C43)&gt;2,"Yes","No")</f>
      </c>
      <c r="E43" s="11">
        <f>IFERROR((B43-$K$3) / ($L$3-$K$3),"")</f>
      </c>
      <c r="F43" s="2"/>
      <c r="G43" s="2"/>
      <c r="H43" s="8"/>
      <c r="I43" s="8"/>
      <c r="J43" s="2"/>
      <c r="K43" s="9"/>
      <c r="L43" s="8"/>
    </row>
    <row x14ac:dyDescent="0.25" r="44" customHeight="1" ht="18.75">
      <c r="A44" s="2" t="s">
        <v>74</v>
      </c>
      <c r="B44" s="11">
        <v>14.5</v>
      </c>
      <c r="C44" s="11">
        <f>IFERROR((B44-$H$3)/$I$3,"")</f>
      </c>
      <c r="D44" s="38">
        <f>IF(ABS(C44)&gt;2,"Yes","No")</f>
      </c>
      <c r="E44" s="11">
        <f>IFERROR((B44-$K$3) / ($L$3-$K$3),"")</f>
      </c>
      <c r="F44" s="2"/>
      <c r="G44" s="2"/>
      <c r="H44" s="8"/>
      <c r="I44" s="8"/>
      <c r="J44" s="2"/>
      <c r="K44" s="9"/>
      <c r="L44" s="8"/>
    </row>
    <row x14ac:dyDescent="0.25" r="45" customHeight="1" ht="18.75">
      <c r="A45" s="2" t="s">
        <v>63</v>
      </c>
      <c r="B45" s="11">
        <v>14.1</v>
      </c>
      <c r="C45" s="11">
        <f>IFERROR((B45-$H$3)/$I$3,"")</f>
      </c>
      <c r="D45" s="38">
        <f>IF(ABS(C45)&gt;2,"Yes","No")</f>
      </c>
      <c r="E45" s="11">
        <f>IFERROR((B45-$K$3) / ($L$3-$K$3),"")</f>
      </c>
      <c r="F45" s="2"/>
      <c r="G45" s="2"/>
      <c r="H45" s="8"/>
      <c r="I45" s="8"/>
      <c r="J45" s="2"/>
      <c r="K45" s="9"/>
      <c r="L45" s="8"/>
    </row>
    <row x14ac:dyDescent="0.25" r="46" customHeight="1" ht="18.75">
      <c r="A46" s="2" t="s">
        <v>75</v>
      </c>
      <c r="B46" s="11">
        <v>18.6</v>
      </c>
      <c r="C46" s="11">
        <f>IFERROR((B46-$H$3)/$I$3,"")</f>
      </c>
      <c r="D46" s="38">
        <f>IF(ABS(C46)&gt;2,"Yes","No")</f>
      </c>
      <c r="E46" s="11">
        <f>IFERROR((B46-$K$3) / ($L$3-$K$3),"")</f>
      </c>
      <c r="F46" s="2"/>
      <c r="G46" s="2"/>
      <c r="H46" s="8"/>
      <c r="I46" s="8"/>
      <c r="J46" s="2"/>
      <c r="K46" s="9"/>
      <c r="L46" s="8"/>
    </row>
    <row x14ac:dyDescent="0.25" r="47" customHeight="1" ht="18.75">
      <c r="A47" s="2" t="s">
        <v>76</v>
      </c>
      <c r="B47" s="11">
        <v>15.7</v>
      </c>
      <c r="C47" s="11">
        <f>IFERROR((B47-$H$3)/$I$3,"")</f>
      </c>
      <c r="D47" s="38">
        <f>IF(ABS(C47)&gt;2,"Yes","No")</f>
      </c>
      <c r="E47" s="11">
        <f>IFERROR((B47-$K$3) / ($L$3-$K$3),"")</f>
      </c>
      <c r="F47" s="2"/>
      <c r="G47" s="2"/>
      <c r="H47" s="8"/>
      <c r="I47" s="8"/>
      <c r="J47" s="2"/>
      <c r="K47" s="9"/>
      <c r="L47" s="8"/>
    </row>
    <row x14ac:dyDescent="0.25" r="48" customHeight="1" ht="18.75">
      <c r="A48" s="2" t="s">
        <v>77</v>
      </c>
      <c r="B48" s="11">
        <v>14.9</v>
      </c>
      <c r="C48" s="11">
        <f>IFERROR((B48-$H$3)/$I$3,"")</f>
      </c>
      <c r="D48" s="38">
        <f>IF(ABS(C48)&gt;2,"Yes","No")</f>
      </c>
      <c r="E48" s="11">
        <f>IFERROR((B48-$K$3) / ($L$3-$K$3),"")</f>
      </c>
      <c r="F48" s="2"/>
      <c r="G48" s="2"/>
      <c r="H48" s="8"/>
      <c r="I48" s="8"/>
      <c r="J48" s="2"/>
      <c r="K48" s="9"/>
      <c r="L48" s="8"/>
    </row>
    <row x14ac:dyDescent="0.25" r="49" customHeight="1" ht="18.75">
      <c r="A49" s="2" t="s">
        <v>78</v>
      </c>
      <c r="B49" s="11">
        <v>21.5</v>
      </c>
      <c r="C49" s="11">
        <f>IFERROR((B49-$H$3)/$I$3,"")</f>
      </c>
      <c r="D49" s="38">
        <f>IF(ABS(C49)&gt;2,"Yes","No")</f>
      </c>
      <c r="E49" s="11">
        <f>IFERROR((B49-$K$3) / ($L$3-$K$3),"")</f>
      </c>
      <c r="F49" s="2"/>
      <c r="G49" s="2"/>
      <c r="H49" s="8"/>
      <c r="I49" s="8"/>
      <c r="J49" s="2"/>
      <c r="K49" s="9"/>
      <c r="L49" s="8"/>
    </row>
    <row x14ac:dyDescent="0.25" r="50" customHeight="1" ht="18.75">
      <c r="A50" s="2" t="s">
        <v>79</v>
      </c>
      <c r="B50" s="11">
        <v>15.9</v>
      </c>
      <c r="C50" s="11">
        <f>IFERROR((B50-$H$3)/$I$3,"")</f>
      </c>
      <c r="D50" s="38">
        <f>IF(ABS(C50)&gt;2,"Yes","No")</f>
      </c>
      <c r="E50" s="11">
        <f>IFERROR((B50-$K$3) / ($L$3-$K$3),"")</f>
      </c>
      <c r="F50" s="2"/>
      <c r="G50" s="2"/>
      <c r="H50" s="8"/>
      <c r="I50" s="8"/>
      <c r="J50" s="2"/>
      <c r="K50" s="9"/>
      <c r="L50" s="8"/>
    </row>
    <row x14ac:dyDescent="0.25" r="51" customHeight="1" ht="18.75">
      <c r="A51" s="2" t="s">
        <v>80</v>
      </c>
      <c r="B51" s="11">
        <v>13.6</v>
      </c>
      <c r="C51" s="11">
        <f>IFERROR((B51-$H$3)/$I$3,"")</f>
      </c>
      <c r="D51" s="38">
        <f>IF(ABS(C51)&gt;2,"Yes","No")</f>
      </c>
      <c r="E51" s="11">
        <f>IFERROR((B51-$K$3) / ($L$3-$K$3),"")</f>
      </c>
      <c r="F51" s="2"/>
      <c r="G51" s="2"/>
      <c r="H51" s="8"/>
      <c r="I51" s="8"/>
      <c r="J51" s="2"/>
      <c r="K51" s="9"/>
      <c r="L51" s="8"/>
    </row>
    <row x14ac:dyDescent="0.25" r="52" customHeight="1" ht="18.75">
      <c r="A52" s="2" t="s">
        <v>81</v>
      </c>
      <c r="B52" s="11">
        <v>15.8</v>
      </c>
      <c r="C52" s="11">
        <f>IFERROR((B52-$H$3)/$I$3,"")</f>
      </c>
      <c r="D52" s="38">
        <f>IF(ABS(C52)&gt;2,"Yes","No")</f>
      </c>
      <c r="E52" s="11">
        <f>IFERROR((B52-$K$3) / ($L$3-$K$3),"")</f>
      </c>
      <c r="F52" s="2"/>
      <c r="G52" s="2"/>
      <c r="H52" s="8"/>
      <c r="I52" s="8"/>
      <c r="J52" s="2"/>
      <c r="K52" s="9"/>
      <c r="L52" s="8"/>
    </row>
    <row x14ac:dyDescent="0.25" r="53" customHeight="1" ht="18.75">
      <c r="A53" s="2" t="s">
        <v>82</v>
      </c>
      <c r="B53" s="3">
        <v>14</v>
      </c>
      <c r="C53" s="11">
        <f>IFERROR((B53-$H$3)/$I$3,"")</f>
      </c>
      <c r="D53" s="38">
        <f>IF(ABS(C53)&gt;2,"Yes","No")</f>
      </c>
      <c r="E53" s="11">
        <f>IFERROR((B53-$K$3) / ($L$3-$K$3),"")</f>
      </c>
      <c r="F53" s="2"/>
      <c r="G53" s="2"/>
      <c r="H53" s="8"/>
      <c r="I53" s="8"/>
      <c r="J53" s="2"/>
      <c r="K53" s="9"/>
      <c r="L53" s="8"/>
    </row>
    <row x14ac:dyDescent="0.25" r="54" customHeight="1" ht="18.75">
      <c r="A54" s="2" t="s">
        <v>83</v>
      </c>
      <c r="B54" s="11">
        <v>14.7</v>
      </c>
      <c r="C54" s="11">
        <f>IFERROR((B54-$H$3)/$I$3,"")</f>
      </c>
      <c r="D54" s="38">
        <f>IF(ABS(C54)&gt;2,"Yes","No")</f>
      </c>
      <c r="E54" s="11">
        <f>IFERROR((B54-$K$3) / ($L$3-$K$3),"")</f>
      </c>
      <c r="F54" s="2"/>
      <c r="G54" s="2"/>
      <c r="H54" s="8"/>
      <c r="I54" s="8"/>
      <c r="J54" s="2"/>
      <c r="K54" s="9"/>
      <c r="L54" s="8"/>
    </row>
    <row x14ac:dyDescent="0.25" r="55" customHeight="1" ht="18.75">
      <c r="A55" s="2" t="s">
        <v>44</v>
      </c>
      <c r="B55" s="11">
        <v>24.8</v>
      </c>
      <c r="C55" s="11">
        <f>IFERROR((B55-$H$3)/$I$3,"")</f>
      </c>
      <c r="D55" s="38">
        <f>IF(ABS(C55)&gt;2,"Yes","No")</f>
      </c>
      <c r="E55" s="3">
        <f>IFERROR((B55-$K$3) / ($L$3-$K$3),"")</f>
      </c>
      <c r="F55" s="2"/>
      <c r="G55" s="2"/>
      <c r="H55" s="8"/>
      <c r="I55" s="8"/>
      <c r="J55" s="2"/>
      <c r="K55" s="9"/>
      <c r="L55" s="8"/>
    </row>
    <row x14ac:dyDescent="0.25" r="56" customHeight="1" ht="18.75">
      <c r="A56" s="2" t="s">
        <v>84</v>
      </c>
      <c r="B56" s="11">
        <v>20.1</v>
      </c>
      <c r="C56" s="11">
        <f>IFERROR((B56-$H$3)/$I$3,"")</f>
      </c>
      <c r="D56" s="38">
        <f>IF(ABS(C56)&gt;2,"Yes","No")</f>
      </c>
      <c r="E56" s="11">
        <f>IFERROR((B56-$K$3) / ($L$3-$K$3),"")</f>
      </c>
      <c r="F56" s="2"/>
      <c r="G56" s="2"/>
      <c r="H56" s="8"/>
      <c r="I56" s="8"/>
      <c r="J56" s="2"/>
      <c r="K56" s="9"/>
      <c r="L56" s="8"/>
    </row>
    <row x14ac:dyDescent="0.25" r="57" customHeight="1" ht="18.75">
      <c r="A57" s="2" t="s">
        <v>85</v>
      </c>
      <c r="B57" s="11">
        <v>15.8</v>
      </c>
      <c r="C57" s="11">
        <f>IFERROR((B57-$H$3)/$I$3,"")</f>
      </c>
      <c r="D57" s="38">
        <f>IF(ABS(C57)&gt;2,"Yes","No")</f>
      </c>
      <c r="E57" s="11">
        <f>IFERROR((B57-$K$3) / ($L$3-$K$3),"")</f>
      </c>
      <c r="F57" s="2"/>
      <c r="G57" s="2"/>
      <c r="H57" s="8"/>
      <c r="I57" s="8"/>
      <c r="J57" s="2"/>
      <c r="K57" s="9"/>
      <c r="L57" s="8"/>
    </row>
    <row x14ac:dyDescent="0.25" r="58" customHeight="1" ht="18.75">
      <c r="A58" s="2" t="s">
        <v>69</v>
      </c>
      <c r="B58" s="11">
        <v>14.7</v>
      </c>
      <c r="C58" s="11">
        <f>IFERROR((B58-$H$3)/$I$3,"")</f>
      </c>
      <c r="D58" s="38">
        <f>IF(ABS(C58)&gt;2,"Yes","No")</f>
      </c>
      <c r="E58" s="11">
        <f>IFERROR((B58-$K$3) / ($L$3-$K$3),"")</f>
      </c>
      <c r="F58" s="2"/>
      <c r="G58" s="2"/>
      <c r="H58" s="8"/>
      <c r="I58" s="8"/>
      <c r="J58" s="2"/>
      <c r="K58" s="9"/>
      <c r="L58" s="8"/>
    </row>
    <row x14ac:dyDescent="0.25" r="59" customHeight="1" ht="18.75">
      <c r="A59" s="2" t="s">
        <v>86</v>
      </c>
      <c r="B59" s="11">
        <v>15.1</v>
      </c>
      <c r="C59" s="11">
        <f>IFERROR((B59-$H$3)/$I$3,"")</f>
      </c>
      <c r="D59" s="38">
        <f>IF(ABS(C59)&gt;2,"Yes","No")</f>
      </c>
      <c r="E59" s="11">
        <f>IFERROR((B59-$K$3) / ($L$3-$K$3),"")</f>
      </c>
      <c r="F59" s="2"/>
      <c r="G59" s="2"/>
      <c r="H59" s="8"/>
      <c r="I59" s="8"/>
      <c r="J59" s="2"/>
      <c r="K59" s="9"/>
      <c r="L59" s="8"/>
    </row>
    <row x14ac:dyDescent="0.25" r="60" customHeight="1" ht="18.75">
      <c r="A60" s="2" t="s">
        <v>87</v>
      </c>
      <c r="B60" s="11">
        <v>15.3</v>
      </c>
      <c r="C60" s="11">
        <f>IFERROR((B60-$H$3)/$I$3,"")</f>
      </c>
      <c r="D60" s="38">
        <f>IF(ABS(C60)&gt;2,"Yes","No")</f>
      </c>
      <c r="E60" s="11">
        <f>IFERROR((B60-$K$3) / ($L$3-$K$3),"")</f>
      </c>
      <c r="F60" s="2"/>
      <c r="G60" s="2"/>
      <c r="H60" s="8"/>
      <c r="I60" s="8"/>
      <c r="J60" s="2"/>
      <c r="K60" s="9"/>
      <c r="L60" s="8"/>
    </row>
    <row x14ac:dyDescent="0.25" r="61" customHeight="1" ht="18.75">
      <c r="A61" s="2" t="s">
        <v>88</v>
      </c>
      <c r="B61" s="11">
        <v>21.7</v>
      </c>
      <c r="C61" s="11">
        <f>IFERROR((B61-$H$3)/$I$3,"")</f>
      </c>
      <c r="D61" s="38">
        <f>IF(ABS(C61)&gt;2,"Yes","No")</f>
      </c>
      <c r="E61" s="11">
        <f>IFERROR((B61-$K$3) / ($L$3-$K$3),"")</f>
      </c>
      <c r="F61" s="2"/>
      <c r="G61" s="2"/>
      <c r="H61" s="8"/>
      <c r="I61" s="8"/>
      <c r="J61" s="2"/>
      <c r="K61" s="9"/>
      <c r="L61" s="8"/>
    </row>
    <row x14ac:dyDescent="0.25" r="62" customHeight="1" ht="18.75">
      <c r="A62" s="2" t="s">
        <v>89</v>
      </c>
      <c r="B62" s="11">
        <v>21.8</v>
      </c>
      <c r="C62" s="11">
        <f>IFERROR((B62-$H$3)/$I$3,"")</f>
      </c>
      <c r="D62" s="38">
        <f>IF(ABS(C62)&gt;2,"Yes","No")</f>
      </c>
      <c r="E62" s="11">
        <f>IFERROR((B62-$K$3) / ($L$3-$K$3),"")</f>
      </c>
      <c r="F62" s="2"/>
      <c r="G62" s="2"/>
      <c r="H62" s="8"/>
      <c r="I62" s="8"/>
      <c r="J62" s="2"/>
      <c r="K62" s="9"/>
      <c r="L62" s="8"/>
    </row>
    <row x14ac:dyDescent="0.25" r="63" customHeight="1" ht="18.75">
      <c r="A63" s="2" t="s">
        <v>90</v>
      </c>
      <c r="B63" s="11">
        <v>23.7</v>
      </c>
      <c r="C63" s="11">
        <f>IFERROR((B63-$H$3)/$I$3,"")</f>
      </c>
      <c r="D63" s="38">
        <f>IF(ABS(C63)&gt;2,"Yes","No")</f>
      </c>
      <c r="E63" s="11">
        <f>IFERROR((B63-$K$3) / ($L$3-$K$3),"")</f>
      </c>
      <c r="F63" s="2"/>
      <c r="G63" s="2"/>
      <c r="H63" s="8"/>
      <c r="I63" s="8"/>
      <c r="J63" s="2"/>
      <c r="K63" s="9"/>
      <c r="L63" s="8"/>
    </row>
    <row x14ac:dyDescent="0.25" r="64" customHeight="1" ht="18.75">
      <c r="A64" s="2" t="s">
        <v>91</v>
      </c>
      <c r="B64" s="11">
        <v>17.3</v>
      </c>
      <c r="C64" s="11">
        <f>IFERROR((B64-$H$3)/$I$3,"")</f>
      </c>
      <c r="D64" s="38">
        <f>IF(ABS(C64)&gt;2,"Yes","No")</f>
      </c>
      <c r="E64" s="11">
        <f>IFERROR((B64-$K$3) / ($L$3-$K$3),"")</f>
      </c>
      <c r="F64" s="2"/>
      <c r="G64" s="2"/>
      <c r="H64" s="8"/>
      <c r="I64" s="8"/>
      <c r="J64" s="2"/>
      <c r="K64" s="9"/>
      <c r="L64" s="8"/>
    </row>
    <row x14ac:dyDescent="0.25" r="65" customHeight="1" ht="18.75">
      <c r="A65" s="2" t="s">
        <v>92</v>
      </c>
      <c r="B65" s="11">
        <v>19.9</v>
      </c>
      <c r="C65" s="11">
        <f>IFERROR((B65-$H$3)/$I$3,"")</f>
      </c>
      <c r="D65" s="38">
        <f>IF(ABS(C65)&gt;2,"Yes","No")</f>
      </c>
      <c r="E65" s="11">
        <f>IFERROR((B65-$K$3) / ($L$3-$K$3),"")</f>
      </c>
      <c r="F65" s="2"/>
      <c r="G65" s="2"/>
      <c r="H65" s="8"/>
      <c r="I65" s="8"/>
      <c r="J65" s="2"/>
      <c r="K65" s="9"/>
      <c r="L65" s="8"/>
    </row>
    <row x14ac:dyDescent="0.25" r="66" customHeight="1" ht="18.75">
      <c r="A66" s="2" t="s">
        <v>93</v>
      </c>
      <c r="B66" s="11">
        <v>14.2</v>
      </c>
      <c r="C66" s="11">
        <f>IFERROR((B66-$H$3)/$I$3,"")</f>
      </c>
      <c r="D66" s="38">
        <f>IF(ABS(C66)&gt;2,"Yes","No")</f>
      </c>
      <c r="E66" s="11">
        <f>IFERROR((B66-$K$3) / ($L$3-$K$3),"")</f>
      </c>
      <c r="F66" s="2"/>
      <c r="G66" s="2"/>
      <c r="H66" s="8"/>
      <c r="I66" s="8"/>
      <c r="J66" s="2"/>
      <c r="K66" s="9"/>
      <c r="L66" s="8"/>
    </row>
    <row x14ac:dyDescent="0.25" r="67" customHeight="1" ht="18.75">
      <c r="A67" s="2" t="s">
        <v>94</v>
      </c>
      <c r="B67" s="11">
        <v>20.4</v>
      </c>
      <c r="C67" s="11">
        <f>IFERROR((B67-$H$3)/$I$3,"")</f>
      </c>
      <c r="D67" s="38">
        <f>IF(ABS(C67)&gt;2,"Yes","No")</f>
      </c>
      <c r="E67" s="11">
        <f>IFERROR((B67-$K$3) / ($L$3-$K$3),"")</f>
      </c>
      <c r="F67" s="2"/>
      <c r="G67" s="2"/>
      <c r="H67" s="8"/>
      <c r="I67" s="8"/>
      <c r="J67" s="2"/>
      <c r="K67" s="9"/>
      <c r="L67" s="8"/>
    </row>
    <row x14ac:dyDescent="0.25" r="68" customHeight="1" ht="18.75">
      <c r="A68" s="2" t="s">
        <v>95</v>
      </c>
      <c r="B68" s="11">
        <v>15.8</v>
      </c>
      <c r="C68" s="11">
        <f>IFERROR((B68-$H$3)/$I$3,"")</f>
      </c>
      <c r="D68" s="38">
        <f>IF(ABS(C68)&gt;2,"Yes","No")</f>
      </c>
      <c r="E68" s="11">
        <f>IFERROR((B68-$K$3) / ($L$3-$K$3),"")</f>
      </c>
      <c r="F68" s="2"/>
      <c r="G68" s="2"/>
      <c r="H68" s="8"/>
      <c r="I68" s="8"/>
      <c r="J68" s="2"/>
      <c r="K68" s="9"/>
      <c r="L68" s="8"/>
    </row>
    <row x14ac:dyDescent="0.25" r="69" customHeight="1" ht="18.75">
      <c r="A69" s="2" t="s">
        <v>96</v>
      </c>
      <c r="B69" s="11">
        <v>19.6</v>
      </c>
      <c r="C69" s="11">
        <f>IFERROR((B69-$H$3)/$I$3,"")</f>
      </c>
      <c r="D69" s="38">
        <f>IF(ABS(C69)&gt;2,"Yes","No")</f>
      </c>
      <c r="E69" s="11">
        <f>IFERROR((B69-$K$3) / ($L$3-$K$3),"")</f>
      </c>
      <c r="F69" s="2"/>
      <c r="G69" s="2"/>
      <c r="H69" s="8"/>
      <c r="I69" s="8"/>
      <c r="J69" s="2"/>
      <c r="K69" s="9"/>
      <c r="L69" s="8"/>
    </row>
    <row x14ac:dyDescent="0.25" r="70" customHeight="1" ht="18.75">
      <c r="A70" s="2" t="s">
        <v>97</v>
      </c>
      <c r="B70" s="11">
        <v>15.3</v>
      </c>
      <c r="C70" s="11">
        <f>IFERROR((B70-$H$3)/$I$3,"")</f>
      </c>
      <c r="D70" s="38">
        <f>IF(ABS(C70)&gt;2,"Yes","No")</f>
      </c>
      <c r="E70" s="11">
        <f>IFERROR((B70-$K$3) / ($L$3-$K$3),"")</f>
      </c>
      <c r="F70" s="2"/>
      <c r="G70" s="2"/>
      <c r="H70" s="8"/>
      <c r="I70" s="8"/>
      <c r="J70" s="2"/>
      <c r="K70" s="9"/>
      <c r="L70" s="8"/>
    </row>
    <row x14ac:dyDescent="0.25" r="71" customHeight="1" ht="18.75">
      <c r="A71" s="2" t="s">
        <v>98</v>
      </c>
      <c r="B71" s="11">
        <v>24.6</v>
      </c>
      <c r="C71" s="11">
        <f>IFERROR((B71-$H$3)/$I$3,"")</f>
      </c>
      <c r="D71" s="38">
        <f>IF(ABS(C71)&gt;2,"Yes","No")</f>
      </c>
      <c r="E71" s="11">
        <f>IFERROR((B71-$K$3) / ($L$3-$K$3),"")</f>
      </c>
      <c r="F71" s="2"/>
      <c r="G71" s="2"/>
      <c r="H71" s="8"/>
      <c r="I71" s="8"/>
      <c r="J71" s="2"/>
      <c r="K71" s="9"/>
      <c r="L71" s="8"/>
    </row>
    <row x14ac:dyDescent="0.25" r="72" customHeight="1" ht="18.75">
      <c r="A72" s="2" t="s">
        <v>99</v>
      </c>
      <c r="B72" s="11">
        <v>14.5</v>
      </c>
      <c r="C72" s="11">
        <f>IFERROR((B72-$H$3)/$I$3,"")</f>
      </c>
      <c r="D72" s="38">
        <f>IF(ABS(C72)&gt;2,"Yes","No")</f>
      </c>
      <c r="E72" s="11">
        <f>IFERROR((B72-$K$3) / ($L$3-$K$3),"")</f>
      </c>
      <c r="F72" s="2"/>
      <c r="G72" s="2"/>
      <c r="H72" s="8"/>
      <c r="I72" s="8"/>
      <c r="J72" s="2"/>
      <c r="K72" s="9"/>
      <c r="L72" s="8"/>
    </row>
    <row x14ac:dyDescent="0.25" r="73" customHeight="1" ht="18.75">
      <c r="A73" s="2" t="s">
        <v>100</v>
      </c>
      <c r="B73" s="3">
        <v>15</v>
      </c>
      <c r="C73" s="11">
        <f>IFERROR((B73-$H$3)/$I$3,"")</f>
      </c>
      <c r="D73" s="38">
        <f>IF(ABS(C73)&gt;2,"Yes","No")</f>
      </c>
      <c r="E73" s="11">
        <f>IFERROR((B73-$K$3) / ($L$3-$K$3),"")</f>
      </c>
      <c r="F73" s="2"/>
      <c r="G73" s="2"/>
      <c r="H73" s="8"/>
      <c r="I73" s="8"/>
      <c r="J73" s="2"/>
      <c r="K73" s="9"/>
      <c r="L73" s="8"/>
    </row>
    <row x14ac:dyDescent="0.25" r="74" customHeight="1" ht="18.75">
      <c r="A74" s="2" t="s">
        <v>101</v>
      </c>
      <c r="B74" s="3">
        <v>18</v>
      </c>
      <c r="C74" s="11">
        <f>IFERROR((B74-$H$3)/$I$3,"")</f>
      </c>
      <c r="D74" s="38">
        <f>IF(ABS(C74)&gt;2,"Yes","No")</f>
      </c>
      <c r="E74" s="11">
        <f>IFERROR((B74-$K$3) / ($L$3-$K$3),"")</f>
      </c>
      <c r="F74" s="2"/>
      <c r="G74" s="2"/>
      <c r="H74" s="8"/>
      <c r="I74" s="8"/>
      <c r="J74" s="2"/>
      <c r="K74" s="9"/>
      <c r="L74" s="8"/>
    </row>
    <row x14ac:dyDescent="0.25" r="75" customHeight="1" ht="18.75">
      <c r="A75" s="2" t="s">
        <v>102</v>
      </c>
      <c r="B75" s="3">
        <v>14</v>
      </c>
      <c r="C75" s="11">
        <f>IFERROR((B75-$H$3)/$I$3,"")</f>
      </c>
      <c r="D75" s="38">
        <f>IF(ABS(C75)&gt;2,"Yes","No")</f>
      </c>
      <c r="E75" s="11">
        <f>IFERROR((B75-$K$3) / ($L$3-$K$3),"")</f>
      </c>
      <c r="F75" s="2"/>
      <c r="G75" s="2"/>
      <c r="H75" s="8"/>
      <c r="I75" s="8"/>
      <c r="J75" s="2"/>
      <c r="K75" s="9"/>
      <c r="L75" s="8"/>
    </row>
    <row x14ac:dyDescent="0.25" r="76" customHeight="1" ht="18.75">
      <c r="A76" s="2" t="s">
        <v>99</v>
      </c>
      <c r="B76" s="11">
        <v>14.5</v>
      </c>
      <c r="C76" s="11">
        <f>IFERROR((B76-$H$3)/$I$3,"")</f>
      </c>
      <c r="D76" s="38">
        <f>IF(ABS(C76)&gt;2,"Yes","No")</f>
      </c>
      <c r="E76" s="11">
        <f>IFERROR((B76-$K$3) / ($L$3-$K$3),"")</f>
      </c>
      <c r="F76" s="2"/>
      <c r="G76" s="2"/>
      <c r="H76" s="8"/>
      <c r="I76" s="8"/>
      <c r="J76" s="2"/>
      <c r="K76" s="9"/>
      <c r="L76" s="8"/>
    </row>
    <row x14ac:dyDescent="0.25" r="77" customHeight="1" ht="18.75">
      <c r="A77" s="2" t="s">
        <v>103</v>
      </c>
      <c r="B77" s="3">
        <v>19</v>
      </c>
      <c r="C77" s="11">
        <f>IFERROR((B77-$H$3)/$I$3,"")</f>
      </c>
      <c r="D77" s="38">
        <f>IF(ABS(C77)&gt;2,"Yes","No")</f>
      </c>
      <c r="E77" s="11">
        <f>IFERROR((B77-$K$3) / ($L$3-$K$3),"")</f>
      </c>
      <c r="F77" s="2"/>
      <c r="G77" s="2"/>
      <c r="H77" s="8"/>
      <c r="I77" s="8"/>
      <c r="J77" s="2"/>
      <c r="K77" s="9"/>
      <c r="L77" s="8"/>
    </row>
    <row x14ac:dyDescent="0.25" r="78" customHeight="1" ht="18.75">
      <c r="A78" s="2" t="s">
        <v>104</v>
      </c>
      <c r="B78" s="11">
        <v>13.5</v>
      </c>
      <c r="C78" s="11">
        <f>IFERROR((B78-$H$3)/$I$3,"")</f>
      </c>
      <c r="D78" s="38">
        <f>IF(ABS(C78)&gt;2,"Yes","No")</f>
      </c>
      <c r="E78" s="11">
        <f>IFERROR((B78-$K$3) / ($L$3-$K$3),"")</f>
      </c>
      <c r="F78" s="2"/>
      <c r="G78" s="2"/>
      <c r="H78" s="8"/>
      <c r="I78" s="8"/>
      <c r="J78" s="2"/>
      <c r="K78" s="9"/>
      <c r="L78" s="8"/>
    </row>
    <row x14ac:dyDescent="0.25" r="79" customHeight="1" ht="18.75">
      <c r="A79" s="2" t="s">
        <v>105</v>
      </c>
      <c r="B79" s="11">
        <v>16.5</v>
      </c>
      <c r="C79" s="11">
        <f>IFERROR((B79-$H$3)/$I$3,"")</f>
      </c>
      <c r="D79" s="38">
        <f>IF(ABS(C79)&gt;2,"Yes","No")</f>
      </c>
      <c r="E79" s="11">
        <f>IFERROR((B79-$K$3) / ($L$3-$K$3),"")</f>
      </c>
      <c r="F79" s="2"/>
      <c r="G79" s="2"/>
      <c r="H79" s="8"/>
      <c r="I79" s="8"/>
      <c r="J79" s="2"/>
      <c r="K79" s="9"/>
      <c r="L79" s="8"/>
    </row>
    <row x14ac:dyDescent="0.25" r="80" customHeight="1" ht="18.75">
      <c r="A80" s="2" t="s">
        <v>106</v>
      </c>
      <c r="B80" s="11">
        <v>15.5</v>
      </c>
      <c r="C80" s="11">
        <f>IFERROR((B80-$H$3)/$I$3,"")</f>
      </c>
      <c r="D80" s="38">
        <f>IF(ABS(C80)&gt;2,"Yes","No")</f>
      </c>
      <c r="E80" s="11">
        <f>IFERROR((B80-$K$3) / ($L$3-$K$3),"")</f>
      </c>
      <c r="F80" s="2"/>
      <c r="G80" s="2"/>
      <c r="H80" s="8"/>
      <c r="I80" s="8"/>
      <c r="J80" s="2"/>
      <c r="K80" s="9"/>
      <c r="L80" s="8"/>
    </row>
    <row x14ac:dyDescent="0.25" r="81" customHeight="1" ht="18.75">
      <c r="A81" s="2" t="s">
        <v>107</v>
      </c>
      <c r="B81" s="3">
        <v>17</v>
      </c>
      <c r="C81" s="11">
        <f>IFERROR((B81-$H$3)/$I$3,"")</f>
      </c>
      <c r="D81" s="38">
        <f>IF(ABS(C81)&gt;2,"Yes","No")</f>
      </c>
      <c r="E81" s="11">
        <f>IFERROR((B81-$K$3) / ($L$3-$K$3),"")</f>
      </c>
      <c r="F81" s="2"/>
      <c r="G81" s="2"/>
      <c r="H81" s="8"/>
      <c r="I81" s="8"/>
      <c r="J81" s="2"/>
      <c r="K81" s="9"/>
      <c r="L81" s="8"/>
    </row>
    <row x14ac:dyDescent="0.25" r="82" customHeight="1" ht="18.75">
      <c r="A82" s="2" t="s">
        <v>108</v>
      </c>
      <c r="B82" s="11">
        <v>14.5</v>
      </c>
      <c r="C82" s="11">
        <f>IFERROR((B82-$H$3)/$I$3,"")</f>
      </c>
      <c r="D82" s="38">
        <f>IF(ABS(C82)&gt;2,"Yes","No")</f>
      </c>
      <c r="E82" s="11">
        <f>IFERROR((B82-$K$3) / ($L$3-$K$3),"")</f>
      </c>
      <c r="F82" s="2"/>
      <c r="G82" s="2"/>
      <c r="H82" s="8"/>
      <c r="I82" s="8"/>
      <c r="J82" s="2"/>
      <c r="K82" s="9"/>
      <c r="L82" s="8"/>
    </row>
    <row x14ac:dyDescent="0.25" r="83" customHeight="1" ht="18.75">
      <c r="A83" s="2" t="s">
        <v>109</v>
      </c>
      <c r="B83" s="11">
        <v>13.5</v>
      </c>
      <c r="C83" s="11">
        <f>IFERROR((B83-$H$3)/$I$3,"")</f>
      </c>
      <c r="D83" s="38">
        <f>IF(ABS(C83)&gt;2,"Yes","No")</f>
      </c>
      <c r="E83" s="11">
        <f>IFERROR((B83-$K$3) / ($L$3-$K$3),"")</f>
      </c>
      <c r="F83" s="2"/>
      <c r="G83" s="2"/>
      <c r="H83" s="8"/>
      <c r="I83" s="8"/>
      <c r="J83" s="2"/>
      <c r="K83" s="9"/>
      <c r="L83" s="8"/>
    </row>
    <row x14ac:dyDescent="0.25" r="84" customHeight="1" ht="18.75">
      <c r="A84" s="2" t="s">
        <v>110</v>
      </c>
      <c r="B84" s="11">
        <v>16.5</v>
      </c>
      <c r="C84" s="11">
        <f>IFERROR((B84-$H$3)/$I$3,"")</f>
      </c>
      <c r="D84" s="38">
        <f>IF(ABS(C84)&gt;2,"Yes","No")</f>
      </c>
      <c r="E84" s="11">
        <f>IFERROR((B84-$K$3) / ($L$3-$K$3),"")</f>
      </c>
      <c r="F84" s="2"/>
      <c r="G84" s="2"/>
      <c r="H84" s="8"/>
      <c r="I84" s="8"/>
      <c r="J84" s="2"/>
      <c r="K84" s="9"/>
      <c r="L84" s="8"/>
    </row>
    <row x14ac:dyDescent="0.25" r="85" customHeight="1" ht="18.75">
      <c r="A85" s="2" t="s">
        <v>111</v>
      </c>
      <c r="B85" s="3">
        <v>19</v>
      </c>
      <c r="C85" s="11">
        <f>IFERROR((B85-$H$3)/$I$3,"")</f>
      </c>
      <c r="D85" s="38">
        <f>IF(ABS(C85)&gt;2,"Yes","No")</f>
      </c>
      <c r="E85" s="11">
        <f>IFERROR((B85-$K$3) / ($L$3-$K$3),"")</f>
      </c>
      <c r="F85" s="2"/>
      <c r="G85" s="2"/>
      <c r="H85" s="8"/>
      <c r="I85" s="8"/>
      <c r="J85" s="2"/>
      <c r="K85" s="9"/>
      <c r="L85" s="8"/>
    </row>
    <row x14ac:dyDescent="0.25" r="86" customHeight="1" ht="18.75">
      <c r="A86" s="2" t="s">
        <v>112</v>
      </c>
      <c r="B86" s="11">
        <v>13.5</v>
      </c>
      <c r="C86" s="11">
        <f>IFERROR((B86-$H$3)/$I$3,"")</f>
      </c>
      <c r="D86" s="38">
        <f>IF(ABS(C86)&gt;2,"Yes","No")</f>
      </c>
      <c r="E86" s="11">
        <f>IFERROR((B86-$K$3) / ($L$3-$K$3),"")</f>
      </c>
      <c r="F86" s="2"/>
      <c r="G86" s="2"/>
      <c r="H86" s="8"/>
      <c r="I86" s="8"/>
      <c r="J86" s="2"/>
      <c r="K86" s="9"/>
      <c r="L86" s="8"/>
    </row>
    <row x14ac:dyDescent="0.25" r="87" customHeight="1" ht="18.75">
      <c r="A87" s="2" t="s">
        <v>113</v>
      </c>
      <c r="B87" s="3">
        <v>15</v>
      </c>
      <c r="C87" s="11">
        <f>IFERROR((B87-$H$3)/$I$3,"")</f>
      </c>
      <c r="D87" s="38">
        <f>IF(ABS(C87)&gt;2,"Yes","No")</f>
      </c>
      <c r="E87" s="11">
        <f>IFERROR((B87-$K$3) / ($L$3-$K$3),"")</f>
      </c>
      <c r="F87" s="2"/>
      <c r="G87" s="2"/>
      <c r="H87" s="8"/>
      <c r="I87" s="8"/>
      <c r="J87" s="2"/>
      <c r="K87" s="9"/>
      <c r="L87" s="8"/>
    </row>
    <row x14ac:dyDescent="0.25" r="88" customHeight="1" ht="18.75">
      <c r="A88" s="2" t="s">
        <v>114</v>
      </c>
      <c r="B88" s="11">
        <v>15.5</v>
      </c>
      <c r="C88" s="11">
        <f>IFERROR((B88-$H$3)/$I$3,"")</f>
      </c>
      <c r="D88" s="38">
        <f>IF(ABS(C88)&gt;2,"Yes","No")</f>
      </c>
      <c r="E88" s="11">
        <f>IFERROR((B88-$K$3) / ($L$3-$K$3),"")</f>
      </c>
      <c r="F88" s="2"/>
      <c r="G88" s="2"/>
      <c r="H88" s="8"/>
      <c r="I88" s="8"/>
      <c r="J88" s="2"/>
      <c r="K88" s="9"/>
      <c r="L88" s="8"/>
    </row>
    <row x14ac:dyDescent="0.25" r="89" customHeight="1" ht="18.75">
      <c r="A89" s="2" t="s">
        <v>103</v>
      </c>
      <c r="B89" s="3">
        <v>21</v>
      </c>
      <c r="C89" s="11">
        <f>IFERROR((B89-$H$3)/$I$3,"")</f>
      </c>
      <c r="D89" s="38">
        <f>IF(ABS(C89)&gt;2,"Yes","No")</f>
      </c>
      <c r="E89" s="11">
        <f>IFERROR((B89-$K$3) / ($L$3-$K$3),"")</f>
      </c>
      <c r="F89" s="2"/>
      <c r="G89" s="2"/>
      <c r="H89" s="8"/>
      <c r="I89" s="8"/>
      <c r="J89" s="2"/>
      <c r="K89" s="9"/>
      <c r="L89" s="8"/>
    </row>
    <row x14ac:dyDescent="0.25" r="90" customHeight="1" ht="18.75">
      <c r="A90" s="2" t="s">
        <v>115</v>
      </c>
      <c r="B90" s="3">
        <v>19</v>
      </c>
      <c r="C90" s="11">
        <f>IFERROR((B90-$H$3)/$I$3,"")</f>
      </c>
      <c r="D90" s="38">
        <f>IF(ABS(C90)&gt;2,"Yes","No")</f>
      </c>
      <c r="E90" s="11">
        <f>IFERROR((B90-$K$3) / ($L$3-$K$3),"")</f>
      </c>
      <c r="F90" s="2"/>
      <c r="G90" s="2"/>
      <c r="H90" s="8"/>
      <c r="I90" s="8"/>
      <c r="J90" s="2"/>
      <c r="K90" s="9"/>
      <c r="L90" s="8"/>
    </row>
    <row x14ac:dyDescent="0.25" r="91" customHeight="1" ht="18.75">
      <c r="A91" s="2" t="s">
        <v>102</v>
      </c>
      <c r="B91" s="11">
        <v>16.5</v>
      </c>
      <c r="C91" s="11">
        <f>IFERROR((B91-$H$3)/$I$3,"")</f>
      </c>
      <c r="D91" s="38">
        <f>IF(ABS(C91)&gt;2,"Yes","No")</f>
      </c>
      <c r="E91" s="11">
        <f>IFERROR((B91-$K$3) / ($L$3-$K$3),"")</f>
      </c>
      <c r="F91" s="2"/>
      <c r="G91" s="2"/>
      <c r="H91" s="8"/>
      <c r="I91" s="8"/>
      <c r="J91" s="2"/>
      <c r="K91" s="9"/>
      <c r="L91" s="8"/>
    </row>
    <row x14ac:dyDescent="0.25" r="92" customHeight="1" ht="18.75">
      <c r="A92" s="2" t="s">
        <v>116</v>
      </c>
      <c r="B92" s="3">
        <v>19</v>
      </c>
      <c r="C92" s="11">
        <f>IFERROR((B92-$H$3)/$I$3,"")</f>
      </c>
      <c r="D92" s="38">
        <f>IF(ABS(C92)&gt;2,"Yes","No")</f>
      </c>
      <c r="E92" s="11">
        <f>IFERROR((B92-$K$3) / ($L$3-$K$3),"")</f>
      </c>
      <c r="F92" s="2"/>
      <c r="G92" s="2"/>
      <c r="H92" s="8"/>
      <c r="I92" s="8"/>
      <c r="J92" s="2"/>
      <c r="K92" s="9"/>
      <c r="L92" s="8"/>
    </row>
    <row x14ac:dyDescent="0.25" r="93" customHeight="1" ht="18.75">
      <c r="A93" s="2" t="s">
        <v>116</v>
      </c>
      <c r="B93" s="3">
        <v>17</v>
      </c>
      <c r="C93" s="11">
        <f>IFERROR((B93-$H$3)/$I$3,"")</f>
      </c>
      <c r="D93" s="38">
        <f>IF(ABS(C93)&gt;2,"Yes","No")</f>
      </c>
      <c r="E93" s="11">
        <f>IFERROR((B93-$K$3) / ($L$3-$K$3),"")</f>
      </c>
      <c r="F93" s="2"/>
      <c r="G93" s="2"/>
      <c r="H93" s="8"/>
      <c r="I93" s="8"/>
      <c r="J93" s="2"/>
      <c r="K93" s="9"/>
      <c r="L93" s="8"/>
    </row>
    <row x14ac:dyDescent="0.25" r="94" customHeight="1" ht="18.75">
      <c r="A94" s="2" t="s">
        <v>102</v>
      </c>
      <c r="B94" s="11">
        <v>13.5</v>
      </c>
      <c r="C94" s="11">
        <f>IFERROR((B94-$H$3)/$I$3,"")</f>
      </c>
      <c r="D94" s="38">
        <f>IF(ABS(C94)&gt;2,"Yes","No")</f>
      </c>
      <c r="E94" s="11">
        <f>IFERROR((B94-$K$3) / ($L$3-$K$3),"")</f>
      </c>
      <c r="F94" s="2"/>
      <c r="G94" s="2"/>
      <c r="H94" s="8"/>
      <c r="I94" s="8"/>
      <c r="J94" s="2"/>
      <c r="K94" s="9"/>
      <c r="L94" s="8"/>
    </row>
    <row x14ac:dyDescent="0.25" r="95" customHeight="1" ht="18.75">
      <c r="A95" s="2" t="s">
        <v>117</v>
      </c>
      <c r="B95" s="3">
        <v>16</v>
      </c>
      <c r="C95" s="11">
        <f>IFERROR((B95-$H$3)/$I$3,"")</f>
      </c>
      <c r="D95" s="38">
        <f>IF(ABS(C95)&gt;2,"Yes","No")</f>
      </c>
      <c r="E95" s="11">
        <f>IFERROR((B95-$K$3) / ($L$3-$K$3),"")</f>
      </c>
      <c r="F95" s="2"/>
      <c r="G95" s="2"/>
      <c r="H95" s="8"/>
      <c r="I95" s="8"/>
      <c r="J95" s="2"/>
      <c r="K95" s="9"/>
      <c r="L95" s="8"/>
    </row>
    <row x14ac:dyDescent="0.25" r="96" customHeight="1" ht="18.75">
      <c r="A96" s="2" t="s">
        <v>118</v>
      </c>
      <c r="B96" s="11">
        <v>17.5</v>
      </c>
      <c r="C96" s="11">
        <f>IFERROR((B96-$H$3)/$I$3,"")</f>
      </c>
      <c r="D96" s="38">
        <f>IF(ABS(C96)&gt;2,"Yes","No")</f>
      </c>
      <c r="E96" s="11">
        <f>IFERROR((B96-$K$3) / ($L$3-$K$3),"")</f>
      </c>
      <c r="F96" s="2"/>
      <c r="G96" s="2"/>
      <c r="H96" s="8"/>
      <c r="I96" s="8"/>
      <c r="J96" s="2"/>
      <c r="K96" s="9"/>
      <c r="L96" s="8"/>
    </row>
    <row x14ac:dyDescent="0.25" r="97" customHeight="1" ht="18.75">
      <c r="A97" s="2" t="s">
        <v>119</v>
      </c>
      <c r="B97" s="3">
        <v>17</v>
      </c>
      <c r="C97" s="11">
        <f>IFERROR((B97-$H$3)/$I$3,"")</f>
      </c>
      <c r="D97" s="38">
        <f>IF(ABS(C97)&gt;2,"Yes","No")</f>
      </c>
      <c r="E97" s="11">
        <f>IFERROR((B97-$K$3) / ($L$3-$K$3),"")</f>
      </c>
      <c r="F97" s="2"/>
      <c r="G97" s="2"/>
      <c r="H97" s="8"/>
      <c r="I97" s="8"/>
      <c r="J97" s="2"/>
      <c r="K97" s="9"/>
      <c r="L97" s="8"/>
    </row>
    <row x14ac:dyDescent="0.25" r="98" customHeight="1" ht="18.75">
      <c r="A98" s="2" t="s">
        <v>117</v>
      </c>
      <c r="B98" s="11">
        <v>16.4</v>
      </c>
      <c r="C98" s="11">
        <f>IFERROR((B98-$H$3)/$I$3,"")</f>
      </c>
      <c r="D98" s="38">
        <f>IF(ABS(C98)&gt;2,"Yes","No")</f>
      </c>
      <c r="E98" s="11">
        <f>IFERROR((B98-$K$3) / ($L$3-$K$3),"")</f>
      </c>
      <c r="F98" s="2"/>
      <c r="G98" s="2"/>
      <c r="H98" s="8"/>
      <c r="I98" s="8"/>
      <c r="J98" s="2"/>
      <c r="K98" s="9"/>
      <c r="L98" s="8"/>
    </row>
    <row x14ac:dyDescent="0.25" r="99" customHeight="1" ht="18.75">
      <c r="A99" s="2" t="s">
        <v>113</v>
      </c>
      <c r="B99" s="11">
        <v>17.4</v>
      </c>
      <c r="C99" s="11">
        <f>IFERROR((B99-$H$3)/$I$3,"")</f>
      </c>
      <c r="D99" s="38">
        <f>IF(ABS(C99)&gt;2,"Yes","No")</f>
      </c>
      <c r="E99" s="11">
        <f>IFERROR((B99-$K$3) / ($L$3-$K$3),"")</f>
      </c>
      <c r="F99" s="2"/>
      <c r="G99" s="2"/>
      <c r="H99" s="8"/>
      <c r="I99" s="8"/>
      <c r="J99" s="2"/>
      <c r="K99" s="9"/>
      <c r="L99" s="8"/>
    </row>
    <row x14ac:dyDescent="0.25" r="100" customHeight="1" ht="18.75">
      <c r="A100" s="2" t="s">
        <v>112</v>
      </c>
      <c r="B100" s="11">
        <v>15.5</v>
      </c>
      <c r="C100" s="11">
        <f>IFERROR((B100-$H$3)/$I$3,"")</f>
      </c>
      <c r="D100" s="38">
        <f>IF(ABS(C100)&gt;2,"Yes","No")</f>
      </c>
      <c r="E100" s="11">
        <f>IFERROR((B100-$K$3) / ($L$3-$K$3),"")</f>
      </c>
      <c r="F100" s="2"/>
      <c r="G100" s="2"/>
      <c r="H100" s="8"/>
      <c r="I100" s="8"/>
      <c r="J100" s="2"/>
      <c r="K100" s="9"/>
      <c r="L100" s="8"/>
    </row>
    <row x14ac:dyDescent="0.25" r="101" customHeight="1" ht="18.75">
      <c r="A101" s="2" t="s">
        <v>120</v>
      </c>
      <c r="B101" s="11">
        <v>13.5</v>
      </c>
      <c r="C101" s="11">
        <f>IFERROR((B101-$H$3)/$I$3,"")</f>
      </c>
      <c r="D101" s="38">
        <f>IF(ABS(C101)&gt;2,"Yes","No")</f>
      </c>
      <c r="E101" s="11">
        <f>IFERROR((B101-$K$3) / ($L$3-$K$3),"")</f>
      </c>
      <c r="F101" s="2"/>
      <c r="G101" s="2"/>
      <c r="H101" s="8"/>
      <c r="I101" s="8"/>
      <c r="J101" s="2"/>
      <c r="K101" s="9"/>
      <c r="L101" s="8"/>
    </row>
    <row x14ac:dyDescent="0.25" r="102" customHeight="1" ht="18.75">
      <c r="A102" s="2" t="s">
        <v>121</v>
      </c>
      <c r="B102" s="11">
        <v>16.8</v>
      </c>
      <c r="C102" s="11">
        <f>IFERROR((B102-$H$3)/$I$3,"")</f>
      </c>
      <c r="D102" s="38">
        <f>IF(ABS(C102)&gt;2,"Yes","No")</f>
      </c>
      <c r="E102" s="11">
        <f>IFERROR((B102-$K$3) / ($L$3-$K$3),"")</f>
      </c>
      <c r="F102" s="2"/>
      <c r="G102" s="2"/>
      <c r="H102" s="8"/>
      <c r="I102" s="8"/>
      <c r="J102" s="2"/>
      <c r="K102" s="9"/>
      <c r="L102" s="8"/>
    </row>
    <row x14ac:dyDescent="0.25" r="103" customHeight="1" ht="18.75">
      <c r="A103" s="2" t="s">
        <v>122</v>
      </c>
      <c r="B103" s="11">
        <v>16.4</v>
      </c>
      <c r="C103" s="11">
        <f>IFERROR((B103-$H$3)/$I$3,"")</f>
      </c>
      <c r="D103" s="38">
        <f>IF(ABS(C103)&gt;2,"Yes","No")</f>
      </c>
      <c r="E103" s="11">
        <f>IFERROR((B103-$K$3) / ($L$3-$K$3),"")</f>
      </c>
      <c r="F103" s="2"/>
      <c r="G103" s="2"/>
      <c r="H103" s="8"/>
      <c r="I103" s="8"/>
      <c r="J103" s="2"/>
      <c r="K103" s="9"/>
      <c r="L103" s="8"/>
    </row>
    <row x14ac:dyDescent="0.25" r="104" customHeight="1" ht="18.75">
      <c r="A104" s="2" t="s">
        <v>123</v>
      </c>
      <c r="B104" s="11">
        <v>18.5</v>
      </c>
      <c r="C104" s="11">
        <f>IFERROR((B104-$H$3)/$I$3,"")</f>
      </c>
      <c r="D104" s="38">
        <f>IF(ABS(C104)&gt;2,"Yes","No")</f>
      </c>
      <c r="E104" s="11">
        <f>IFERROR((B104-$K$3) / ($L$3-$K$3),"")</f>
      </c>
      <c r="F104" s="2"/>
      <c r="G104" s="2"/>
      <c r="H104" s="8"/>
      <c r="I104" s="8"/>
      <c r="J104" s="2"/>
      <c r="K104" s="9"/>
      <c r="L104" s="8"/>
    </row>
    <row x14ac:dyDescent="0.25" r="105" customHeight="1" ht="18.75">
      <c r="A105" s="2" t="s">
        <v>124</v>
      </c>
      <c r="B105" s="11">
        <v>18.2</v>
      </c>
      <c r="C105" s="11">
        <f>IFERROR((B105-$H$3)/$I$3,"")</f>
      </c>
      <c r="D105" s="38">
        <f>IF(ABS(C105)&gt;2,"Yes","No")</f>
      </c>
      <c r="E105" s="11">
        <f>IFERROR((B105-$K$3) / ($L$3-$K$3),"")</f>
      </c>
      <c r="F105" s="2"/>
      <c r="G105" s="2"/>
      <c r="H105" s="8"/>
      <c r="I105" s="8"/>
      <c r="J105" s="2"/>
      <c r="K105" s="9"/>
      <c r="L105" s="8"/>
    </row>
    <row x14ac:dyDescent="0.25" r="106" customHeight="1" ht="18.75">
      <c r="A106" s="2" t="s">
        <v>125</v>
      </c>
      <c r="B106" s="11">
        <v>14.5</v>
      </c>
      <c r="C106" s="11">
        <f>IFERROR((B106-$H$3)/$I$3,"")</f>
      </c>
      <c r="D106" s="38">
        <f>IF(ABS(C106)&gt;2,"Yes","No")</f>
      </c>
      <c r="E106" s="11">
        <f>IFERROR((B106-$K$3) / ($L$3-$K$3),"")</f>
      </c>
      <c r="F106" s="2"/>
      <c r="G106" s="2"/>
      <c r="H106" s="8"/>
      <c r="I106" s="8"/>
      <c r="J106" s="2"/>
      <c r="K106" s="9"/>
      <c r="L106" s="8"/>
    </row>
    <row x14ac:dyDescent="0.25" r="107" customHeight="1" ht="18.75">
      <c r="A107" s="2" t="s">
        <v>126</v>
      </c>
      <c r="B107" s="11">
        <v>14.7</v>
      </c>
      <c r="C107" s="11">
        <f>IFERROR((B107-$H$3)/$I$3,"")</f>
      </c>
      <c r="D107" s="38">
        <f>IF(ABS(C107)&gt;2,"Yes","No")</f>
      </c>
      <c r="E107" s="11">
        <f>IFERROR((B107-$K$3) / ($L$3-$K$3),"")</f>
      </c>
      <c r="F107" s="2"/>
      <c r="G107" s="2"/>
      <c r="H107" s="8"/>
      <c r="I107" s="8"/>
      <c r="J107" s="2"/>
      <c r="K107" s="9"/>
      <c r="L107" s="8"/>
    </row>
    <row x14ac:dyDescent="0.25" r="108" customHeight="1" ht="18.75">
      <c r="A108" s="2" t="s">
        <v>127</v>
      </c>
      <c r="B108" s="11">
        <v>14.9</v>
      </c>
      <c r="C108" s="11">
        <f>IFERROR((B108-$H$3)/$I$3,"")</f>
      </c>
      <c r="D108" s="38">
        <f>IF(ABS(C108)&gt;2,"Yes","No")</f>
      </c>
      <c r="E108" s="11">
        <f>IFERROR((B108-$K$3) / ($L$3-$K$3),"")</f>
      </c>
      <c r="F108" s="2"/>
      <c r="G108" s="2"/>
      <c r="H108" s="8"/>
      <c r="I108" s="8"/>
      <c r="J108" s="2"/>
      <c r="K108" s="9"/>
      <c r="L108" s="8"/>
    </row>
    <row x14ac:dyDescent="0.25" r="109" customHeight="1" ht="18.75">
      <c r="A109" s="2" t="s">
        <v>128</v>
      </c>
      <c r="B109" s="11">
        <v>14.8</v>
      </c>
      <c r="C109" s="11">
        <f>IFERROR((B109-$H$3)/$I$3,"")</f>
      </c>
      <c r="D109" s="38">
        <f>IF(ABS(C109)&gt;2,"Yes","No")</f>
      </c>
      <c r="E109" s="11">
        <f>IFERROR((B109-$K$3) / ($L$3-$K$3),"")</f>
      </c>
      <c r="F109" s="2"/>
      <c r="G109" s="2"/>
      <c r="H109" s="8"/>
      <c r="I109" s="8"/>
      <c r="J109" s="2"/>
      <c r="K109" s="9"/>
      <c r="L109" s="8"/>
    </row>
    <row x14ac:dyDescent="0.25" r="110" customHeight="1" ht="18.75">
      <c r="A110" s="2" t="s">
        <v>102</v>
      </c>
      <c r="B110" s="11">
        <v>14.2</v>
      </c>
      <c r="C110" s="11">
        <f>IFERROR((B110-$H$3)/$I$3,"")</f>
      </c>
      <c r="D110" s="38">
        <f>IF(ABS(C110)&gt;2,"Yes","No")</f>
      </c>
      <c r="E110" s="11">
        <f>IFERROR((B110-$K$3) / ($L$3-$K$3),"")</f>
      </c>
      <c r="F110" s="2"/>
      <c r="G110" s="2"/>
      <c r="H110" s="8"/>
      <c r="I110" s="8"/>
      <c r="J110" s="2"/>
      <c r="K110" s="9"/>
      <c r="L110" s="8"/>
    </row>
    <row x14ac:dyDescent="0.25" r="111" customHeight="1" ht="18.75">
      <c r="A111" s="2" t="s">
        <v>129</v>
      </c>
      <c r="B111" s="11">
        <v>18.6</v>
      </c>
      <c r="C111" s="11">
        <f>IFERROR((B111-$H$3)/$I$3,"")</f>
      </c>
      <c r="D111" s="38">
        <f>IF(ABS(C111)&gt;2,"Yes","No")</f>
      </c>
      <c r="E111" s="11">
        <f>IFERROR((B111-$K$3) / ($L$3-$K$3),"")</f>
      </c>
      <c r="F111" s="2"/>
      <c r="G111" s="2"/>
      <c r="H111" s="8"/>
      <c r="I111" s="8"/>
      <c r="J111" s="2"/>
      <c r="K111" s="9"/>
      <c r="L111" s="8"/>
    </row>
    <row x14ac:dyDescent="0.25" r="112" customHeight="1" ht="18.75">
      <c r="A112" s="2" t="s">
        <v>118</v>
      </c>
      <c r="B112" s="11">
        <v>16.4</v>
      </c>
      <c r="C112" s="11">
        <f>IFERROR((B112-$H$3)/$I$3,"")</f>
      </c>
      <c r="D112" s="38">
        <f>IF(ABS(C112)&gt;2,"Yes","No")</f>
      </c>
      <c r="E112" s="11">
        <f>IFERROR((B112-$K$3) / ($L$3-$K$3),"")</f>
      </c>
      <c r="F112" s="2"/>
      <c r="G112" s="2"/>
      <c r="H112" s="8"/>
      <c r="I112" s="8"/>
      <c r="J112" s="2"/>
      <c r="K112" s="9"/>
      <c r="L112" s="8"/>
    </row>
    <row x14ac:dyDescent="0.25" r="113" customHeight="1" ht="18.75">
      <c r="A113" s="2" t="s">
        <v>130</v>
      </c>
      <c r="B113" s="11">
        <v>16.6</v>
      </c>
      <c r="C113" s="11">
        <f>IFERROR((B113-$H$3)/$I$3,"")</f>
      </c>
      <c r="D113" s="38">
        <f>IF(ABS(C113)&gt;2,"Yes","No")</f>
      </c>
      <c r="E113" s="11">
        <f>IFERROR((B113-$K$3) / ($L$3-$K$3),"")</f>
      </c>
      <c r="F113" s="2"/>
      <c r="G113" s="2"/>
      <c r="H113" s="8"/>
      <c r="I113" s="8"/>
      <c r="J113" s="2"/>
      <c r="K113" s="9"/>
      <c r="L113" s="8"/>
    </row>
    <row x14ac:dyDescent="0.25" r="114" customHeight="1" ht="18.75">
      <c r="A114" s="2" t="s">
        <v>131</v>
      </c>
      <c r="B114" s="11">
        <v>19.4</v>
      </c>
      <c r="C114" s="11">
        <f>IFERROR((B114-$H$3)/$I$3,"")</f>
      </c>
      <c r="D114" s="38">
        <f>IF(ABS(C114)&gt;2,"Yes","No")</f>
      </c>
      <c r="E114" s="11">
        <f>IFERROR((B114-$K$3) / ($L$3-$K$3),"")</f>
      </c>
      <c r="F114" s="2"/>
      <c r="G114" s="2"/>
      <c r="H114" s="8"/>
      <c r="I114" s="8"/>
      <c r="J114" s="2"/>
      <c r="K114" s="9"/>
      <c r="L114" s="8"/>
    </row>
    <row x14ac:dyDescent="0.25" r="115" customHeight="1" ht="18.75">
      <c r="A115" s="2" t="s">
        <v>132</v>
      </c>
      <c r="B115" s="11">
        <v>15.2</v>
      </c>
      <c r="C115" s="11">
        <f>IFERROR((B115-$H$3)/$I$3,"")</f>
      </c>
      <c r="D115" s="38">
        <f>IF(ABS(C115)&gt;2,"Yes","No")</f>
      </c>
      <c r="E115" s="11">
        <f>IFERROR((B115-$K$3) / ($L$3-$K$3),"")</f>
      </c>
      <c r="F115" s="2"/>
      <c r="G115" s="2"/>
      <c r="H115" s="8"/>
      <c r="I115" s="8"/>
      <c r="J115" s="2"/>
      <c r="K115" s="9"/>
      <c r="L115" s="8"/>
    </row>
    <row x14ac:dyDescent="0.25" r="116" customHeight="1" ht="18.75">
      <c r="A116" s="2" t="s">
        <v>133</v>
      </c>
      <c r="B116" s="11">
        <v>19.2</v>
      </c>
      <c r="C116" s="11">
        <f>IFERROR((B116-$H$3)/$I$3,"")</f>
      </c>
      <c r="D116" s="38">
        <f>IF(ABS(C116)&gt;2,"Yes","No")</f>
      </c>
      <c r="E116" s="11">
        <f>IFERROR((B116-$K$3) / ($L$3-$K$3),"")</f>
      </c>
      <c r="F116" s="2"/>
      <c r="G116" s="2"/>
      <c r="H116" s="8"/>
      <c r="I116" s="8"/>
      <c r="J116" s="2"/>
      <c r="K116" s="9"/>
      <c r="L116" s="8"/>
    </row>
    <row x14ac:dyDescent="0.25" r="117" customHeight="1" ht="18.75">
      <c r="A117" s="2" t="s">
        <v>134</v>
      </c>
      <c r="B117" s="11">
        <v>12.5</v>
      </c>
      <c r="C117" s="11">
        <f>IFERROR((B117-$H$3)/$I$3,"")</f>
      </c>
      <c r="D117" s="38">
        <f>IF(ABS(C117)&gt;2,"Yes","No")</f>
      </c>
      <c r="E117" s="11">
        <f>IFERROR((B117-$K$3) / ($L$3-$K$3),"")</f>
      </c>
      <c r="F117" s="2"/>
      <c r="G117" s="2"/>
      <c r="H117" s="8"/>
      <c r="I117" s="8"/>
      <c r="J117" s="2"/>
      <c r="K117" s="9"/>
      <c r="L117" s="8"/>
    </row>
    <row x14ac:dyDescent="0.25" r="118" customHeight="1" ht="18.75">
      <c r="A118" s="2" t="s">
        <v>135</v>
      </c>
      <c r="B118" s="3">
        <v>15</v>
      </c>
      <c r="C118" s="11">
        <f>IFERROR((B118-$H$3)/$I$3,"")</f>
      </c>
      <c r="D118" s="38">
        <f>IF(ABS(C118)&gt;2,"Yes","No")</f>
      </c>
      <c r="E118" s="11">
        <f>IFERROR((B118-$K$3) / ($L$3-$K$3),"")</f>
      </c>
      <c r="F118" s="2"/>
      <c r="G118" s="2"/>
      <c r="H118" s="8"/>
      <c r="I118" s="8"/>
      <c r="J118" s="2"/>
      <c r="K118" s="9"/>
      <c r="L118" s="8"/>
    </row>
    <row x14ac:dyDescent="0.25" r="119" customHeight="1" ht="18.75">
      <c r="A119" s="2" t="s">
        <v>136</v>
      </c>
      <c r="B119" s="11">
        <v>13.8</v>
      </c>
      <c r="C119" s="11">
        <f>IFERROR((B119-$H$3)/$I$3,"")</f>
      </c>
      <c r="D119" s="38">
        <f>IF(ABS(C119)&gt;2,"Yes","No")</f>
      </c>
      <c r="E119" s="11">
        <f>IFERROR((B119-$K$3) / ($L$3-$K$3),"")</f>
      </c>
      <c r="F119" s="2"/>
      <c r="G119" s="2"/>
      <c r="H119" s="8"/>
      <c r="I119" s="8"/>
      <c r="J119" s="2"/>
      <c r="K119" s="9"/>
      <c r="L119" s="8"/>
    </row>
    <row x14ac:dyDescent="0.25" r="120" customHeight="1" ht="18.75">
      <c r="A120" s="2" t="s">
        <v>137</v>
      </c>
      <c r="B120" s="11">
        <v>15.5</v>
      </c>
      <c r="C120" s="11">
        <f>IFERROR((B120-$H$3)/$I$3,"")</f>
      </c>
      <c r="D120" s="38">
        <f>IF(ABS(C120)&gt;2,"Yes","No")</f>
      </c>
      <c r="E120" s="11">
        <f>IFERROR((B120-$K$3) / ($L$3-$K$3),"")</f>
      </c>
      <c r="F120" s="2"/>
      <c r="G120" s="2"/>
      <c r="H120" s="8"/>
      <c r="I120" s="8"/>
      <c r="J120" s="2"/>
      <c r="K120" s="9"/>
      <c r="L120" s="8"/>
    </row>
    <row x14ac:dyDescent="0.25" r="121" customHeight="1" ht="18.75">
      <c r="A121" s="2" t="s">
        <v>117</v>
      </c>
      <c r="B121" s="11">
        <v>15.2</v>
      </c>
      <c r="C121" s="11">
        <f>IFERROR((B121-$H$3)/$I$3,"")</f>
      </c>
      <c r="D121" s="38">
        <f>IF(ABS(C121)&gt;2,"Yes","No")</f>
      </c>
      <c r="E121" s="11">
        <f>IFERROR((B121-$K$3) / ($L$3-$K$3),"")</f>
      </c>
      <c r="F121" s="2"/>
      <c r="G121" s="2"/>
      <c r="H121" s="8"/>
      <c r="I121" s="8"/>
      <c r="J121" s="2"/>
      <c r="K121" s="9"/>
      <c r="L121" s="8"/>
    </row>
    <row x14ac:dyDescent="0.25" r="122" customHeight="1" ht="18.75">
      <c r="A122" s="2" t="s">
        <v>138</v>
      </c>
      <c r="B122" s="11">
        <v>16.4</v>
      </c>
      <c r="C122" s="11">
        <f>IFERROR((B122-$H$3)/$I$3,"")</f>
      </c>
      <c r="D122" s="38">
        <f>IF(ABS(C122)&gt;2,"Yes","No")</f>
      </c>
      <c r="E122" s="11">
        <f>IFERROR((B122-$K$3) / ($L$3-$K$3),"")</f>
      </c>
      <c r="F122" s="2"/>
      <c r="G122" s="2"/>
      <c r="H122" s="8"/>
      <c r="I122" s="8"/>
      <c r="J122" s="2"/>
      <c r="K122" s="9"/>
      <c r="L122" s="8"/>
    </row>
    <row x14ac:dyDescent="0.25" r="123" customHeight="1" ht="18.75">
      <c r="A123" s="2" t="s">
        <v>139</v>
      </c>
      <c r="B123" s="3">
        <v>17</v>
      </c>
      <c r="C123" s="11">
        <f>IFERROR((B123-$H$3)/$I$3,"")</f>
      </c>
      <c r="D123" s="38">
        <f>IF(ABS(C123)&gt;2,"Yes","No")</f>
      </c>
      <c r="E123" s="11">
        <f>IFERROR((B123-$K$3) / ($L$3-$K$3),"")</f>
      </c>
      <c r="F123" s="2"/>
      <c r="G123" s="2"/>
      <c r="H123" s="8"/>
      <c r="I123" s="8"/>
      <c r="J123" s="2"/>
      <c r="K123" s="9"/>
      <c r="L123" s="8"/>
    </row>
    <row x14ac:dyDescent="0.25" r="124" customHeight="1" ht="18.75">
      <c r="A124" s="2" t="s">
        <v>122</v>
      </c>
      <c r="B124" s="3">
        <v>18</v>
      </c>
      <c r="C124" s="11">
        <f>IFERROR((B124-$H$3)/$I$3,"")</f>
      </c>
      <c r="D124" s="38">
        <f>IF(ABS(C124)&gt;2,"Yes","No")</f>
      </c>
      <c r="E124" s="11">
        <f>IFERROR((B124-$K$3) / ($L$3-$K$3),"")</f>
      </c>
      <c r="F124" s="2"/>
      <c r="G124" s="2"/>
      <c r="H124" s="8"/>
      <c r="I124" s="8"/>
      <c r="J124" s="2"/>
      <c r="K124" s="9"/>
      <c r="L124" s="8"/>
    </row>
    <row x14ac:dyDescent="0.25" r="125" customHeight="1" ht="18.75">
      <c r="A125" s="2" t="s">
        <v>133</v>
      </c>
      <c r="B125" s="11">
        <v>19.2</v>
      </c>
      <c r="C125" s="11">
        <f>IFERROR((B125-$H$3)/$I$3,"")</f>
      </c>
      <c r="D125" s="38">
        <f>IF(ABS(C125)&gt;2,"Yes","No")</f>
      </c>
      <c r="E125" s="11">
        <f>IFERROR((B125-$K$3) / ($L$3-$K$3),"")</f>
      </c>
      <c r="F125" s="2"/>
      <c r="G125" s="2"/>
      <c r="H125" s="8"/>
      <c r="I125" s="8"/>
      <c r="J125" s="2"/>
      <c r="K125" s="9"/>
      <c r="L125" s="8"/>
    </row>
    <row x14ac:dyDescent="0.25" r="126" customHeight="1" ht="18.75">
      <c r="A126" s="2" t="s">
        <v>140</v>
      </c>
      <c r="B126" s="11">
        <v>17.9</v>
      </c>
      <c r="C126" s="11">
        <f>IFERROR((B126-$H$3)/$I$3,"")</f>
      </c>
      <c r="D126" s="38">
        <f>IF(ABS(C126)&gt;2,"Yes","No")</f>
      </c>
      <c r="E126" s="11">
        <f>IFERROR((B126-$K$3) / ($L$3-$K$3),"")</f>
      </c>
      <c r="F126" s="2"/>
      <c r="G126" s="2"/>
      <c r="H126" s="8"/>
      <c r="I126" s="8"/>
      <c r="J126" s="2"/>
      <c r="K126" s="9"/>
      <c r="L126" s="8"/>
    </row>
    <row x14ac:dyDescent="0.25" r="127" customHeight="1" ht="18.75">
      <c r="A127" s="2" t="s">
        <v>141</v>
      </c>
      <c r="B127" s="11">
        <v>18.8</v>
      </c>
      <c r="C127" s="11">
        <f>IFERROR((B127-$H$3)/$I$3,"")</f>
      </c>
      <c r="D127" s="38">
        <f>IF(ABS(C127)&gt;2,"Yes","No")</f>
      </c>
      <c r="E127" s="11">
        <f>IFERROR((B127-$K$3) / ($L$3-$K$3),"")</f>
      </c>
      <c r="F127" s="2"/>
      <c r="G127" s="2"/>
      <c r="H127" s="8"/>
      <c r="I127" s="8"/>
      <c r="J127" s="2"/>
      <c r="K127" s="9"/>
      <c r="L127" s="8"/>
    </row>
    <row x14ac:dyDescent="0.25" r="128" customHeight="1" ht="18.75">
      <c r="A128" s="2" t="s">
        <v>142</v>
      </c>
      <c r="B128" s="11">
        <v>17.5</v>
      </c>
      <c r="C128" s="11">
        <f>IFERROR((B128-$H$3)/$I$3,"")</f>
      </c>
      <c r="D128" s="38">
        <f>IF(ABS(C128)&gt;2,"Yes","No")</f>
      </c>
      <c r="E128" s="11">
        <f>IFERROR((B128-$K$3) / ($L$3-$K$3),"")</f>
      </c>
      <c r="F128" s="2"/>
      <c r="G128" s="2"/>
      <c r="H128" s="8"/>
      <c r="I128" s="8"/>
      <c r="J128" s="2"/>
      <c r="K128" s="9"/>
      <c r="L128" s="8"/>
    </row>
    <row x14ac:dyDescent="0.25" r="129" customHeight="1" ht="18.75">
      <c r="A129" s="2" t="s">
        <v>143</v>
      </c>
      <c r="B129" s="11">
        <v>11.4</v>
      </c>
      <c r="C129" s="11">
        <f>IFERROR((B129-$H$3)/$I$3,"")</f>
      </c>
      <c r="D129" s="38">
        <f>IF(ABS(C129)&gt;2,"Yes","No")</f>
      </c>
      <c r="E129" s="11">
        <f>IFERROR((B129-$K$3) / ($L$3-$K$3),"")</f>
      </c>
      <c r="F129" s="2"/>
      <c r="G129" s="2"/>
      <c r="H129" s="8"/>
      <c r="I129" s="8"/>
      <c r="J129" s="2"/>
      <c r="K129" s="9"/>
      <c r="L129" s="8"/>
    </row>
    <row x14ac:dyDescent="0.25" r="130" customHeight="1" ht="18.75">
      <c r="A130" s="2" t="s">
        <v>144</v>
      </c>
      <c r="B130" s="11">
        <v>14.8</v>
      </c>
      <c r="C130" s="11">
        <f>IFERROR((B130-$H$3)/$I$3,"")</f>
      </c>
      <c r="D130" s="38">
        <f>IF(ABS(C130)&gt;2,"Yes","No")</f>
      </c>
      <c r="E130" s="11">
        <f>IFERROR((B130-$K$3) / ($L$3-$K$3),"")</f>
      </c>
      <c r="F130" s="2"/>
      <c r="G130" s="2"/>
      <c r="H130" s="8"/>
      <c r="I130" s="8"/>
      <c r="J130" s="2"/>
      <c r="K130" s="9"/>
      <c r="L130" s="8"/>
    </row>
    <row x14ac:dyDescent="0.25" r="131" customHeight="1" ht="18.75">
      <c r="A131" s="2" t="s">
        <v>145</v>
      </c>
      <c r="B131" s="3">
        <v>16</v>
      </c>
      <c r="C131" s="11">
        <f>IFERROR((B131-$H$3)/$I$3,"")</f>
      </c>
      <c r="D131" s="38">
        <f>IF(ABS(C131)&gt;2,"Yes","No")</f>
      </c>
      <c r="E131" s="11">
        <f>IFERROR((B131-$K$3) / ($L$3-$K$3),"")</f>
      </c>
      <c r="F131" s="2"/>
      <c r="G131" s="2"/>
      <c r="H131" s="8"/>
      <c r="I131" s="8"/>
      <c r="J131" s="2"/>
      <c r="K131" s="9"/>
      <c r="L131" s="8"/>
    </row>
    <row x14ac:dyDescent="0.25" r="132" customHeight="1" ht="18.75">
      <c r="A132" s="2" t="s">
        <v>146</v>
      </c>
      <c r="B132" s="11">
        <v>16.1</v>
      </c>
      <c r="C132" s="11">
        <f>IFERROR((B132-$H$3)/$I$3,"")</f>
      </c>
      <c r="D132" s="38">
        <f>IF(ABS(C132)&gt;2,"Yes","No")</f>
      </c>
      <c r="E132" s="11">
        <f>IFERROR((B132-$K$3) / ($L$3-$K$3),"")</f>
      </c>
      <c r="F132" s="2"/>
      <c r="G132" s="2"/>
      <c r="H132" s="8"/>
      <c r="I132" s="8"/>
      <c r="J132" s="2"/>
      <c r="K132" s="9"/>
      <c r="L132" s="8"/>
    </row>
    <row x14ac:dyDescent="0.25" r="133" customHeight="1" ht="18.75">
      <c r="A133" s="2" t="s">
        <v>147</v>
      </c>
      <c r="B133" s="11">
        <v>14.4</v>
      </c>
      <c r="C133" s="11">
        <f>IFERROR((B133-$H$3)/$I$3,"")</f>
      </c>
      <c r="D133" s="38">
        <f>IF(ABS(C133)&gt;2,"Yes","No")</f>
      </c>
      <c r="E133" s="11">
        <f>IFERROR((B133-$K$3) / ($L$3-$K$3),"")</f>
      </c>
      <c r="F133" s="2"/>
      <c r="G133" s="2"/>
      <c r="H133" s="8"/>
      <c r="I133" s="8"/>
      <c r="J133" s="2"/>
      <c r="K133" s="9"/>
      <c r="L133" s="8"/>
    </row>
    <row x14ac:dyDescent="0.25" r="134" customHeight="1" ht="18.75">
      <c r="A134" s="2" t="s">
        <v>148</v>
      </c>
      <c r="B134" s="11">
        <v>16.9</v>
      </c>
      <c r="C134" s="11">
        <f>IFERROR((B134-$H$3)/$I$3,"")</f>
      </c>
      <c r="D134" s="38">
        <f>IF(ABS(C134)&gt;2,"Yes","No")</f>
      </c>
      <c r="E134" s="11">
        <f>IFERROR((B134-$K$3) / ($L$3-$K$3),"")</f>
      </c>
      <c r="F134" s="2"/>
      <c r="G134" s="2"/>
      <c r="H134" s="8"/>
      <c r="I134" s="8"/>
      <c r="J134" s="2"/>
      <c r="K134" s="9"/>
      <c r="L134" s="8"/>
    </row>
    <row x14ac:dyDescent="0.25" r="135" customHeight="1" ht="18.75">
      <c r="A135" s="2" t="s">
        <v>149</v>
      </c>
      <c r="B135" s="11">
        <v>19.4</v>
      </c>
      <c r="C135" s="11">
        <f>IFERROR((B135-$H$3)/$I$3,"")</f>
      </c>
      <c r="D135" s="38">
        <f>IF(ABS(C135)&gt;2,"Yes","No")</f>
      </c>
      <c r="E135" s="11">
        <f>IFERROR((B135-$K$3) / ($L$3-$K$3),"")</f>
      </c>
      <c r="F135" s="2"/>
      <c r="G135" s="2"/>
      <c r="H135" s="8"/>
      <c r="I135" s="8"/>
      <c r="J135" s="2"/>
      <c r="K135" s="9"/>
      <c r="L135" s="8"/>
    </row>
    <row x14ac:dyDescent="0.25" r="136" customHeight="1" ht="18.75">
      <c r="A136" s="2" t="s">
        <v>114</v>
      </c>
      <c r="B136" s="11">
        <v>17.8</v>
      </c>
      <c r="C136" s="11">
        <f>IFERROR((B136-$H$3)/$I$3,"")</f>
      </c>
      <c r="D136" s="38">
        <f>IF(ABS(C136)&gt;2,"Yes","No")</f>
      </c>
      <c r="E136" s="11">
        <f>IFERROR((B136-$K$3) / ($L$3-$K$3),"")</f>
      </c>
      <c r="F136" s="2"/>
      <c r="G136" s="2"/>
      <c r="H136" s="8"/>
      <c r="I136" s="8"/>
      <c r="J136" s="2"/>
      <c r="K136" s="9"/>
      <c r="L136" s="8"/>
    </row>
    <row x14ac:dyDescent="0.25" r="137" customHeight="1" ht="18.75">
      <c r="A137" s="2" t="s">
        <v>117</v>
      </c>
      <c r="B137" s="11">
        <v>16.8</v>
      </c>
      <c r="C137" s="11">
        <f>IFERROR((B137-$H$3)/$I$3,"")</f>
      </c>
      <c r="D137" s="38">
        <f>IF(ABS(C137)&gt;2,"Yes","No")</f>
      </c>
      <c r="E137" s="11">
        <f>IFERROR((B137-$K$3) / ($L$3-$K$3),"")</f>
      </c>
      <c r="F137" s="2"/>
      <c r="G137" s="2"/>
      <c r="H137" s="8"/>
      <c r="I137" s="8"/>
      <c r="J137" s="2"/>
      <c r="K137" s="9"/>
      <c r="L137" s="8"/>
    </row>
    <row x14ac:dyDescent="0.25" r="138" customHeight="1" ht="18.75">
      <c r="A138" s="2" t="s">
        <v>150</v>
      </c>
      <c r="B138" s="11">
        <v>17.3</v>
      </c>
      <c r="C138" s="11">
        <f>IFERROR((B138-$H$3)/$I$3,"")</f>
      </c>
      <c r="D138" s="38">
        <f>IF(ABS(C138)&gt;2,"Yes","No")</f>
      </c>
      <c r="E138" s="11">
        <f>IFERROR((B138-$K$3) / ($L$3-$K$3),"")</f>
      </c>
      <c r="F138" s="2"/>
      <c r="G138" s="2"/>
      <c r="H138" s="8"/>
      <c r="I138" s="8"/>
      <c r="J138" s="2"/>
      <c r="K138" s="9"/>
      <c r="L138" s="8"/>
    </row>
    <row x14ac:dyDescent="0.25" r="139" customHeight="1" ht="18.75">
      <c r="A139" s="2" t="s">
        <v>142</v>
      </c>
      <c r="B139" s="11">
        <v>18.3</v>
      </c>
      <c r="C139" s="11">
        <f>IFERROR((B139-$H$3)/$I$3,"")</f>
      </c>
      <c r="D139" s="38">
        <f>IF(ABS(C139)&gt;2,"Yes","No")</f>
      </c>
      <c r="E139" s="11">
        <f>IFERROR((B139-$K$3) / ($L$3-$K$3),"")</f>
      </c>
      <c r="F139" s="2"/>
      <c r="G139" s="2"/>
      <c r="H139" s="8"/>
      <c r="I139" s="8"/>
      <c r="J139" s="2"/>
      <c r="K139" s="9"/>
      <c r="L139" s="8"/>
    </row>
    <row x14ac:dyDescent="0.25" r="140" customHeight="1" ht="18.75">
      <c r="A140" s="2" t="s">
        <v>151</v>
      </c>
      <c r="B140" s="11">
        <v>13.8</v>
      </c>
      <c r="C140" s="11">
        <f>IFERROR((B140-$H$3)/$I$3,"")</f>
      </c>
      <c r="D140" s="38">
        <f>IF(ABS(C140)&gt;2,"Yes","No")</f>
      </c>
      <c r="E140" s="11">
        <f>IFERROR((B140-$K$3) / ($L$3-$K$3),"")</f>
      </c>
      <c r="F140" s="2"/>
      <c r="G140" s="2"/>
      <c r="H140" s="8"/>
      <c r="I140" s="8"/>
      <c r="J140" s="2"/>
      <c r="K140" s="9"/>
      <c r="L140" s="8"/>
    </row>
    <row x14ac:dyDescent="0.25" r="141" customHeight="1" ht="18.75">
      <c r="A141" s="2" t="s">
        <v>152</v>
      </c>
      <c r="B141" s="11">
        <v>12.6</v>
      </c>
      <c r="C141" s="11">
        <f>IFERROR((B141-$H$3)/$I$3,"")</f>
      </c>
      <c r="D141" s="38">
        <f>IF(ABS(C141)&gt;2,"Yes","No")</f>
      </c>
      <c r="E141" s="11">
        <f>IFERROR((B141-$K$3) / ($L$3-$K$3),"")</f>
      </c>
      <c r="F141" s="2"/>
      <c r="G141" s="2"/>
      <c r="H141" s="8"/>
      <c r="I141" s="8"/>
      <c r="J141" s="2"/>
      <c r="K141" s="9"/>
      <c r="L141" s="8"/>
    </row>
    <row x14ac:dyDescent="0.25" r="142" customHeight="1" ht="18.75">
      <c r="A142" s="2" t="s">
        <v>153</v>
      </c>
      <c r="B142" s="11">
        <v>14.5</v>
      </c>
      <c r="C142" s="11">
        <f>IFERROR((B142-$H$3)/$I$3,"")</f>
      </c>
      <c r="D142" s="38">
        <f>IF(ABS(C142)&gt;2,"Yes","No")</f>
      </c>
      <c r="E142" s="11">
        <f>IFERROR((B142-$K$3) / ($L$3-$K$3),"")</f>
      </c>
      <c r="F142" s="2"/>
      <c r="G142" s="2"/>
      <c r="H142" s="8"/>
      <c r="I142" s="8"/>
      <c r="J142" s="2"/>
      <c r="K142" s="9"/>
      <c r="L142" s="8"/>
    </row>
    <row x14ac:dyDescent="0.25" r="143" customHeight="1" ht="18.75">
      <c r="A143" s="2" t="s">
        <v>154</v>
      </c>
      <c r="B143" s="11">
        <v>13.9</v>
      </c>
      <c r="C143" s="11">
        <f>IFERROR((B143-$H$3)/$I$3,"")</f>
      </c>
      <c r="D143" s="38">
        <f>IF(ABS(C143)&gt;2,"Yes","No")</f>
      </c>
      <c r="E143" s="11">
        <f>IFERROR((B143-$K$3) / ($L$3-$K$3),"")</f>
      </c>
      <c r="F143" s="2"/>
      <c r="G143" s="2"/>
      <c r="H143" s="8"/>
      <c r="I143" s="8"/>
      <c r="J143" s="2"/>
      <c r="K143" s="9"/>
      <c r="L143" s="8"/>
    </row>
    <row x14ac:dyDescent="0.25" r="144" customHeight="1" ht="18.75">
      <c r="A144" s="2" t="s">
        <v>155</v>
      </c>
      <c r="B144" s="11">
        <v>17.6</v>
      </c>
      <c r="C144" s="11">
        <f>IFERROR((B144-$H$3)/$I$3,"")</f>
      </c>
      <c r="D144" s="38">
        <f>IF(ABS(C144)&gt;2,"Yes","No")</f>
      </c>
      <c r="E144" s="11">
        <f>IFERROR((B144-$K$3) / ($L$3-$K$3),"")</f>
      </c>
      <c r="F144" s="2"/>
      <c r="G144" s="2"/>
      <c r="H144" s="8"/>
      <c r="I144" s="8"/>
      <c r="J144" s="2"/>
      <c r="K144" s="9"/>
      <c r="L144" s="8"/>
    </row>
    <row x14ac:dyDescent="0.25" r="145" customHeight="1" ht="18.75">
      <c r="A145" s="2" t="s">
        <v>113</v>
      </c>
      <c r="B145" s="3">
        <v>15</v>
      </c>
      <c r="C145" s="11">
        <f>IFERROR((B145-$H$3)/$I$3,"")</f>
      </c>
      <c r="D145" s="38">
        <f>IF(ABS(C145)&gt;2,"Yes","No")</f>
      </c>
      <c r="E145" s="11">
        <f>IFERROR((B145-$K$3) / ($L$3-$K$3),"")</f>
      </c>
      <c r="F145" s="2"/>
      <c r="G145" s="2"/>
      <c r="H145" s="8"/>
      <c r="I145" s="8"/>
      <c r="J145" s="2"/>
      <c r="K145" s="9"/>
      <c r="L145" s="8"/>
    </row>
    <row x14ac:dyDescent="0.25" r="146" customHeight="1" ht="18.75">
      <c r="A146" s="2" t="s">
        <v>156</v>
      </c>
      <c r="B146" s="11">
        <v>15.7</v>
      </c>
      <c r="C146" s="11">
        <f>IFERROR((B146-$H$3)/$I$3,"")</f>
      </c>
      <c r="D146" s="38">
        <f>IF(ABS(C146)&gt;2,"Yes","No")</f>
      </c>
      <c r="E146" s="11">
        <f>IFERROR((B146-$K$3) / ($L$3-$K$3),"")</f>
      </c>
      <c r="F146" s="2"/>
      <c r="G146" s="2"/>
      <c r="H146" s="8"/>
      <c r="I146" s="8"/>
      <c r="J146" s="2"/>
      <c r="K146" s="9"/>
      <c r="L146" s="8"/>
    </row>
    <row x14ac:dyDescent="0.25" r="147" customHeight="1" ht="18.75">
      <c r="A147" s="2" t="s">
        <v>139</v>
      </c>
      <c r="B147" s="11">
        <v>14.5</v>
      </c>
      <c r="C147" s="11">
        <f>IFERROR((B147-$H$3)/$I$3,"")</f>
      </c>
      <c r="D147" s="38">
        <f>IF(ABS(C147)&gt;2,"Yes","No")</f>
      </c>
      <c r="E147" s="11">
        <f>IFERROR((B147-$K$3) / ($L$3-$K$3),"")</f>
      </c>
      <c r="F147" s="2"/>
      <c r="G147" s="2"/>
      <c r="H147" s="8"/>
      <c r="I147" s="8"/>
      <c r="J147" s="2"/>
      <c r="K147" s="9"/>
      <c r="L147" s="8"/>
    </row>
    <row x14ac:dyDescent="0.25" r="148" customHeight="1" ht="18.75">
      <c r="A148" s="2" t="s">
        <v>157</v>
      </c>
      <c r="B148" s="11">
        <v>16.2</v>
      </c>
      <c r="C148" s="11">
        <f>IFERROR((B148-$H$3)/$I$3,"")</f>
      </c>
      <c r="D148" s="38">
        <f>IF(ABS(C148)&gt;2,"Yes","No")</f>
      </c>
      <c r="E148" s="11">
        <f>IFERROR((B148-$K$3) / ($L$3-$K$3),"")</f>
      </c>
      <c r="F148" s="2"/>
      <c r="G148" s="2"/>
      <c r="H148" s="8"/>
      <c r="I148" s="8"/>
      <c r="J148" s="2"/>
      <c r="K148" s="9"/>
      <c r="L148" s="8"/>
    </row>
    <row x14ac:dyDescent="0.25" r="149" customHeight="1" ht="18.75">
      <c r="A149" s="2" t="s">
        <v>158</v>
      </c>
      <c r="B149" s="11">
        <v>18.2</v>
      </c>
      <c r="C149" s="11">
        <f>IFERROR((B149-$H$3)/$I$3,"")</f>
      </c>
      <c r="D149" s="38">
        <f>IF(ABS(C149)&gt;2,"Yes","No")</f>
      </c>
      <c r="E149" s="11">
        <f>IFERROR((B149-$K$3) / ($L$3-$K$3),"")</f>
      </c>
      <c r="F149" s="2"/>
      <c r="G149" s="2"/>
      <c r="H149" s="8"/>
      <c r="I149" s="8"/>
      <c r="J149" s="2"/>
      <c r="K149" s="9"/>
      <c r="L149" s="8"/>
    </row>
    <row x14ac:dyDescent="0.25" r="150" customHeight="1" ht="18.75">
      <c r="A150" s="2" t="s">
        <v>117</v>
      </c>
      <c r="B150" s="11">
        <v>16.9</v>
      </c>
      <c r="C150" s="11">
        <f>IFERROR((B150-$H$3)/$I$3,"")</f>
      </c>
      <c r="D150" s="38">
        <f>IF(ABS(C150)&gt;2,"Yes","No")</f>
      </c>
      <c r="E150" s="11">
        <f>IFERROR((B150-$K$3) / ($L$3-$K$3),"")</f>
      </c>
      <c r="F150" s="2"/>
      <c r="G150" s="2"/>
      <c r="H150" s="8"/>
      <c r="I150" s="8"/>
      <c r="J150" s="2"/>
      <c r="K150" s="9"/>
      <c r="L150" s="8"/>
    </row>
    <row x14ac:dyDescent="0.25" r="151" customHeight="1" ht="18.75">
      <c r="A151" s="2" t="s">
        <v>159</v>
      </c>
      <c r="B151" s="11">
        <v>15.5</v>
      </c>
      <c r="C151" s="11">
        <f>IFERROR((B151-$H$3)/$I$3,"")</f>
      </c>
      <c r="D151" s="38">
        <f>IF(ABS(C151)&gt;2,"Yes","No")</f>
      </c>
      <c r="E151" s="11">
        <f>IFERROR((B151-$K$3) / ($L$3-$K$3),"")</f>
      </c>
      <c r="F151" s="2"/>
      <c r="G151" s="2"/>
      <c r="H151" s="8"/>
      <c r="I151" s="8"/>
      <c r="J151" s="2"/>
      <c r="K151" s="9"/>
      <c r="L151" s="8"/>
    </row>
    <row x14ac:dyDescent="0.25" r="152" customHeight="1" ht="18.75">
      <c r="A152" s="2" t="s">
        <v>160</v>
      </c>
      <c r="B152" s="3">
        <v>15</v>
      </c>
      <c r="C152" s="11">
        <f>IFERROR((B152-$H$3)/$I$3,"")</f>
      </c>
      <c r="D152" s="38">
        <f>IF(ABS(C152)&gt;2,"Yes","No")</f>
      </c>
      <c r="E152" s="11">
        <f>IFERROR((B152-$K$3) / ($L$3-$K$3),"")</f>
      </c>
      <c r="F152" s="2"/>
      <c r="G152" s="2"/>
      <c r="H152" s="8"/>
      <c r="I152" s="8"/>
      <c r="J152" s="2"/>
      <c r="K152" s="9"/>
      <c r="L152" s="8"/>
    </row>
    <row x14ac:dyDescent="0.25" r="153" customHeight="1" ht="18.75">
      <c r="A153" s="2" t="s">
        <v>161</v>
      </c>
      <c r="B153" s="11">
        <v>15.5</v>
      </c>
      <c r="C153" s="11">
        <f>IFERROR((B153-$H$3)/$I$3,"")</f>
      </c>
      <c r="D153" s="38">
        <f>IF(ABS(C153)&gt;2,"Yes","No")</f>
      </c>
      <c r="E153" s="11">
        <f>IFERROR((B153-$K$3) / ($L$3-$K$3),"")</f>
      </c>
      <c r="F153" s="2"/>
      <c r="G153" s="2"/>
      <c r="H153" s="8"/>
      <c r="I153" s="8"/>
      <c r="J153" s="2"/>
      <c r="K153" s="9"/>
      <c r="L153" s="8"/>
    </row>
    <row x14ac:dyDescent="0.25" r="154" customHeight="1" ht="18.75">
      <c r="A154" s="2" t="s">
        <v>162</v>
      </c>
      <c r="B154" s="3">
        <v>16</v>
      </c>
      <c r="C154" s="11">
        <f>IFERROR((B154-$H$3)/$I$3,"")</f>
      </c>
      <c r="D154" s="38">
        <f>IF(ABS(C154)&gt;2,"Yes","No")</f>
      </c>
      <c r="E154" s="11">
        <f>IFERROR((B154-$K$3) / ($L$3-$K$3),"")</f>
      </c>
      <c r="F154" s="2"/>
      <c r="G154" s="2"/>
      <c r="H154" s="8"/>
      <c r="I154" s="8"/>
      <c r="J154" s="2"/>
      <c r="K154" s="9"/>
      <c r="L154" s="8"/>
    </row>
    <row x14ac:dyDescent="0.25" r="155" customHeight="1" ht="18.75">
      <c r="A155" s="2" t="s">
        <v>163</v>
      </c>
      <c r="B155" s="3">
        <v>10</v>
      </c>
      <c r="C155" s="11">
        <f>IFERROR((B155-$H$3)/$I$3,"")</f>
      </c>
      <c r="D155" s="38">
        <f>IF(ABS(C155)&gt;2,"Yes","No")</f>
      </c>
      <c r="E155" s="11">
        <f>IFERROR((B155-$K$3) / ($L$3-$K$3),"")</f>
      </c>
      <c r="F155" s="2"/>
      <c r="G155" s="2"/>
      <c r="H155" s="8"/>
      <c r="I155" s="8"/>
      <c r="J155" s="2"/>
      <c r="K155" s="9"/>
      <c r="L155" s="8"/>
    </row>
    <row x14ac:dyDescent="0.25" r="156" customHeight="1" ht="18.75">
      <c r="A156" s="2" t="s">
        <v>164</v>
      </c>
      <c r="B156" s="3">
        <v>10</v>
      </c>
      <c r="C156" s="11">
        <f>IFERROR((B156-$H$3)/$I$3,"")</f>
      </c>
      <c r="D156" s="38">
        <f>IF(ABS(C156)&gt;2,"Yes","No")</f>
      </c>
      <c r="E156" s="11">
        <f>IFERROR((B156-$K$3) / ($L$3-$K$3),"")</f>
      </c>
      <c r="F156" s="2"/>
      <c r="G156" s="2"/>
      <c r="H156" s="8"/>
      <c r="I156" s="8"/>
      <c r="J156" s="2"/>
      <c r="K156" s="9"/>
      <c r="L156" s="8"/>
    </row>
    <row x14ac:dyDescent="0.25" r="157" customHeight="1" ht="18.75">
      <c r="A157" s="2" t="s">
        <v>165</v>
      </c>
      <c r="B157" s="3">
        <v>9</v>
      </c>
      <c r="C157" s="11">
        <f>IFERROR((B157-$H$3)/$I$3,"")</f>
      </c>
      <c r="D157" s="38">
        <f>IF(ABS(C157)&gt;2,"Yes","No")</f>
      </c>
      <c r="E157" s="11">
        <f>IFERROR((B157-$K$3) / ($L$3-$K$3),"")</f>
      </c>
      <c r="F157" s="2"/>
      <c r="G157" s="2"/>
      <c r="H157" s="8"/>
      <c r="I157" s="8"/>
      <c r="J157" s="2"/>
      <c r="K157" s="9"/>
      <c r="L157" s="8"/>
    </row>
    <row x14ac:dyDescent="0.25" r="158" customHeight="1" ht="18.75">
      <c r="A158" s="2" t="s">
        <v>166</v>
      </c>
      <c r="B158" s="11">
        <v>8.5</v>
      </c>
      <c r="C158" s="11">
        <f>IFERROR((B158-$H$3)/$I$3,"")</f>
      </c>
      <c r="D158" s="38">
        <f>IF(ABS(C158)&gt;2,"Yes","No")</f>
      </c>
      <c r="E158" s="11">
        <f>IFERROR((B158-$K$3) / ($L$3-$K$3),"")</f>
      </c>
      <c r="F158" s="2"/>
      <c r="G158" s="2"/>
      <c r="H158" s="8"/>
      <c r="I158" s="8"/>
      <c r="J158" s="2"/>
      <c r="K158" s="9"/>
      <c r="L158" s="8"/>
    </row>
    <row x14ac:dyDescent="0.25" r="159" customHeight="1" ht="18.75">
      <c r="A159" s="2" t="s">
        <v>167</v>
      </c>
      <c r="B159" s="11">
        <v>8.5</v>
      </c>
      <c r="C159" s="11">
        <f>IFERROR((B159-$H$3)/$I$3,"")</f>
      </c>
      <c r="D159" s="38">
        <f>IF(ABS(C159)&gt;2,"Yes","No")</f>
      </c>
      <c r="E159" s="11">
        <f>IFERROR((B159-$K$3) / ($L$3-$K$3),"")</f>
      </c>
      <c r="F159" s="2"/>
      <c r="G159" s="2"/>
      <c r="H159" s="8"/>
      <c r="I159" s="8"/>
      <c r="J159" s="2"/>
      <c r="K159" s="9"/>
      <c r="L159" s="8"/>
    </row>
    <row x14ac:dyDescent="0.25" r="160" customHeight="1" ht="18.75">
      <c r="A160" s="2" t="s">
        <v>168</v>
      </c>
      <c r="B160" s="11">
        <v>13.5</v>
      </c>
      <c r="C160" s="11">
        <f>IFERROR((B160-$H$3)/$I$3,"")</f>
      </c>
      <c r="D160" s="38">
        <f>IF(ABS(C160)&gt;2,"Yes","No")</f>
      </c>
      <c r="E160" s="11">
        <f>IFERROR((B160-$K$3) / ($L$3-$K$3),"")</f>
      </c>
      <c r="F160" s="2"/>
      <c r="G160" s="2"/>
      <c r="H160" s="8"/>
      <c r="I160" s="8"/>
      <c r="J160" s="2"/>
      <c r="K160" s="9"/>
      <c r="L160" s="8"/>
    </row>
    <row x14ac:dyDescent="0.25" r="161" customHeight="1" ht="18.75">
      <c r="A161" s="2" t="s">
        <v>169</v>
      </c>
      <c r="B161" s="3">
        <v>10</v>
      </c>
      <c r="C161" s="11">
        <f>IFERROR((B161-$H$3)/$I$3,"")</f>
      </c>
      <c r="D161" s="38">
        <f>IF(ABS(C161)&gt;2,"Yes","No")</f>
      </c>
      <c r="E161" s="11">
        <f>IFERROR((B161-$K$3) / ($L$3-$K$3),"")</f>
      </c>
      <c r="F161" s="2"/>
      <c r="G161" s="2"/>
      <c r="H161" s="8"/>
      <c r="I161" s="8"/>
      <c r="J161" s="2"/>
      <c r="K161" s="9"/>
      <c r="L161" s="8"/>
    </row>
    <row x14ac:dyDescent="0.25" r="162" customHeight="1" ht="18.75">
      <c r="A162" s="2" t="s">
        <v>170</v>
      </c>
      <c r="B162" s="3">
        <v>14</v>
      </c>
      <c r="C162" s="11">
        <f>IFERROR((B162-$H$3)/$I$3,"")</f>
      </c>
      <c r="D162" s="38">
        <f>IF(ABS(C162)&gt;2,"Yes","No")</f>
      </c>
      <c r="E162" s="11">
        <f>IFERROR((B162-$K$3) / ($L$3-$K$3),"")</f>
      </c>
      <c r="F162" s="2"/>
      <c r="G162" s="2"/>
      <c r="H162" s="8"/>
      <c r="I162" s="8"/>
      <c r="J162" s="2"/>
      <c r="K162" s="9"/>
      <c r="L162" s="8"/>
    </row>
    <row x14ac:dyDescent="0.25" r="163" customHeight="1" ht="18.75">
      <c r="A163" s="2" t="s">
        <v>171</v>
      </c>
      <c r="B163" s="3">
        <v>15</v>
      </c>
      <c r="C163" s="11">
        <f>IFERROR((B163-$H$3)/$I$3,"")</f>
      </c>
      <c r="D163" s="38">
        <f>IF(ABS(C163)&gt;2,"Yes","No")</f>
      </c>
      <c r="E163" s="11">
        <f>IFERROR((B163-$K$3) / ($L$3-$K$3),"")</f>
      </c>
      <c r="F163" s="2"/>
      <c r="G163" s="2"/>
      <c r="H163" s="8"/>
      <c r="I163" s="8"/>
      <c r="J163" s="2"/>
      <c r="K163" s="9"/>
      <c r="L163" s="8"/>
    </row>
    <row x14ac:dyDescent="0.25" r="164" customHeight="1" ht="18.75">
      <c r="A164" s="2" t="s">
        <v>172</v>
      </c>
      <c r="B164" s="3">
        <v>10</v>
      </c>
      <c r="C164" s="11">
        <f>IFERROR((B164-$H$3)/$I$3,"")</f>
      </c>
      <c r="D164" s="38">
        <f>IF(ABS(C164)&gt;2,"Yes","No")</f>
      </c>
      <c r="E164" s="11">
        <f>IFERROR((B164-$K$3) / ($L$3-$K$3),"")</f>
      </c>
      <c r="F164" s="2"/>
      <c r="G164" s="2"/>
      <c r="H164" s="8"/>
      <c r="I164" s="8"/>
      <c r="J164" s="2"/>
      <c r="K164" s="9"/>
      <c r="L164" s="8"/>
    </row>
    <row x14ac:dyDescent="0.25" r="165" customHeight="1" ht="18.75">
      <c r="A165" s="2" t="s">
        <v>173</v>
      </c>
      <c r="B165" s="11">
        <v>11.5</v>
      </c>
      <c r="C165" s="11">
        <f>IFERROR((B165-$H$3)/$I$3,"")</f>
      </c>
      <c r="D165" s="38">
        <f>IF(ABS(C165)&gt;2,"Yes","No")</f>
      </c>
      <c r="E165" s="11">
        <f>IFERROR((B165-$K$3) / ($L$3-$K$3),"")</f>
      </c>
      <c r="F165" s="2"/>
      <c r="G165" s="2"/>
      <c r="H165" s="8"/>
      <c r="I165" s="8"/>
      <c r="J165" s="2"/>
      <c r="K165" s="9"/>
      <c r="L165" s="8"/>
    </row>
    <row x14ac:dyDescent="0.25" r="166" customHeight="1" ht="18.75">
      <c r="A166" s="2" t="s">
        <v>174</v>
      </c>
      <c r="B166" s="3">
        <v>8</v>
      </c>
      <c r="C166" s="11">
        <f>IFERROR((B166-$H$3)/$I$3,"")</f>
      </c>
      <c r="D166" s="38">
        <f>IF(ABS(C166)&gt;2,"Yes","No")</f>
      </c>
      <c r="E166" s="3">
        <f>IFERROR((B166-$K$3) / ($L$3-$K$3),"")</f>
      </c>
      <c r="F166" s="2"/>
      <c r="G166" s="2"/>
      <c r="H166" s="8"/>
      <c r="I166" s="8"/>
      <c r="J166" s="2"/>
      <c r="K166" s="9"/>
      <c r="L166" s="8"/>
    </row>
    <row x14ac:dyDescent="0.25" r="167" customHeight="1" ht="18.75">
      <c r="A167" s="2" t="s">
        <v>175</v>
      </c>
      <c r="B167" s="3">
        <v>12</v>
      </c>
      <c r="C167" s="11">
        <f>IFERROR((B167-$H$3)/$I$3,"")</f>
      </c>
      <c r="D167" s="38">
        <f>IF(ABS(C167)&gt;2,"Yes","No")</f>
      </c>
      <c r="E167" s="11">
        <f>IFERROR((B167-$K$3) / ($L$3-$K$3),"")</f>
      </c>
      <c r="F167" s="2"/>
      <c r="G167" s="2"/>
      <c r="H167" s="8"/>
      <c r="I167" s="8"/>
      <c r="J167" s="2"/>
      <c r="K167" s="9"/>
      <c r="L167" s="8"/>
    </row>
    <row x14ac:dyDescent="0.25" r="168" customHeight="1" ht="18.75">
      <c r="A168" s="2" t="s">
        <v>176</v>
      </c>
      <c r="B168" s="3">
        <v>11</v>
      </c>
      <c r="C168" s="11">
        <f>IFERROR((B168-$H$3)/$I$3,"")</f>
      </c>
      <c r="D168" s="38">
        <f>IF(ABS(C168)&gt;2,"Yes","No")</f>
      </c>
      <c r="E168" s="11">
        <f>IFERROR((B168-$K$3) / ($L$3-$K$3),"")</f>
      </c>
      <c r="F168" s="2"/>
      <c r="G168" s="2"/>
      <c r="H168" s="8"/>
      <c r="I168" s="8"/>
      <c r="J168" s="2"/>
      <c r="K168" s="9"/>
      <c r="L168" s="8"/>
    </row>
    <row x14ac:dyDescent="0.25" r="169" customHeight="1" ht="18.75">
      <c r="A169" s="2" t="s">
        <v>177</v>
      </c>
      <c r="B169" s="11">
        <v>18.5</v>
      </c>
      <c r="C169" s="11">
        <f>IFERROR((B169-$H$3)/$I$3,"")</f>
      </c>
      <c r="D169" s="38">
        <f>IF(ABS(C169)&gt;2,"Yes","No")</f>
      </c>
      <c r="E169" s="11">
        <f>IFERROR((B169-$K$3) / ($L$3-$K$3),"")</f>
      </c>
      <c r="F169" s="2"/>
      <c r="G169" s="2"/>
      <c r="H169" s="8"/>
      <c r="I169" s="8"/>
      <c r="J169" s="2"/>
      <c r="K169" s="9"/>
      <c r="L169" s="8"/>
    </row>
    <row x14ac:dyDescent="0.25" r="170" customHeight="1" ht="18.75">
      <c r="A170" s="2" t="s">
        <v>178</v>
      </c>
      <c r="B170" s="11">
        <v>10.5</v>
      </c>
      <c r="C170" s="11">
        <f>IFERROR((B170-$H$3)/$I$3,"")</f>
      </c>
      <c r="D170" s="38">
        <f>IF(ABS(C170)&gt;2,"Yes","No")</f>
      </c>
      <c r="E170" s="11">
        <f>IFERROR((B170-$K$3) / ($L$3-$K$3),"")</f>
      </c>
      <c r="F170" s="2"/>
      <c r="G170" s="2"/>
      <c r="H170" s="8"/>
      <c r="I170" s="8"/>
      <c r="J170" s="2"/>
      <c r="K170" s="9"/>
      <c r="L170" s="8"/>
    </row>
    <row x14ac:dyDescent="0.25" r="171" customHeight="1" ht="18.75">
      <c r="A171" s="2" t="s">
        <v>179</v>
      </c>
      <c r="B171" s="11">
        <v>9.5</v>
      </c>
      <c r="C171" s="11">
        <f>IFERROR((B171-$H$3)/$I$3,"")</f>
      </c>
      <c r="D171" s="38">
        <f>IF(ABS(C171)&gt;2,"Yes","No")</f>
      </c>
      <c r="E171" s="11">
        <f>IFERROR((B171-$K$3) / ($L$3-$K$3),"")</f>
      </c>
      <c r="F171" s="2"/>
      <c r="G171" s="2"/>
      <c r="H171" s="8"/>
      <c r="I171" s="8"/>
      <c r="J171" s="2"/>
      <c r="K171" s="9"/>
      <c r="L171" s="8"/>
    </row>
    <row x14ac:dyDescent="0.25" r="172" customHeight="1" ht="18.75">
      <c r="A172" s="2" t="s">
        <v>180</v>
      </c>
      <c r="B172" s="3">
        <v>12</v>
      </c>
      <c r="C172" s="11">
        <f>IFERROR((B172-$H$3)/$I$3,"")</f>
      </c>
      <c r="D172" s="38">
        <f>IF(ABS(C172)&gt;2,"Yes","No")</f>
      </c>
      <c r="E172" s="11">
        <f>IFERROR((B172-$K$3) / ($L$3-$K$3),"")</f>
      </c>
      <c r="F172" s="2"/>
      <c r="G172" s="2"/>
      <c r="H172" s="8"/>
      <c r="I172" s="8"/>
      <c r="J172" s="2"/>
      <c r="K172" s="9"/>
      <c r="L172" s="8"/>
    </row>
    <row x14ac:dyDescent="0.25" r="173" customHeight="1" ht="18.75">
      <c r="A173" s="2" t="s">
        <v>181</v>
      </c>
      <c r="B173" s="11">
        <v>15.5</v>
      </c>
      <c r="C173" s="11">
        <f>IFERROR((B173-$H$3)/$I$3,"")</f>
      </c>
      <c r="D173" s="38">
        <f>IF(ABS(C173)&gt;2,"Yes","No")</f>
      </c>
      <c r="E173" s="11">
        <f>IFERROR((B173-$K$3) / ($L$3-$K$3),"")</f>
      </c>
      <c r="F173" s="2"/>
      <c r="G173" s="2"/>
      <c r="H173" s="8"/>
      <c r="I173" s="8"/>
      <c r="J173" s="2"/>
      <c r="K173" s="9"/>
      <c r="L173" s="8"/>
    </row>
    <row x14ac:dyDescent="0.25" r="174" customHeight="1" ht="18.75">
      <c r="A174" s="2" t="s">
        <v>182</v>
      </c>
      <c r="B174" s="3">
        <v>14</v>
      </c>
      <c r="C174" s="11">
        <f>IFERROR((B174-$H$3)/$I$3,"")</f>
      </c>
      <c r="D174" s="38">
        <f>IF(ABS(C174)&gt;2,"Yes","No")</f>
      </c>
      <c r="E174" s="11">
        <f>IFERROR((B174-$K$3) / ($L$3-$K$3),"")</f>
      </c>
      <c r="F174" s="2"/>
      <c r="G174" s="2"/>
      <c r="H174" s="8"/>
      <c r="I174" s="8"/>
      <c r="J174" s="2"/>
      <c r="K174" s="9"/>
      <c r="L174" s="8"/>
    </row>
    <row x14ac:dyDescent="0.25" r="175" customHeight="1" ht="18.75">
      <c r="A175" s="2" t="s">
        <v>183</v>
      </c>
      <c r="B175" s="11">
        <v>20.5</v>
      </c>
      <c r="C175" s="11">
        <f>IFERROR((B175-$H$3)/$I$3,"")</f>
      </c>
      <c r="D175" s="38">
        <f>IF(ABS(C175)&gt;2,"Yes","No")</f>
      </c>
      <c r="E175" s="11">
        <f>IFERROR((B175-$K$3) / ($L$3-$K$3),"")</f>
      </c>
      <c r="F175" s="2"/>
      <c r="G175" s="2"/>
      <c r="H175" s="8"/>
      <c r="I175" s="8"/>
      <c r="J175" s="2"/>
      <c r="K175" s="9"/>
      <c r="L175" s="8"/>
    </row>
    <row x14ac:dyDescent="0.25" r="176" customHeight="1" ht="18.75">
      <c r="A176" s="2" t="s">
        <v>184</v>
      </c>
      <c r="B176" s="3">
        <v>19</v>
      </c>
      <c r="C176" s="11">
        <f>IFERROR((B176-$H$3)/$I$3,"")</f>
      </c>
      <c r="D176" s="38">
        <f>IF(ABS(C176)&gt;2,"Yes","No")</f>
      </c>
      <c r="E176" s="11">
        <f>IFERROR((B176-$K$3) / ($L$3-$K$3),"")</f>
      </c>
      <c r="F176" s="2"/>
      <c r="G176" s="2"/>
      <c r="H176" s="8"/>
      <c r="I176" s="8"/>
      <c r="J176" s="2"/>
      <c r="K176" s="9"/>
      <c r="L176" s="8"/>
    </row>
    <row x14ac:dyDescent="0.25" r="177" customHeight="1" ht="18.75">
      <c r="A177" s="2" t="s">
        <v>185</v>
      </c>
      <c r="B177" s="3">
        <v>19</v>
      </c>
      <c r="C177" s="11">
        <f>IFERROR((B177-$H$3)/$I$3,"")</f>
      </c>
      <c r="D177" s="38">
        <f>IF(ABS(C177)&gt;2,"Yes","No")</f>
      </c>
      <c r="E177" s="11">
        <f>IFERROR((B177-$K$3) / ($L$3-$K$3),"")</f>
      </c>
      <c r="F177" s="2"/>
      <c r="G177" s="2"/>
      <c r="H177" s="8"/>
      <c r="I177" s="8"/>
      <c r="J177" s="2"/>
      <c r="K177" s="9"/>
      <c r="L177" s="8"/>
    </row>
    <row x14ac:dyDescent="0.25" r="178" customHeight="1" ht="18.75">
      <c r="A178" s="2" t="s">
        <v>160</v>
      </c>
      <c r="B178" s="3">
        <v>13</v>
      </c>
      <c r="C178" s="11">
        <f>IFERROR((B178-$H$3)/$I$3,"")</f>
      </c>
      <c r="D178" s="38">
        <f>IF(ABS(C178)&gt;2,"Yes","No")</f>
      </c>
      <c r="E178" s="11">
        <f>IFERROR((B178-$K$3) / ($L$3-$K$3),"")</f>
      </c>
      <c r="F178" s="2"/>
      <c r="G178" s="2"/>
      <c r="H178" s="8"/>
      <c r="I178" s="8"/>
      <c r="J178" s="2"/>
      <c r="K178" s="9"/>
      <c r="L178" s="8"/>
    </row>
    <row x14ac:dyDescent="0.25" r="179" customHeight="1" ht="18.75">
      <c r="A179" s="2" t="s">
        <v>186</v>
      </c>
      <c r="B179" s="11">
        <v>13.5</v>
      </c>
      <c r="C179" s="11">
        <f>IFERROR((B179-$H$3)/$I$3,"")</f>
      </c>
      <c r="D179" s="38">
        <f>IF(ABS(C179)&gt;2,"Yes","No")</f>
      </c>
      <c r="E179" s="11">
        <f>IFERROR((B179-$K$3) / ($L$3-$K$3),"")</f>
      </c>
      <c r="F179" s="2"/>
      <c r="G179" s="2"/>
      <c r="H179" s="8"/>
      <c r="I179" s="8"/>
      <c r="J179" s="2"/>
      <c r="K179" s="9"/>
      <c r="L179" s="8"/>
    </row>
    <row x14ac:dyDescent="0.25" r="180" customHeight="1" ht="18.75">
      <c r="A180" s="2" t="s">
        <v>187</v>
      </c>
      <c r="B180" s="11">
        <v>15.5</v>
      </c>
      <c r="C180" s="11">
        <f>IFERROR((B180-$H$3)/$I$3,"")</f>
      </c>
      <c r="D180" s="38">
        <f>IF(ABS(C180)&gt;2,"Yes","No")</f>
      </c>
      <c r="E180" s="11">
        <f>IFERROR((B180-$K$3) / ($L$3-$K$3),"")</f>
      </c>
      <c r="F180" s="2"/>
      <c r="G180" s="2"/>
      <c r="H180" s="8"/>
      <c r="I180" s="8"/>
      <c r="J180" s="2"/>
      <c r="K180" s="9"/>
      <c r="L180" s="8"/>
    </row>
    <row x14ac:dyDescent="0.25" r="181" customHeight="1" ht="18.75">
      <c r="A181" s="2" t="s">
        <v>188</v>
      </c>
      <c r="B181" s="3">
        <v>15</v>
      </c>
      <c r="C181" s="11">
        <f>IFERROR((B181-$H$3)/$I$3,"")</f>
      </c>
      <c r="D181" s="38">
        <f>IF(ABS(C181)&gt;2,"Yes","No")</f>
      </c>
      <c r="E181" s="11">
        <f>IFERROR((B181-$K$3) / ($L$3-$K$3),"")</f>
      </c>
      <c r="F181" s="2"/>
      <c r="G181" s="2"/>
      <c r="H181" s="8"/>
      <c r="I181" s="8"/>
      <c r="J181" s="2"/>
      <c r="K181" s="9"/>
      <c r="L181" s="8"/>
    </row>
    <row x14ac:dyDescent="0.25" r="182" customHeight="1" ht="18.75">
      <c r="A182" s="2" t="s">
        <v>189</v>
      </c>
      <c r="B182" s="11">
        <v>15.5</v>
      </c>
      <c r="C182" s="11">
        <f>IFERROR((B182-$H$3)/$I$3,"")</f>
      </c>
      <c r="D182" s="38">
        <f>IF(ABS(C182)&gt;2,"Yes","No")</f>
      </c>
      <c r="E182" s="11">
        <f>IFERROR((B182-$K$3) / ($L$3-$K$3),"")</f>
      </c>
      <c r="F182" s="2"/>
      <c r="G182" s="2"/>
      <c r="H182" s="8"/>
      <c r="I182" s="8"/>
      <c r="J182" s="2"/>
      <c r="K182" s="9"/>
      <c r="L182" s="8"/>
    </row>
    <row x14ac:dyDescent="0.25" r="183" customHeight="1" ht="18.75">
      <c r="A183" s="2" t="s">
        <v>180</v>
      </c>
      <c r="B183" s="11">
        <v>15.5</v>
      </c>
      <c r="C183" s="11">
        <f>IFERROR((B183-$H$3)/$I$3,"")</f>
      </c>
      <c r="D183" s="38">
        <f>IF(ABS(C183)&gt;2,"Yes","No")</f>
      </c>
      <c r="E183" s="11">
        <f>IFERROR((B183-$K$3) / ($L$3-$K$3),"")</f>
      </c>
      <c r="F183" s="2"/>
      <c r="G183" s="2"/>
      <c r="H183" s="8"/>
      <c r="I183" s="8"/>
      <c r="J183" s="2"/>
      <c r="K183" s="9"/>
      <c r="L183" s="8"/>
    </row>
    <row x14ac:dyDescent="0.25" r="184" customHeight="1" ht="18.75">
      <c r="A184" s="2" t="s">
        <v>190</v>
      </c>
      <c r="B184" s="11">
        <v>14.5</v>
      </c>
      <c r="C184" s="11">
        <f>IFERROR((B184-$H$3)/$I$3,"")</f>
      </c>
      <c r="D184" s="38">
        <f>IF(ABS(C184)&gt;2,"Yes","No")</f>
      </c>
      <c r="E184" s="11">
        <f>IFERROR((B184-$K$3) / ($L$3-$K$3),"")</f>
      </c>
      <c r="F184" s="2"/>
      <c r="G184" s="2"/>
      <c r="H184" s="8"/>
      <c r="I184" s="8"/>
      <c r="J184" s="2"/>
      <c r="K184" s="9"/>
      <c r="L184" s="8"/>
    </row>
    <row x14ac:dyDescent="0.25" r="185" customHeight="1" ht="18.75">
      <c r="A185" s="2" t="s">
        <v>191</v>
      </c>
      <c r="B185" s="11">
        <v>15.5</v>
      </c>
      <c r="C185" s="11">
        <f>IFERROR((B185-$H$3)/$I$3,"")</f>
      </c>
      <c r="D185" s="38">
        <f>IF(ABS(C185)&gt;2,"Yes","No")</f>
      </c>
      <c r="E185" s="11">
        <f>IFERROR((B185-$K$3) / ($L$3-$K$3),"")</f>
      </c>
      <c r="F185" s="2"/>
      <c r="G185" s="2"/>
      <c r="H185" s="8"/>
      <c r="I185" s="8"/>
      <c r="J185" s="2"/>
      <c r="K185" s="9"/>
      <c r="L185" s="8"/>
    </row>
    <row x14ac:dyDescent="0.25" r="186" customHeight="1" ht="18.75">
      <c r="A186" s="2" t="s">
        <v>165</v>
      </c>
      <c r="B186" s="3">
        <v>12</v>
      </c>
      <c r="C186" s="11">
        <f>IFERROR((B186-$H$3)/$I$3,"")</f>
      </c>
      <c r="D186" s="38">
        <f>IF(ABS(C186)&gt;2,"Yes","No")</f>
      </c>
      <c r="E186" s="11">
        <f>IFERROR((B186-$K$3) / ($L$3-$K$3),"")</f>
      </c>
      <c r="F186" s="2"/>
      <c r="G186" s="2"/>
      <c r="H186" s="8"/>
      <c r="I186" s="8"/>
      <c r="J186" s="2"/>
      <c r="K186" s="9"/>
      <c r="L186" s="8"/>
    </row>
    <row x14ac:dyDescent="0.25" r="187" customHeight="1" ht="18.75">
      <c r="A187" s="2" t="s">
        <v>192</v>
      </c>
      <c r="B187" s="11">
        <v>11.5</v>
      </c>
      <c r="C187" s="11">
        <f>IFERROR((B187-$H$3)/$I$3,"")</f>
      </c>
      <c r="D187" s="38">
        <f>IF(ABS(C187)&gt;2,"Yes","No")</f>
      </c>
      <c r="E187" s="11">
        <f>IFERROR((B187-$K$3) / ($L$3-$K$3),"")</f>
      </c>
      <c r="F187" s="2"/>
      <c r="G187" s="2"/>
      <c r="H187" s="8"/>
      <c r="I187" s="8"/>
      <c r="J187" s="2"/>
      <c r="K187" s="9"/>
      <c r="L187" s="8"/>
    </row>
    <row x14ac:dyDescent="0.25" r="188" customHeight="1" ht="18.75">
      <c r="A188" s="2" t="s">
        <v>172</v>
      </c>
      <c r="B188" s="11">
        <v>13.5</v>
      </c>
      <c r="C188" s="11">
        <f>IFERROR((B188-$H$3)/$I$3,"")</f>
      </c>
      <c r="D188" s="38">
        <f>IF(ABS(C188)&gt;2,"Yes","No")</f>
      </c>
      <c r="E188" s="11">
        <f>IFERROR((B188-$K$3) / ($L$3-$K$3),"")</f>
      </c>
      <c r="F188" s="2"/>
      <c r="G188" s="2"/>
      <c r="H188" s="8"/>
      <c r="I188" s="8"/>
      <c r="J188" s="2"/>
      <c r="K188" s="9"/>
      <c r="L188" s="8"/>
    </row>
    <row x14ac:dyDescent="0.25" r="189" customHeight="1" ht="18.75">
      <c r="A189" s="2" t="s">
        <v>166</v>
      </c>
      <c r="B189" s="3">
        <v>13</v>
      </c>
      <c r="C189" s="11">
        <f>IFERROR((B189-$H$3)/$I$3,"")</f>
      </c>
      <c r="D189" s="38">
        <f>IF(ABS(C189)&gt;2,"Yes","No")</f>
      </c>
      <c r="E189" s="11">
        <f>IFERROR((B189-$K$3) / ($L$3-$K$3),"")</f>
      </c>
      <c r="F189" s="2"/>
      <c r="G189" s="2"/>
      <c r="H189" s="8"/>
      <c r="I189" s="8"/>
      <c r="J189" s="2"/>
      <c r="K189" s="9"/>
      <c r="L189" s="8"/>
    </row>
    <row x14ac:dyDescent="0.25" r="190" customHeight="1" ht="18.75">
      <c r="A190" s="2" t="s">
        <v>193</v>
      </c>
      <c r="B190" s="11">
        <v>11.5</v>
      </c>
      <c r="C190" s="11">
        <f>IFERROR((B190-$H$3)/$I$3,"")</f>
      </c>
      <c r="D190" s="38">
        <f>IF(ABS(C190)&gt;2,"Yes","No")</f>
      </c>
      <c r="E190" s="11">
        <f>IFERROR((B190-$K$3) / ($L$3-$K$3),"")</f>
      </c>
      <c r="F190" s="2"/>
      <c r="G190" s="2"/>
      <c r="H190" s="8"/>
      <c r="I190" s="8"/>
      <c r="J190" s="2"/>
      <c r="K190" s="9"/>
      <c r="L190" s="8"/>
    </row>
    <row x14ac:dyDescent="0.25" r="191" customHeight="1" ht="18.75">
      <c r="A191" s="2" t="s">
        <v>194</v>
      </c>
      <c r="B191" s="3">
        <v>12</v>
      </c>
      <c r="C191" s="11">
        <f>IFERROR((B191-$H$3)/$I$3,"")</f>
      </c>
      <c r="D191" s="38">
        <f>IF(ABS(C191)&gt;2,"Yes","No")</f>
      </c>
      <c r="E191" s="11">
        <f>IFERROR((B191-$K$3) / ($L$3-$K$3),"")</f>
      </c>
      <c r="F191" s="2"/>
      <c r="G191" s="2"/>
      <c r="H191" s="8"/>
      <c r="I191" s="8"/>
      <c r="J191" s="2"/>
      <c r="K191" s="9"/>
      <c r="L191" s="8"/>
    </row>
    <row x14ac:dyDescent="0.25" r="192" customHeight="1" ht="18.75">
      <c r="A192" s="2" t="s">
        <v>195</v>
      </c>
      <c r="B192" s="3">
        <v>12</v>
      </c>
      <c r="C192" s="11">
        <f>IFERROR((B192-$H$3)/$I$3,"")</f>
      </c>
      <c r="D192" s="38">
        <f>IF(ABS(C192)&gt;2,"Yes","No")</f>
      </c>
      <c r="E192" s="11">
        <f>IFERROR((B192-$K$3) / ($L$3-$K$3),"")</f>
      </c>
      <c r="F192" s="2"/>
      <c r="G192" s="2"/>
      <c r="H192" s="8"/>
      <c r="I192" s="8"/>
      <c r="J192" s="2"/>
      <c r="K192" s="9"/>
      <c r="L192" s="8"/>
    </row>
    <row x14ac:dyDescent="0.25" r="193" customHeight="1" ht="18.75">
      <c r="A193" s="2" t="s">
        <v>196</v>
      </c>
      <c r="B193" s="11">
        <v>16.5</v>
      </c>
      <c r="C193" s="11">
        <f>IFERROR((B193-$H$3)/$I$3,"")</f>
      </c>
      <c r="D193" s="38">
        <f>IF(ABS(C193)&gt;2,"Yes","No")</f>
      </c>
      <c r="E193" s="11">
        <f>IFERROR((B193-$K$3) / ($L$3-$K$3),"")</f>
      </c>
      <c r="F193" s="2"/>
      <c r="G193" s="2"/>
      <c r="H193" s="8"/>
      <c r="I193" s="8"/>
      <c r="J193" s="2"/>
      <c r="K193" s="9"/>
      <c r="L193" s="8"/>
    </row>
    <row x14ac:dyDescent="0.25" r="194" customHeight="1" ht="18.75">
      <c r="A194" s="2" t="s">
        <v>197</v>
      </c>
      <c r="B194" s="3">
        <v>17</v>
      </c>
      <c r="C194" s="11">
        <f>IFERROR((B194-$H$3)/$I$3,"")</f>
      </c>
      <c r="D194" s="38">
        <f>IF(ABS(C194)&gt;2,"Yes","No")</f>
      </c>
      <c r="E194" s="11">
        <f>IFERROR((B194-$K$3) / ($L$3-$K$3),"")</f>
      </c>
      <c r="F194" s="2"/>
      <c r="G194" s="2"/>
      <c r="H194" s="8"/>
      <c r="I194" s="8"/>
      <c r="J194" s="2"/>
      <c r="K194" s="9"/>
      <c r="L194" s="8"/>
    </row>
    <row x14ac:dyDescent="0.25" r="195" customHeight="1" ht="18.75">
      <c r="A195" s="2" t="s">
        <v>198</v>
      </c>
      <c r="B195" s="11">
        <v>19.5</v>
      </c>
      <c r="C195" s="11">
        <f>IFERROR((B195-$H$3)/$I$3,"")</f>
      </c>
      <c r="D195" s="38">
        <f>IF(ABS(C195)&gt;2,"Yes","No")</f>
      </c>
      <c r="E195" s="11">
        <f>IFERROR((B195-$K$3) / ($L$3-$K$3),"")</f>
      </c>
      <c r="F195" s="2"/>
      <c r="G195" s="2"/>
      <c r="H195" s="8"/>
      <c r="I195" s="8"/>
      <c r="J195" s="2"/>
      <c r="K195" s="9"/>
      <c r="L195" s="8"/>
    </row>
    <row x14ac:dyDescent="0.25" r="196" customHeight="1" ht="18.75">
      <c r="A196" s="2" t="s">
        <v>199</v>
      </c>
      <c r="B196" s="3">
        <v>15</v>
      </c>
      <c r="C196" s="11">
        <f>IFERROR((B196-$H$3)/$I$3,"")</f>
      </c>
      <c r="D196" s="38">
        <f>IF(ABS(C196)&gt;2,"Yes","No")</f>
      </c>
      <c r="E196" s="11">
        <f>IFERROR((B196-$K$3) / ($L$3-$K$3),"")</f>
      </c>
      <c r="F196" s="2"/>
      <c r="G196" s="2"/>
      <c r="H196" s="8"/>
      <c r="I196" s="8"/>
      <c r="J196" s="2"/>
      <c r="K196" s="9"/>
      <c r="L196" s="8"/>
    </row>
    <row x14ac:dyDescent="0.25" r="197" customHeight="1" ht="18.75">
      <c r="A197" s="2" t="s">
        <v>200</v>
      </c>
      <c r="B197" s="3">
        <v>16</v>
      </c>
      <c r="C197" s="11">
        <f>IFERROR((B197-$H$3)/$I$3,"")</f>
      </c>
      <c r="D197" s="38">
        <f>IF(ABS(C197)&gt;2,"Yes","No")</f>
      </c>
      <c r="E197" s="11">
        <f>IFERROR((B197-$K$3) / ($L$3-$K$3),"")</f>
      </c>
      <c r="F197" s="2"/>
      <c r="G197" s="2"/>
      <c r="H197" s="8"/>
      <c r="I197" s="8"/>
      <c r="J197" s="2"/>
      <c r="K197" s="9"/>
      <c r="L197" s="8"/>
    </row>
    <row x14ac:dyDescent="0.25" r="198" customHeight="1" ht="18.75">
      <c r="A198" s="2" t="s">
        <v>201</v>
      </c>
      <c r="B198" s="3">
        <v>11</v>
      </c>
      <c r="C198" s="11">
        <f>IFERROR((B198-$H$3)/$I$3,"")</f>
      </c>
      <c r="D198" s="38">
        <f>IF(ABS(C198)&gt;2,"Yes","No")</f>
      </c>
      <c r="E198" s="11">
        <f>IFERROR((B198-$K$3) / ($L$3-$K$3),"")</f>
      </c>
      <c r="F198" s="2"/>
      <c r="G198" s="2"/>
      <c r="H198" s="8"/>
      <c r="I198" s="8"/>
      <c r="J198" s="2"/>
      <c r="K198" s="9"/>
      <c r="L198" s="8"/>
    </row>
    <row x14ac:dyDescent="0.25" r="199" customHeight="1" ht="18.75">
      <c r="A199" s="2" t="s">
        <v>202</v>
      </c>
      <c r="B199" s="11">
        <v>12.5</v>
      </c>
      <c r="C199" s="11">
        <f>IFERROR((B199-$H$3)/$I$3,"")</f>
      </c>
      <c r="D199" s="38">
        <f>IF(ABS(C199)&gt;2,"Yes","No")</f>
      </c>
      <c r="E199" s="11">
        <f>IFERROR((B199-$K$3) / ($L$3-$K$3),"")</f>
      </c>
      <c r="F199" s="2"/>
      <c r="G199" s="2"/>
      <c r="H199" s="8"/>
      <c r="I199" s="8"/>
      <c r="J199" s="2"/>
      <c r="K199" s="9"/>
      <c r="L199" s="8"/>
    </row>
    <row x14ac:dyDescent="0.25" r="200" customHeight="1" ht="18.75">
      <c r="A200" s="2" t="s">
        <v>203</v>
      </c>
      <c r="B200" s="11">
        <v>11.5</v>
      </c>
      <c r="C200" s="11">
        <f>IFERROR((B200-$H$3)/$I$3,"")</f>
      </c>
      <c r="D200" s="38">
        <f>IF(ABS(C200)&gt;2,"Yes","No")</f>
      </c>
      <c r="E200" s="11">
        <f>IFERROR((B200-$K$3) / ($L$3-$K$3),"")</f>
      </c>
      <c r="F200" s="2"/>
      <c r="G200" s="2"/>
      <c r="H200" s="8"/>
      <c r="I200" s="8"/>
      <c r="J200" s="2"/>
      <c r="K200" s="9"/>
      <c r="L200" s="8"/>
    </row>
    <row x14ac:dyDescent="0.25" r="201" customHeight="1" ht="18.75">
      <c r="A201" s="2" t="s">
        <v>164</v>
      </c>
      <c r="B201" s="3">
        <v>12</v>
      </c>
      <c r="C201" s="11">
        <f>IFERROR((B201-$H$3)/$I$3,"")</f>
      </c>
      <c r="D201" s="38">
        <f>IF(ABS(C201)&gt;2,"Yes","No")</f>
      </c>
      <c r="E201" s="11">
        <f>IFERROR((B201-$K$3) / ($L$3-$K$3),"")</f>
      </c>
      <c r="F201" s="2"/>
      <c r="G201" s="2"/>
      <c r="H201" s="8"/>
      <c r="I201" s="8"/>
      <c r="J201" s="2"/>
      <c r="K201" s="9"/>
      <c r="L201" s="8"/>
    </row>
    <row x14ac:dyDescent="0.25" r="202" customHeight="1" ht="18.75">
      <c r="A202" s="2" t="s">
        <v>165</v>
      </c>
      <c r="B202" s="3">
        <v>12</v>
      </c>
      <c r="C202" s="11">
        <f>IFERROR((B202-$H$3)/$I$3,"")</f>
      </c>
      <c r="D202" s="38">
        <f>IF(ABS(C202)&gt;2,"Yes","No")</f>
      </c>
      <c r="E202" s="11">
        <f>IFERROR((B202-$K$3) / ($L$3-$K$3),"")</f>
      </c>
      <c r="F202" s="2"/>
      <c r="G202" s="2"/>
      <c r="H202" s="8"/>
      <c r="I202" s="8"/>
      <c r="J202" s="2"/>
      <c r="K202" s="9"/>
      <c r="L202" s="8"/>
    </row>
    <row x14ac:dyDescent="0.25" r="203" customHeight="1" ht="18.75">
      <c r="A203" s="2" t="s">
        <v>204</v>
      </c>
      <c r="B203" s="11">
        <v>12.5</v>
      </c>
      <c r="C203" s="11">
        <f>IFERROR((B203-$H$3)/$I$3,"")</f>
      </c>
      <c r="D203" s="38">
        <f>IF(ABS(C203)&gt;2,"Yes","No")</f>
      </c>
      <c r="E203" s="11">
        <f>IFERROR((B203-$K$3) / ($L$3-$K$3),"")</f>
      </c>
      <c r="F203" s="2"/>
      <c r="G203" s="2"/>
      <c r="H203" s="8"/>
      <c r="I203" s="8"/>
      <c r="J203" s="2"/>
      <c r="K203" s="9"/>
      <c r="L203" s="8"/>
    </row>
    <row x14ac:dyDescent="0.25" r="204" customHeight="1" ht="18.75">
      <c r="A204" s="2" t="s">
        <v>172</v>
      </c>
      <c r="B204" s="3">
        <v>13</v>
      </c>
      <c r="C204" s="11">
        <f>IFERROR((B204-$H$3)/$I$3,"")</f>
      </c>
      <c r="D204" s="38">
        <f>IF(ABS(C204)&gt;2,"Yes","No")</f>
      </c>
      <c r="E204" s="11">
        <f>IFERROR((B204-$K$3) / ($L$3-$K$3),"")</f>
      </c>
      <c r="F204" s="2"/>
      <c r="G204" s="2"/>
      <c r="H204" s="8"/>
      <c r="I204" s="8"/>
      <c r="J204" s="2"/>
      <c r="K204" s="9"/>
      <c r="L204" s="8"/>
    </row>
    <row x14ac:dyDescent="0.25" r="205" customHeight="1" ht="18.75">
      <c r="A205" s="2" t="s">
        <v>205</v>
      </c>
      <c r="B205" s="3">
        <v>14</v>
      </c>
      <c r="C205" s="11">
        <f>IFERROR((B205-$H$3)/$I$3,"")</f>
      </c>
      <c r="D205" s="38">
        <f>IF(ABS(C205)&gt;2,"Yes","No")</f>
      </c>
      <c r="E205" s="11">
        <f>IFERROR((B205-$K$3) / ($L$3-$K$3),"")</f>
      </c>
      <c r="F205" s="2"/>
      <c r="G205" s="2"/>
      <c r="H205" s="8"/>
      <c r="I205" s="8"/>
      <c r="J205" s="2"/>
      <c r="K205" s="9"/>
      <c r="L205" s="8"/>
    </row>
    <row x14ac:dyDescent="0.25" r="206" customHeight="1" ht="18.75">
      <c r="A206" s="2" t="s">
        <v>166</v>
      </c>
      <c r="B206" s="11">
        <v>13.5</v>
      </c>
      <c r="C206" s="11">
        <f>IFERROR((B206-$H$3)/$I$3,"")</f>
      </c>
      <c r="D206" s="38">
        <f>IF(ABS(C206)&gt;2,"Yes","No")</f>
      </c>
      <c r="E206" s="11">
        <f>IFERROR((B206-$K$3) / ($L$3-$K$3),"")</f>
      </c>
      <c r="F206" s="2"/>
      <c r="G206" s="2"/>
      <c r="H206" s="8"/>
      <c r="I206" s="8"/>
      <c r="J206" s="2"/>
      <c r="K206" s="9"/>
      <c r="L206" s="8"/>
    </row>
    <row x14ac:dyDescent="0.25" r="207" customHeight="1" ht="18.75">
      <c r="A207" s="2" t="s">
        <v>206</v>
      </c>
      <c r="B207" s="11">
        <v>13.5</v>
      </c>
      <c r="C207" s="11">
        <f>IFERROR((B207-$H$3)/$I$3,"")</f>
      </c>
      <c r="D207" s="38">
        <f>IF(ABS(C207)&gt;2,"Yes","No")</f>
      </c>
      <c r="E207" s="11">
        <f>IFERROR((B207-$K$3) / ($L$3-$K$3),"")</f>
      </c>
      <c r="F207" s="2"/>
      <c r="G207" s="2"/>
      <c r="H207" s="8"/>
      <c r="I207" s="8"/>
      <c r="J207" s="2"/>
      <c r="K207" s="9"/>
      <c r="L207" s="8"/>
    </row>
    <row x14ac:dyDescent="0.25" r="208" customHeight="1" ht="18.75">
      <c r="A208" s="2" t="s">
        <v>207</v>
      </c>
      <c r="B208" s="11">
        <v>13.5</v>
      </c>
      <c r="C208" s="11">
        <f>IFERROR((B208-$H$3)/$I$3,"")</f>
      </c>
      <c r="D208" s="38">
        <f>IF(ABS(C208)&gt;2,"Yes","No")</f>
      </c>
      <c r="E208" s="11">
        <f>IFERROR((B208-$K$3) / ($L$3-$K$3),"")</f>
      </c>
      <c r="F208" s="2"/>
      <c r="G208" s="2"/>
      <c r="H208" s="8"/>
      <c r="I208" s="8"/>
      <c r="J208" s="2"/>
      <c r="K208" s="9"/>
      <c r="L208" s="8"/>
    </row>
    <row x14ac:dyDescent="0.25" r="209" customHeight="1" ht="18.75">
      <c r="A209" s="2" t="s">
        <v>208</v>
      </c>
      <c r="B209" s="3">
        <v>16</v>
      </c>
      <c r="C209" s="11">
        <f>IFERROR((B209-$H$3)/$I$3,"")</f>
      </c>
      <c r="D209" s="38">
        <f>IF(ABS(C209)&gt;2,"Yes","No")</f>
      </c>
      <c r="E209" s="11">
        <f>IFERROR((B209-$K$3) / ($L$3-$K$3),"")</f>
      </c>
      <c r="F209" s="2"/>
      <c r="G209" s="2"/>
      <c r="H209" s="8"/>
      <c r="I209" s="8"/>
      <c r="J209" s="2"/>
      <c r="K209" s="9"/>
      <c r="L209" s="8"/>
    </row>
    <row x14ac:dyDescent="0.25" r="210" customHeight="1" ht="18.75">
      <c r="A210" s="2" t="s">
        <v>209</v>
      </c>
      <c r="B210" s="3">
        <v>14</v>
      </c>
      <c r="C210" s="11">
        <f>IFERROR((B210-$H$3)/$I$3,"")</f>
      </c>
      <c r="D210" s="38">
        <f>IF(ABS(C210)&gt;2,"Yes","No")</f>
      </c>
      <c r="E210" s="11">
        <f>IFERROR((B210-$K$3) / ($L$3-$K$3),"")</f>
      </c>
      <c r="F210" s="2"/>
      <c r="G210" s="2"/>
      <c r="H210" s="8"/>
      <c r="I210" s="8"/>
      <c r="J210" s="2"/>
      <c r="K210" s="9"/>
      <c r="L210" s="8"/>
    </row>
    <row x14ac:dyDescent="0.25" r="211" customHeight="1" ht="18.75">
      <c r="A211" s="2" t="s">
        <v>185</v>
      </c>
      <c r="B211" s="11">
        <v>18.5</v>
      </c>
      <c r="C211" s="11">
        <f>IFERROR((B211-$H$3)/$I$3,"")</f>
      </c>
      <c r="D211" s="38">
        <f>IF(ABS(C211)&gt;2,"Yes","No")</f>
      </c>
      <c r="E211" s="11">
        <f>IFERROR((B211-$K$3) / ($L$3-$K$3),"")</f>
      </c>
      <c r="F211" s="2"/>
      <c r="G211" s="2"/>
      <c r="H211" s="8"/>
      <c r="I211" s="8"/>
      <c r="J211" s="2"/>
      <c r="K211" s="9"/>
      <c r="L211" s="8"/>
    </row>
    <row x14ac:dyDescent="0.25" r="212" customHeight="1" ht="18.75">
      <c r="A212" s="2" t="s">
        <v>198</v>
      </c>
      <c r="B212" s="11">
        <v>19.5</v>
      </c>
      <c r="C212" s="11">
        <f>IFERROR((B212-$H$3)/$I$3,"")</f>
      </c>
      <c r="D212" s="38">
        <f>IF(ABS(C212)&gt;2,"Yes","No")</f>
      </c>
      <c r="E212" s="11">
        <f>IFERROR((B212-$K$3) / ($L$3-$K$3),"")</f>
      </c>
      <c r="F212" s="2"/>
      <c r="G212" s="2"/>
      <c r="H212" s="8"/>
      <c r="I212" s="8"/>
      <c r="J212" s="2"/>
      <c r="K212" s="9"/>
      <c r="L212" s="8"/>
    </row>
    <row x14ac:dyDescent="0.25" r="213" customHeight="1" ht="18.75">
      <c r="A213" s="2" t="s">
        <v>210</v>
      </c>
      <c r="B213" s="3">
        <v>14</v>
      </c>
      <c r="C213" s="11">
        <f>IFERROR((B213-$H$3)/$I$3,"")</f>
      </c>
      <c r="D213" s="38">
        <f>IF(ABS(C213)&gt;2,"Yes","No")</f>
      </c>
      <c r="E213" s="11">
        <f>IFERROR((B213-$K$3) / ($L$3-$K$3),"")</f>
      </c>
      <c r="F213" s="2"/>
      <c r="G213" s="2"/>
      <c r="H213" s="8"/>
      <c r="I213" s="8"/>
      <c r="J213" s="2"/>
      <c r="K213" s="9"/>
      <c r="L213" s="8"/>
    </row>
    <row x14ac:dyDescent="0.25" r="214" customHeight="1" ht="18.75">
      <c r="A214" s="2" t="s">
        <v>160</v>
      </c>
      <c r="B214" s="3">
        <v>15</v>
      </c>
      <c r="C214" s="11">
        <f>IFERROR((B214-$H$3)/$I$3,"")</f>
      </c>
      <c r="D214" s="38">
        <f>IF(ABS(C214)&gt;2,"Yes","No")</f>
      </c>
      <c r="E214" s="11">
        <f>IFERROR((B214-$K$3) / ($L$3-$K$3),"")</f>
      </c>
      <c r="F214" s="2"/>
      <c r="G214" s="2"/>
      <c r="H214" s="8"/>
      <c r="I214" s="8"/>
      <c r="J214" s="2"/>
      <c r="K214" s="9"/>
      <c r="L214" s="8"/>
    </row>
    <row x14ac:dyDescent="0.25" r="215" customHeight="1" ht="18.75">
      <c r="A215" s="2" t="s">
        <v>159</v>
      </c>
      <c r="B215" s="3">
        <v>16</v>
      </c>
      <c r="C215" s="11">
        <f>IFERROR((B215-$H$3)/$I$3,"")</f>
      </c>
      <c r="D215" s="38">
        <f>IF(ABS(C215)&gt;2,"Yes","No")</f>
      </c>
      <c r="E215" s="11">
        <f>IFERROR((B215-$K$3) / ($L$3-$K$3),"")</f>
      </c>
      <c r="F215" s="2"/>
      <c r="G215" s="2"/>
      <c r="H215" s="8"/>
      <c r="I215" s="8"/>
      <c r="J215" s="2"/>
      <c r="K215" s="9"/>
      <c r="L215" s="8"/>
    </row>
    <row x14ac:dyDescent="0.25" r="216" customHeight="1" ht="18.75">
      <c r="A216" s="2" t="s">
        <v>211</v>
      </c>
      <c r="B216" s="11">
        <v>16.5</v>
      </c>
      <c r="C216" s="11">
        <f>IFERROR((B216-$H$3)/$I$3,"")</f>
      </c>
      <c r="D216" s="38">
        <f>IF(ABS(C216)&gt;2,"Yes","No")</f>
      </c>
      <c r="E216" s="11">
        <f>IFERROR((B216-$K$3) / ($L$3-$K$3),"")</f>
      </c>
      <c r="F216" s="2"/>
      <c r="G216" s="2"/>
      <c r="H216" s="8"/>
      <c r="I216" s="8"/>
      <c r="J216" s="2"/>
      <c r="K216" s="9"/>
      <c r="L216" s="8"/>
    </row>
    <row x14ac:dyDescent="0.25" r="217" customHeight="1" ht="18.75">
      <c r="A217" s="2" t="s">
        <v>161</v>
      </c>
      <c r="B217" s="3">
        <v>16</v>
      </c>
      <c r="C217" s="11">
        <f>IFERROR((B217-$H$3)/$I$3,"")</f>
      </c>
      <c r="D217" s="38">
        <f>IF(ABS(C217)&gt;2,"Yes","No")</f>
      </c>
      <c r="E217" s="11">
        <f>IFERROR((B217-$K$3) / ($L$3-$K$3),"")</f>
      </c>
      <c r="F217" s="2"/>
      <c r="G217" s="2"/>
      <c r="H217" s="8"/>
      <c r="I217" s="8"/>
      <c r="J217" s="2"/>
      <c r="K217" s="9"/>
      <c r="L217" s="8"/>
    </row>
    <row x14ac:dyDescent="0.25" r="218" customHeight="1" ht="18.75">
      <c r="A218" s="2" t="s">
        <v>212</v>
      </c>
      <c r="B218" s="3">
        <v>18</v>
      </c>
      <c r="C218" s="11">
        <f>IFERROR((B218-$H$3)/$I$3,"")</f>
      </c>
      <c r="D218" s="38">
        <f>IF(ABS(C218)&gt;2,"Yes","No")</f>
      </c>
      <c r="E218" s="11">
        <f>IFERROR((B218-$K$3) / ($L$3-$K$3),"")</f>
      </c>
      <c r="F218" s="2"/>
      <c r="G218" s="2"/>
      <c r="H218" s="8"/>
      <c r="I218" s="8"/>
      <c r="J218" s="2"/>
      <c r="K218" s="9"/>
      <c r="L218" s="8"/>
    </row>
    <row x14ac:dyDescent="0.25" r="219" customHeight="1" ht="18.75">
      <c r="A219" s="2" t="s">
        <v>162</v>
      </c>
      <c r="B219" s="11">
        <v>16.5</v>
      </c>
      <c r="C219" s="11">
        <f>IFERROR((B219-$H$3)/$I$3,"")</f>
      </c>
      <c r="D219" s="38">
        <f>IF(ABS(C219)&gt;2,"Yes","No")</f>
      </c>
      <c r="E219" s="11">
        <f>IFERROR((B219-$K$3) / ($L$3-$K$3),"")</f>
      </c>
      <c r="F219" s="2"/>
      <c r="G219" s="2"/>
      <c r="H219" s="8"/>
      <c r="I219" s="8"/>
      <c r="J219" s="2"/>
      <c r="K219" s="9"/>
      <c r="L219" s="8"/>
    </row>
    <row x14ac:dyDescent="0.25" r="220" customHeight="1" ht="18.75">
      <c r="A220" s="2" t="s">
        <v>213</v>
      </c>
      <c r="B220" s="11">
        <v>9.5</v>
      </c>
      <c r="C220" s="11">
        <f>IFERROR((B220-$H$3)/$I$3,"")</f>
      </c>
      <c r="D220" s="38">
        <f>IF(ABS(C220)&gt;2,"Yes","No")</f>
      </c>
      <c r="E220" s="11">
        <f>IFERROR((B220-$K$3) / ($L$3-$K$3),"")</f>
      </c>
      <c r="F220" s="2"/>
      <c r="G220" s="2"/>
      <c r="H220" s="8"/>
      <c r="I220" s="8"/>
      <c r="J220" s="2"/>
      <c r="K220" s="9"/>
      <c r="L220" s="8"/>
    </row>
    <row x14ac:dyDescent="0.25" r="221" customHeight="1" ht="18.75">
      <c r="A221" s="2" t="s">
        <v>214</v>
      </c>
      <c r="B221" s="3">
        <v>11</v>
      </c>
      <c r="C221" s="11">
        <f>IFERROR((B221-$H$3)/$I$3,"")</f>
      </c>
      <c r="D221" s="38">
        <f>IF(ABS(C221)&gt;2,"Yes","No")</f>
      </c>
      <c r="E221" s="11">
        <f>IFERROR((B221-$K$3) / ($L$3-$K$3),"")</f>
      </c>
      <c r="F221" s="2"/>
      <c r="G221" s="2"/>
      <c r="H221" s="8"/>
      <c r="I221" s="8"/>
      <c r="J221" s="2"/>
      <c r="K221" s="9"/>
      <c r="L221" s="8"/>
    </row>
    <row x14ac:dyDescent="0.25" r="222" customHeight="1" ht="18.75">
      <c r="A222" s="2" t="s">
        <v>215</v>
      </c>
      <c r="B222" s="3">
        <v>11</v>
      </c>
      <c r="C222" s="11">
        <f>IFERROR((B222-$H$3)/$I$3,"")</f>
      </c>
      <c r="D222" s="38">
        <f>IF(ABS(C222)&gt;2,"Yes","No")</f>
      </c>
      <c r="E222" s="11">
        <f>IFERROR((B222-$K$3) / ($L$3-$K$3),"")</f>
      </c>
      <c r="F222" s="2"/>
      <c r="G222" s="2"/>
      <c r="H222" s="8"/>
      <c r="I222" s="8"/>
      <c r="J222" s="2"/>
      <c r="K222" s="9"/>
      <c r="L222" s="8"/>
    </row>
    <row x14ac:dyDescent="0.25" r="223" customHeight="1" ht="18.75">
      <c r="A223" s="2" t="s">
        <v>216</v>
      </c>
      <c r="B223" s="3">
        <v>11</v>
      </c>
      <c r="C223" s="11">
        <f>IFERROR((B223-$H$3)/$I$3,"")</f>
      </c>
      <c r="D223" s="38">
        <f>IF(ABS(C223)&gt;2,"Yes","No")</f>
      </c>
      <c r="E223" s="11">
        <f>IFERROR((B223-$K$3) / ($L$3-$K$3),"")</f>
      </c>
      <c r="F223" s="2"/>
      <c r="G223" s="2"/>
      <c r="H223" s="8"/>
      <c r="I223" s="8"/>
      <c r="J223" s="2"/>
      <c r="K223" s="9"/>
      <c r="L223" s="8"/>
    </row>
    <row x14ac:dyDescent="0.25" r="224" customHeight="1" ht="18.75">
      <c r="A224" s="2" t="s">
        <v>217</v>
      </c>
      <c r="B224" s="3">
        <v>11</v>
      </c>
      <c r="C224" s="11">
        <f>IFERROR((B224-$H$3)/$I$3,"")</f>
      </c>
      <c r="D224" s="38">
        <f>IF(ABS(C224)&gt;2,"Yes","No")</f>
      </c>
      <c r="E224" s="11">
        <f>IFERROR((B224-$K$3) / ($L$3-$K$3),"")</f>
      </c>
      <c r="F224" s="2"/>
      <c r="G224" s="2"/>
      <c r="H224" s="8"/>
      <c r="I224" s="8"/>
      <c r="J224" s="2"/>
      <c r="K224" s="9"/>
      <c r="L224" s="8"/>
    </row>
    <row x14ac:dyDescent="0.25" r="225" customHeight="1" ht="18.75">
      <c r="A225" s="2" t="s">
        <v>218</v>
      </c>
      <c r="B225" s="3">
        <v>11</v>
      </c>
      <c r="C225" s="11">
        <f>IFERROR((B225-$H$3)/$I$3,"")</f>
      </c>
      <c r="D225" s="38">
        <f>IF(ABS(C225)&gt;2,"Yes","No")</f>
      </c>
      <c r="E225" s="11">
        <f>IFERROR((B225-$K$3) / ($L$3-$K$3),"")</f>
      </c>
      <c r="F225" s="2"/>
      <c r="G225" s="2"/>
      <c r="H225" s="8"/>
      <c r="I225" s="8"/>
      <c r="J225" s="2"/>
      <c r="K225" s="9"/>
      <c r="L225" s="8"/>
    </row>
    <row x14ac:dyDescent="0.25" r="226" customHeight="1" ht="18.75">
      <c r="A226" s="2" t="s">
        <v>219</v>
      </c>
      <c r="B226" s="3">
        <v>13</v>
      </c>
      <c r="C226" s="11">
        <f>IFERROR((B226-$H$3)/$I$3,"")</f>
      </c>
      <c r="D226" s="38">
        <f>IF(ABS(C226)&gt;2,"Yes","No")</f>
      </c>
      <c r="E226" s="11">
        <f>IFERROR((B226-$K$3) / ($L$3-$K$3),"")</f>
      </c>
      <c r="F226" s="2"/>
      <c r="G226" s="2"/>
      <c r="H226" s="8"/>
      <c r="I226" s="8"/>
      <c r="J226" s="2"/>
      <c r="K226" s="9"/>
      <c r="L226" s="8"/>
    </row>
    <row x14ac:dyDescent="0.25" r="227" customHeight="1" ht="18.75">
      <c r="A227" s="2" t="s">
        <v>189</v>
      </c>
      <c r="B227" s="11">
        <v>11.5</v>
      </c>
      <c r="C227" s="11">
        <f>IFERROR((B227-$H$3)/$I$3,"")</f>
      </c>
      <c r="D227" s="38">
        <f>IF(ABS(C227)&gt;2,"Yes","No")</f>
      </c>
      <c r="E227" s="11">
        <f>IFERROR((B227-$K$3) / ($L$3-$K$3),"")</f>
      </c>
      <c r="F227" s="2"/>
      <c r="G227" s="2"/>
      <c r="H227" s="8"/>
      <c r="I227" s="8"/>
      <c r="J227" s="2"/>
      <c r="K227" s="9"/>
      <c r="L227" s="8"/>
    </row>
    <row x14ac:dyDescent="0.25" r="228" customHeight="1" ht="18.75">
      <c r="A228" s="2" t="s">
        <v>220</v>
      </c>
      <c r="B228" s="11">
        <v>11.5</v>
      </c>
      <c r="C228" s="11">
        <f>IFERROR((B228-$H$3)/$I$3,"")</f>
      </c>
      <c r="D228" s="38">
        <f>IF(ABS(C228)&gt;2,"Yes","No")</f>
      </c>
      <c r="E228" s="11">
        <f>IFERROR((B228-$K$3) / ($L$3-$K$3),"")</f>
      </c>
      <c r="F228" s="2"/>
      <c r="G228" s="2"/>
      <c r="H228" s="8"/>
      <c r="I228" s="8"/>
      <c r="J228" s="2"/>
      <c r="K228" s="9"/>
      <c r="L228" s="8"/>
    </row>
    <row x14ac:dyDescent="0.25" r="229" customHeight="1" ht="18.75">
      <c r="A229" s="2" t="s">
        <v>221</v>
      </c>
      <c r="B229" s="11">
        <v>12.5</v>
      </c>
      <c r="C229" s="11">
        <f>IFERROR((B229-$H$3)/$I$3,"")</f>
      </c>
      <c r="D229" s="38">
        <f>IF(ABS(C229)&gt;2,"Yes","No")</f>
      </c>
      <c r="E229" s="11">
        <f>IFERROR((B229-$K$3) / ($L$3-$K$3),"")</f>
      </c>
      <c r="F229" s="2"/>
      <c r="G229" s="2"/>
      <c r="H229" s="8"/>
      <c r="I229" s="8"/>
      <c r="J229" s="2"/>
      <c r="K229" s="9"/>
      <c r="L229" s="8"/>
    </row>
    <row x14ac:dyDescent="0.25" r="230" customHeight="1" ht="18.75">
      <c r="A230" s="2" t="s">
        <v>222</v>
      </c>
      <c r="B230" s="11">
        <v>12.5</v>
      </c>
      <c r="C230" s="11">
        <f>IFERROR((B230-$H$3)/$I$3,"")</f>
      </c>
      <c r="D230" s="38">
        <f>IF(ABS(C230)&gt;2,"Yes","No")</f>
      </c>
      <c r="E230" s="11">
        <f>IFERROR((B230-$K$3) / ($L$3-$K$3),"")</f>
      </c>
      <c r="F230" s="2"/>
      <c r="G230" s="2"/>
      <c r="H230" s="8"/>
      <c r="I230" s="8"/>
      <c r="J230" s="2"/>
      <c r="K230" s="9"/>
      <c r="L230" s="8"/>
    </row>
    <row x14ac:dyDescent="0.25" r="231" customHeight="1" ht="18.75">
      <c r="A231" s="2" t="s">
        <v>223</v>
      </c>
      <c r="B231" s="3">
        <v>13</v>
      </c>
      <c r="C231" s="11">
        <f>IFERROR((B231-$H$3)/$I$3,"")</f>
      </c>
      <c r="D231" s="38">
        <f>IF(ABS(C231)&gt;2,"Yes","No")</f>
      </c>
      <c r="E231" s="11">
        <f>IFERROR((B231-$K$3) / ($L$3-$K$3),"")</f>
      </c>
      <c r="F231" s="2"/>
      <c r="G231" s="2"/>
      <c r="H231" s="8"/>
      <c r="I231" s="8"/>
      <c r="J231" s="2"/>
      <c r="K231" s="9"/>
      <c r="L231" s="8"/>
    </row>
    <row x14ac:dyDescent="0.25" r="232" customHeight="1" ht="18.75">
      <c r="A232" s="2" t="s">
        <v>224</v>
      </c>
      <c r="B232" s="3">
        <v>13</v>
      </c>
      <c r="C232" s="11">
        <f>IFERROR((B232-$H$3)/$I$3,"")</f>
      </c>
      <c r="D232" s="38">
        <f>IF(ABS(C232)&gt;2,"Yes","No")</f>
      </c>
      <c r="E232" s="11">
        <f>IFERROR((B232-$K$3) / ($L$3-$K$3),"")</f>
      </c>
      <c r="F232" s="2"/>
      <c r="G232" s="2"/>
      <c r="H232" s="8"/>
      <c r="I232" s="8"/>
      <c r="J232" s="2"/>
      <c r="K232" s="9"/>
      <c r="L232" s="8"/>
    </row>
    <row x14ac:dyDescent="0.25" r="233" customHeight="1" ht="18.75">
      <c r="A233" s="2" t="s">
        <v>225</v>
      </c>
      <c r="B233" s="3">
        <v>13</v>
      </c>
      <c r="C233" s="11">
        <f>IFERROR((B233-$H$3)/$I$3,"")</f>
      </c>
      <c r="D233" s="38">
        <f>IF(ABS(C233)&gt;2,"Yes","No")</f>
      </c>
      <c r="E233" s="11">
        <f>IFERROR((B233-$K$3) / ($L$3-$K$3),"")</f>
      </c>
      <c r="F233" s="2"/>
      <c r="G233" s="2"/>
      <c r="H233" s="8"/>
      <c r="I233" s="8"/>
      <c r="J233" s="2"/>
      <c r="K233" s="9"/>
      <c r="L233" s="8"/>
    </row>
    <row x14ac:dyDescent="0.25" r="234" customHeight="1" ht="18.75">
      <c r="A234" s="2" t="s">
        <v>226</v>
      </c>
      <c r="B234" s="3">
        <v>13</v>
      </c>
      <c r="C234" s="11">
        <f>IFERROR((B234-$H$3)/$I$3,"")</f>
      </c>
      <c r="D234" s="38">
        <f>IF(ABS(C234)&gt;2,"Yes","No")</f>
      </c>
      <c r="E234" s="11">
        <f>IFERROR((B234-$K$3) / ($L$3-$K$3),"")</f>
      </c>
      <c r="F234" s="2"/>
      <c r="G234" s="2"/>
      <c r="H234" s="8"/>
      <c r="I234" s="8"/>
      <c r="J234" s="2"/>
      <c r="K234" s="9"/>
      <c r="L234" s="8"/>
    </row>
    <row x14ac:dyDescent="0.25" r="235" customHeight="1" ht="18.75">
      <c r="A235" s="2" t="s">
        <v>227</v>
      </c>
      <c r="B235" s="11">
        <v>14.5</v>
      </c>
      <c r="C235" s="11">
        <f>IFERROR((B235-$H$3)/$I$3,"")</f>
      </c>
      <c r="D235" s="38">
        <f>IF(ABS(C235)&gt;2,"Yes","No")</f>
      </c>
      <c r="E235" s="11">
        <f>IFERROR((B235-$K$3) / ($L$3-$K$3),"")</f>
      </c>
      <c r="F235" s="2"/>
      <c r="G235" s="2"/>
      <c r="H235" s="8"/>
      <c r="I235" s="8"/>
      <c r="J235" s="2"/>
      <c r="K235" s="9"/>
      <c r="L235" s="8"/>
    </row>
    <row x14ac:dyDescent="0.25" r="236" customHeight="1" ht="18.75">
      <c r="A236" s="2" t="s">
        <v>228</v>
      </c>
      <c r="B236" s="11">
        <v>12.5</v>
      </c>
      <c r="C236" s="11">
        <f>IFERROR((B236-$H$3)/$I$3,"")</f>
      </c>
      <c r="D236" s="38">
        <f>IF(ABS(C236)&gt;2,"Yes","No")</f>
      </c>
      <c r="E236" s="11">
        <f>IFERROR((B236-$K$3) / ($L$3-$K$3),"")</f>
      </c>
      <c r="F236" s="2"/>
      <c r="G236" s="2"/>
      <c r="H236" s="8"/>
      <c r="I236" s="8"/>
      <c r="J236" s="2"/>
      <c r="K236" s="9"/>
      <c r="L236" s="8"/>
    </row>
    <row x14ac:dyDescent="0.25" r="237" customHeight="1" ht="18.75">
      <c r="A237" s="2" t="s">
        <v>229</v>
      </c>
      <c r="B237" s="11">
        <v>14.5</v>
      </c>
      <c r="C237" s="11">
        <f>IFERROR((B237-$H$3)/$I$3,"")</f>
      </c>
      <c r="D237" s="38">
        <f>IF(ABS(C237)&gt;2,"Yes","No")</f>
      </c>
      <c r="E237" s="11">
        <f>IFERROR((B237-$K$3) / ($L$3-$K$3),"")</f>
      </c>
      <c r="F237" s="2"/>
      <c r="G237" s="2"/>
      <c r="H237" s="8"/>
      <c r="I237" s="8"/>
      <c r="J237" s="2"/>
      <c r="K237" s="9"/>
      <c r="L237" s="8"/>
    </row>
    <row x14ac:dyDescent="0.25" r="238" customHeight="1" ht="18.75">
      <c r="A238" s="2" t="s">
        <v>230</v>
      </c>
      <c r="B238" s="3">
        <v>12</v>
      </c>
      <c r="C238" s="11">
        <f>IFERROR((B238-$H$3)/$I$3,"")</f>
      </c>
      <c r="D238" s="38">
        <f>IF(ABS(C238)&gt;2,"Yes","No")</f>
      </c>
      <c r="E238" s="11">
        <f>IFERROR((B238-$K$3) / ($L$3-$K$3),"")</f>
      </c>
      <c r="F238" s="2"/>
      <c r="G238" s="2"/>
      <c r="H238" s="8"/>
      <c r="I238" s="8"/>
      <c r="J238" s="2"/>
      <c r="K238" s="9"/>
      <c r="L238" s="8"/>
    </row>
    <row x14ac:dyDescent="0.25" r="239" customHeight="1" ht="18.75">
      <c r="A239" s="2" t="s">
        <v>165</v>
      </c>
      <c r="B239" s="3">
        <v>14</v>
      </c>
      <c r="C239" s="11">
        <f>IFERROR((B239-$H$3)/$I$3,"")</f>
      </c>
      <c r="D239" s="38">
        <f>IF(ABS(C239)&gt;2,"Yes","No")</f>
      </c>
      <c r="E239" s="11">
        <f>IFERROR((B239-$K$3) / ($L$3-$K$3),"")</f>
      </c>
      <c r="F239" s="2"/>
      <c r="G239" s="2"/>
      <c r="H239" s="8"/>
      <c r="I239" s="8"/>
      <c r="J239" s="2"/>
      <c r="K239" s="9"/>
      <c r="L239" s="8"/>
    </row>
    <row x14ac:dyDescent="0.25" r="240" customHeight="1" ht="18.75">
      <c r="A240" s="2" t="s">
        <v>231</v>
      </c>
      <c r="B240" s="11">
        <v>14.5</v>
      </c>
      <c r="C240" s="11">
        <f>IFERROR((B240-$H$3)/$I$3,"")</f>
      </c>
      <c r="D240" s="38">
        <f>IF(ABS(C240)&gt;2,"Yes","No")</f>
      </c>
      <c r="E240" s="11">
        <f>IFERROR((B240-$K$3) / ($L$3-$K$3),"")</f>
      </c>
      <c r="F240" s="2"/>
      <c r="G240" s="2"/>
      <c r="H240" s="8"/>
      <c r="I240" s="8"/>
      <c r="J240" s="2"/>
      <c r="K240" s="9"/>
      <c r="L240" s="8"/>
    </row>
    <row x14ac:dyDescent="0.25" r="241" customHeight="1" ht="18.75">
      <c r="A241" s="2" t="s">
        <v>185</v>
      </c>
      <c r="B241" s="11">
        <v>16.5</v>
      </c>
      <c r="C241" s="11">
        <f>IFERROR((B241-$H$3)/$I$3,"")</f>
      </c>
      <c r="D241" s="38">
        <f>IF(ABS(C241)&gt;2,"Yes","No")</f>
      </c>
      <c r="E241" s="11">
        <f>IFERROR((B241-$K$3) / ($L$3-$K$3),"")</f>
      </c>
      <c r="F241" s="2"/>
      <c r="G241" s="2"/>
      <c r="H241" s="8"/>
      <c r="I241" s="8"/>
      <c r="J241" s="2"/>
      <c r="K241" s="9"/>
      <c r="L241" s="8"/>
    </row>
    <row x14ac:dyDescent="0.25" r="242" customHeight="1" ht="18.75">
      <c r="A242" s="2" t="s">
        <v>198</v>
      </c>
      <c r="B242" s="3">
        <v>17</v>
      </c>
      <c r="C242" s="11">
        <f>IFERROR((B242-$H$3)/$I$3,"")</f>
      </c>
      <c r="D242" s="38">
        <f>IF(ABS(C242)&gt;2,"Yes","No")</f>
      </c>
      <c r="E242" s="11">
        <f>IFERROR((B242-$K$3) / ($L$3-$K$3),"")</f>
      </c>
      <c r="F242" s="2"/>
      <c r="G242" s="2"/>
      <c r="H242" s="8"/>
      <c r="I242" s="8"/>
      <c r="J242" s="2"/>
      <c r="K242" s="9"/>
      <c r="L242" s="8"/>
    </row>
    <row x14ac:dyDescent="0.25" r="243" customHeight="1" ht="18.75">
      <c r="A243" s="2" t="s">
        <v>159</v>
      </c>
      <c r="B243" s="3">
        <v>16</v>
      </c>
      <c r="C243" s="11">
        <f>IFERROR((B243-$H$3)/$I$3,"")</f>
      </c>
      <c r="D243" s="38">
        <f>IF(ABS(C243)&gt;2,"Yes","No")</f>
      </c>
      <c r="E243" s="11">
        <f>IFERROR((B243-$K$3) / ($L$3-$K$3),"")</f>
      </c>
      <c r="F243" s="2"/>
      <c r="G243" s="2"/>
      <c r="H243" s="8"/>
      <c r="I243" s="8"/>
      <c r="J243" s="2"/>
      <c r="K243" s="9"/>
      <c r="L243" s="8"/>
    </row>
    <row x14ac:dyDescent="0.25" r="244" customHeight="1" ht="18.75">
      <c r="A244" s="2" t="s">
        <v>161</v>
      </c>
      <c r="B244" s="11">
        <v>16.5</v>
      </c>
      <c r="C244" s="11">
        <f>IFERROR((B244-$H$3)/$I$3,"")</f>
      </c>
      <c r="D244" s="38">
        <f>IF(ABS(C244)&gt;2,"Yes","No")</f>
      </c>
      <c r="E244" s="11">
        <f>IFERROR((B244-$K$3) / ($L$3-$K$3),"")</f>
      </c>
      <c r="F244" s="2"/>
      <c r="G244" s="2"/>
      <c r="H244" s="8"/>
      <c r="I244" s="8"/>
      <c r="J244" s="2"/>
      <c r="K244" s="9"/>
      <c r="L244" s="8"/>
    </row>
    <row x14ac:dyDescent="0.25" r="245" customHeight="1" ht="18.75">
      <c r="A245" s="2" t="s">
        <v>189</v>
      </c>
      <c r="B245" s="3">
        <v>18</v>
      </c>
      <c r="C245" s="11">
        <f>IFERROR((B245-$H$3)/$I$3,"")</f>
      </c>
      <c r="D245" s="38">
        <f>IF(ABS(C245)&gt;2,"Yes","No")</f>
      </c>
      <c r="E245" s="11">
        <f>IFERROR((B245-$K$3) / ($L$3-$K$3),"")</f>
      </c>
      <c r="F245" s="2"/>
      <c r="G245" s="2"/>
      <c r="H245" s="8"/>
      <c r="I245" s="8"/>
      <c r="J245" s="2"/>
      <c r="K245" s="9"/>
      <c r="L245" s="8"/>
    </row>
    <row x14ac:dyDescent="0.25" r="246" customHeight="1" ht="18.75">
      <c r="A246" s="2" t="s">
        <v>232</v>
      </c>
      <c r="B246" s="3">
        <v>17</v>
      </c>
      <c r="C246" s="11">
        <f>IFERROR((B246-$H$3)/$I$3,"")</f>
      </c>
      <c r="D246" s="38">
        <f>IF(ABS(C246)&gt;2,"Yes","No")</f>
      </c>
      <c r="E246" s="11">
        <f>IFERROR((B246-$K$3) / ($L$3-$K$3),"")</f>
      </c>
      <c r="F246" s="2"/>
      <c r="G246" s="2"/>
      <c r="H246" s="8"/>
      <c r="I246" s="8"/>
      <c r="J246" s="2"/>
      <c r="K246" s="9"/>
      <c r="L246" s="8"/>
    </row>
    <row x14ac:dyDescent="0.25" r="247" customHeight="1" ht="18.75">
      <c r="A247" s="2" t="s">
        <v>233</v>
      </c>
      <c r="B247" s="11">
        <v>16.5</v>
      </c>
      <c r="C247" s="11">
        <f>IFERROR((B247-$H$3)/$I$3,"")</f>
      </c>
      <c r="D247" s="38">
        <f>IF(ABS(C247)&gt;2,"Yes","No")</f>
      </c>
      <c r="E247" s="11">
        <f>IFERROR((B247-$K$3) / ($L$3-$K$3),"")</f>
      </c>
      <c r="F247" s="2"/>
      <c r="G247" s="2"/>
      <c r="H247" s="8"/>
      <c r="I247" s="8"/>
      <c r="J247" s="2"/>
      <c r="K247" s="9"/>
      <c r="L247" s="8"/>
    </row>
    <row x14ac:dyDescent="0.25" r="248" customHeight="1" ht="18.75">
      <c r="A248" s="2" t="s">
        <v>234</v>
      </c>
      <c r="B248" s="3">
        <v>17</v>
      </c>
      <c r="C248" s="11">
        <f>IFERROR((B248-$H$3)/$I$3,"")</f>
      </c>
      <c r="D248" s="38">
        <f>IF(ABS(C248)&gt;2,"Yes","No")</f>
      </c>
      <c r="E248" s="11">
        <f>IFERROR((B248-$K$3) / ($L$3-$K$3),"")</f>
      </c>
      <c r="F248" s="2"/>
      <c r="G248" s="2"/>
      <c r="H248" s="8"/>
      <c r="I248" s="8"/>
      <c r="J248" s="2"/>
      <c r="K248" s="9"/>
      <c r="L248" s="8"/>
    </row>
    <row x14ac:dyDescent="0.25" r="249" customHeight="1" ht="18.75">
      <c r="A249" s="2" t="s">
        <v>162</v>
      </c>
      <c r="B249" s="3">
        <v>17</v>
      </c>
      <c r="C249" s="11">
        <f>IFERROR((B249-$H$3)/$I$3,"")</f>
      </c>
      <c r="D249" s="38">
        <f>IF(ABS(C249)&gt;2,"Yes","No")</f>
      </c>
      <c r="E249" s="11">
        <f>IFERROR((B249-$K$3) / ($L$3-$K$3),"")</f>
      </c>
      <c r="F249" s="2"/>
      <c r="G249" s="2"/>
      <c r="H249" s="8"/>
      <c r="I249" s="8"/>
      <c r="J249" s="2"/>
      <c r="K249" s="9"/>
      <c r="L249" s="8"/>
    </row>
    <row x14ac:dyDescent="0.25" r="250" customHeight="1" ht="18.75">
      <c r="A250" s="2" t="s">
        <v>204</v>
      </c>
      <c r="B250" s="11">
        <v>15.5</v>
      </c>
      <c r="C250" s="11">
        <f>IFERROR((B250-$H$3)/$I$3,"")</f>
      </c>
      <c r="D250" s="38">
        <f>IF(ABS(C250)&gt;2,"Yes","No")</f>
      </c>
      <c r="E250" s="11">
        <f>IFERROR((B250-$K$3) / ($L$3-$K$3),"")</f>
      </c>
      <c r="F250" s="2"/>
      <c r="G250" s="2"/>
      <c r="H250" s="8"/>
      <c r="I250" s="8"/>
      <c r="J250" s="2"/>
      <c r="K250" s="9"/>
      <c r="L250" s="8"/>
    </row>
    <row x14ac:dyDescent="0.25" r="251" customHeight="1" ht="18.75">
      <c r="A251" s="2" t="s">
        <v>229</v>
      </c>
      <c r="B251" s="3">
        <v>14</v>
      </c>
      <c r="C251" s="11">
        <f>IFERROR((B251-$H$3)/$I$3,"")</f>
      </c>
      <c r="D251" s="38">
        <f>IF(ABS(C251)&gt;2,"Yes","No")</f>
      </c>
      <c r="E251" s="11">
        <f>IFERROR((B251-$K$3) / ($L$3-$K$3),"")</f>
      </c>
      <c r="F251" s="2"/>
      <c r="G251" s="2"/>
      <c r="H251" s="8"/>
      <c r="I251" s="8"/>
      <c r="J251" s="2"/>
      <c r="K251" s="9"/>
      <c r="L251" s="8"/>
    </row>
    <row x14ac:dyDescent="0.25" r="252" customHeight="1" ht="18.75">
      <c r="A252" s="2" t="s">
        <v>235</v>
      </c>
      <c r="B252" s="11">
        <v>13.5</v>
      </c>
      <c r="C252" s="11">
        <f>IFERROR((B252-$H$3)/$I$3,"")</f>
      </c>
      <c r="D252" s="38">
        <f>IF(ABS(C252)&gt;2,"Yes","No")</f>
      </c>
      <c r="E252" s="11">
        <f>IFERROR((B252-$K$3) / ($L$3-$K$3),"")</f>
      </c>
      <c r="F252" s="2"/>
      <c r="G252" s="2"/>
      <c r="H252" s="8"/>
      <c r="I252" s="8"/>
      <c r="J252" s="2"/>
      <c r="K252" s="9"/>
      <c r="L252" s="8"/>
    </row>
    <row x14ac:dyDescent="0.25" r="253" customHeight="1" ht="18.75">
      <c r="A253" s="2" t="s">
        <v>236</v>
      </c>
      <c r="B253" s="11">
        <v>14.5</v>
      </c>
      <c r="C253" s="11">
        <f>IFERROR((B253-$H$3)/$I$3,"")</f>
      </c>
      <c r="D253" s="38">
        <f>IF(ABS(C253)&gt;2,"Yes","No")</f>
      </c>
      <c r="E253" s="11">
        <f>IFERROR((B253-$K$3) / ($L$3-$K$3),"")</f>
      </c>
      <c r="F253" s="2"/>
      <c r="G253" s="2"/>
      <c r="H253" s="8"/>
      <c r="I253" s="8"/>
      <c r="J253" s="2"/>
      <c r="K253" s="9"/>
      <c r="L253" s="8"/>
    </row>
    <row x14ac:dyDescent="0.25" r="254" customHeight="1" ht="18.75">
      <c r="A254" s="2" t="s">
        <v>208</v>
      </c>
      <c r="B254" s="3">
        <v>16</v>
      </c>
      <c r="C254" s="11">
        <f>IFERROR((B254-$H$3)/$I$3,"")</f>
      </c>
      <c r="D254" s="38">
        <f>IF(ABS(C254)&gt;2,"Yes","No")</f>
      </c>
      <c r="E254" s="11">
        <f>IFERROR((B254-$K$3) / ($L$3-$K$3),"")</f>
      </c>
      <c r="F254" s="2"/>
      <c r="G254" s="2"/>
      <c r="H254" s="8"/>
      <c r="I254" s="8"/>
      <c r="J254" s="2"/>
      <c r="K254" s="9"/>
      <c r="L254" s="8"/>
    </row>
    <row x14ac:dyDescent="0.25" r="255" customHeight="1" ht="18.75">
      <c r="A255" s="2" t="s">
        <v>185</v>
      </c>
      <c r="B255" s="3">
        <v>17</v>
      </c>
      <c r="C255" s="11">
        <f>IFERROR((B255-$H$3)/$I$3,"")</f>
      </c>
      <c r="D255" s="38">
        <f>IF(ABS(C255)&gt;2,"Yes","No")</f>
      </c>
      <c r="E255" s="11">
        <f>IFERROR((B255-$K$3) / ($L$3-$K$3),"")</f>
      </c>
      <c r="F255" s="2"/>
      <c r="G255" s="2"/>
      <c r="H255" s="8"/>
      <c r="I255" s="8"/>
      <c r="J255" s="2"/>
      <c r="K255" s="9"/>
      <c r="L255" s="8"/>
    </row>
    <row x14ac:dyDescent="0.25" r="256" customHeight="1" ht="18.75">
      <c r="A256" s="2" t="s">
        <v>237</v>
      </c>
      <c r="B256" s="11">
        <v>18.5</v>
      </c>
      <c r="C256" s="11">
        <f>IFERROR((B256-$H$3)/$I$3,"")</f>
      </c>
      <c r="D256" s="38">
        <f>IF(ABS(C256)&gt;2,"Yes","No")</f>
      </c>
      <c r="E256" s="11">
        <f>IFERROR((B256-$K$3) / ($L$3-$K$3),"")</f>
      </c>
      <c r="F256" s="2"/>
      <c r="G256" s="2"/>
      <c r="H256" s="8"/>
      <c r="I256" s="8"/>
      <c r="J256" s="2"/>
      <c r="K256" s="9"/>
      <c r="L256" s="8"/>
    </row>
    <row x14ac:dyDescent="0.25" r="257" customHeight="1" ht="18.75">
      <c r="A257" s="2" t="s">
        <v>238</v>
      </c>
      <c r="B257" s="3">
        <v>15</v>
      </c>
      <c r="C257" s="11">
        <f>IFERROR((B257-$H$3)/$I$3,"")</f>
      </c>
      <c r="D257" s="38">
        <f>IF(ABS(C257)&gt;2,"Yes","No")</f>
      </c>
      <c r="E257" s="11">
        <f>IFERROR((B257-$K$3) / ($L$3-$K$3),"")</f>
      </c>
      <c r="F257" s="2"/>
      <c r="G257" s="2"/>
      <c r="H257" s="8"/>
      <c r="I257" s="8"/>
      <c r="J257" s="2"/>
      <c r="K257" s="9"/>
      <c r="L257" s="8"/>
    </row>
    <row x14ac:dyDescent="0.25" r="258" customHeight="1" ht="18.75">
      <c r="A258" s="2" t="s">
        <v>160</v>
      </c>
      <c r="B258" s="3">
        <v>16</v>
      </c>
      <c r="C258" s="11">
        <f>IFERROR((B258-$H$3)/$I$3,"")</f>
      </c>
      <c r="D258" s="38">
        <f>IF(ABS(C258)&gt;2,"Yes","No")</f>
      </c>
      <c r="E258" s="11">
        <f>IFERROR((B258-$K$3) / ($L$3-$K$3),"")</f>
      </c>
      <c r="F258" s="2"/>
      <c r="G258" s="2"/>
      <c r="H258" s="8"/>
      <c r="I258" s="8"/>
      <c r="J258" s="2"/>
      <c r="K258" s="9"/>
      <c r="L258" s="8"/>
    </row>
    <row x14ac:dyDescent="0.25" r="259" customHeight="1" ht="18.75">
      <c r="A259" s="2" t="s">
        <v>185</v>
      </c>
      <c r="B259" s="11">
        <v>14.5</v>
      </c>
      <c r="C259" s="11">
        <f>IFERROR((B259-$H$3)/$I$3,"")</f>
      </c>
      <c r="D259" s="38">
        <f>IF(ABS(C259)&gt;2,"Yes","No")</f>
      </c>
      <c r="E259" s="11">
        <f>IFERROR((B259-$K$3) / ($L$3-$K$3),"")</f>
      </c>
      <c r="F259" s="2"/>
      <c r="G259" s="2"/>
      <c r="H259" s="8"/>
      <c r="I259" s="8"/>
      <c r="J259" s="2"/>
      <c r="K259" s="9"/>
      <c r="L259" s="8"/>
    </row>
    <row x14ac:dyDescent="0.25" r="260" customHeight="1" ht="18.75">
      <c r="A260" s="2" t="s">
        <v>232</v>
      </c>
      <c r="B260" s="3">
        <v>16</v>
      </c>
      <c r="C260" s="11">
        <f>IFERROR((B260-$H$3)/$I$3,"")</f>
      </c>
      <c r="D260" s="38">
        <f>IF(ABS(C260)&gt;2,"Yes","No")</f>
      </c>
      <c r="E260" s="11">
        <f>IFERROR((B260-$K$3) / ($L$3-$K$3),"")</f>
      </c>
      <c r="F260" s="2"/>
      <c r="G260" s="2"/>
      <c r="H260" s="8"/>
      <c r="I260" s="8"/>
      <c r="J260" s="2"/>
      <c r="K260" s="9"/>
      <c r="L260" s="8"/>
    </row>
    <row x14ac:dyDescent="0.25" r="261" customHeight="1" ht="18.75">
      <c r="A261" s="2" t="s">
        <v>189</v>
      </c>
      <c r="B261" s="3">
        <v>19</v>
      </c>
      <c r="C261" s="11">
        <f>IFERROR((B261-$H$3)/$I$3,"")</f>
      </c>
      <c r="D261" s="38">
        <f>IF(ABS(C261)&gt;2,"Yes","No")</f>
      </c>
      <c r="E261" s="11">
        <f>IFERROR((B261-$K$3) / ($L$3-$K$3),"")</f>
      </c>
      <c r="F261" s="2"/>
      <c r="G261" s="2"/>
      <c r="H261" s="8"/>
      <c r="I261" s="8"/>
      <c r="J261" s="2"/>
      <c r="K261" s="9"/>
      <c r="L261" s="8"/>
    </row>
    <row x14ac:dyDescent="0.25" r="262" customHeight="1" ht="18.75">
      <c r="A262" s="2" t="s">
        <v>239</v>
      </c>
      <c r="B262" s="3">
        <v>16</v>
      </c>
      <c r="C262" s="11">
        <f>IFERROR((B262-$H$3)/$I$3,"")</f>
      </c>
      <c r="D262" s="38">
        <f>IF(ABS(C262)&gt;2,"Yes","No")</f>
      </c>
      <c r="E262" s="11">
        <f>IFERROR((B262-$K$3) / ($L$3-$K$3),"")</f>
      </c>
      <c r="F262" s="2"/>
      <c r="G262" s="2"/>
      <c r="H262" s="8"/>
      <c r="I262" s="8"/>
      <c r="J262" s="2"/>
      <c r="K262" s="9"/>
      <c r="L262" s="8"/>
    </row>
    <row x14ac:dyDescent="0.25" r="263" customHeight="1" ht="18.75">
      <c r="A263" s="2" t="s">
        <v>240</v>
      </c>
      <c r="B263" s="3">
        <v>21</v>
      </c>
      <c r="C263" s="11">
        <f>IFERROR((B263-$H$3)/$I$3,"")</f>
      </c>
      <c r="D263" s="38">
        <f>IF(ABS(C263)&gt;2,"Yes","No")</f>
      </c>
      <c r="E263" s="11">
        <f>IFERROR((B263-$K$3) / ($L$3-$K$3),"")</f>
      </c>
      <c r="F263" s="2"/>
      <c r="G263" s="2"/>
      <c r="H263" s="8"/>
      <c r="I263" s="8"/>
      <c r="J263" s="2"/>
      <c r="K263" s="9"/>
      <c r="L263" s="8"/>
    </row>
    <row x14ac:dyDescent="0.25" r="264" customHeight="1" ht="18.75">
      <c r="A264" s="2" t="s">
        <v>241</v>
      </c>
      <c r="B264" s="3">
        <v>17</v>
      </c>
      <c r="C264" s="11">
        <f>IFERROR((B264-$H$3)/$I$3,"")</f>
      </c>
      <c r="D264" s="38">
        <f>IF(ABS(C264)&gt;2,"Yes","No")</f>
      </c>
      <c r="E264" s="11">
        <f>IFERROR((B264-$K$3) / ($L$3-$K$3),"")</f>
      </c>
      <c r="F264" s="2"/>
      <c r="G264" s="2"/>
      <c r="H264" s="8"/>
      <c r="I264" s="8"/>
      <c r="J264" s="2"/>
      <c r="K264" s="9"/>
      <c r="L264" s="8"/>
    </row>
    <row x14ac:dyDescent="0.25" r="265" customHeight="1" ht="18.75">
      <c r="A265" s="2" t="s">
        <v>242</v>
      </c>
      <c r="B265" s="11">
        <v>18.5</v>
      </c>
      <c r="C265" s="11">
        <f>IFERROR((B265-$H$3)/$I$3,"")</f>
      </c>
      <c r="D265" s="38">
        <f>IF(ABS(C265)&gt;2,"Yes","No")</f>
      </c>
      <c r="E265" s="11">
        <f>IFERROR((B265-$K$3) / ($L$3-$K$3),"")</f>
      </c>
      <c r="F265" s="2"/>
      <c r="G265" s="2"/>
      <c r="H265" s="8"/>
      <c r="I265" s="8"/>
      <c r="J265" s="2"/>
      <c r="K265" s="9"/>
      <c r="L265" s="8"/>
    </row>
    <row x14ac:dyDescent="0.25" r="266" customHeight="1" ht="18.75">
      <c r="A266" s="2" t="s">
        <v>243</v>
      </c>
      <c r="B266" s="3">
        <v>19</v>
      </c>
      <c r="C266" s="11">
        <f>IFERROR((B266-$H$3)/$I$3,"")</f>
      </c>
      <c r="D266" s="38">
        <f>IF(ABS(C266)&gt;2,"Yes","No")</f>
      </c>
      <c r="E266" s="11">
        <f>IFERROR((B266-$K$3) / ($L$3-$K$3),"")</f>
      </c>
      <c r="F266" s="2"/>
      <c r="G266" s="2"/>
      <c r="H266" s="8"/>
      <c r="I266" s="8"/>
      <c r="J266" s="2"/>
      <c r="K266" s="9"/>
      <c r="L266" s="8"/>
    </row>
    <row x14ac:dyDescent="0.25" r="267" customHeight="1" ht="18.75">
      <c r="A267" s="2" t="s">
        <v>162</v>
      </c>
      <c r="B267" s="11">
        <v>19.5</v>
      </c>
      <c r="C267" s="11">
        <f>IFERROR((B267-$H$3)/$I$3,"")</f>
      </c>
      <c r="D267" s="38">
        <f>IF(ABS(C267)&gt;2,"Yes","No")</f>
      </c>
      <c r="E267" s="11">
        <f>IFERROR((B267-$K$3) / ($L$3-$K$3),"")</f>
      </c>
      <c r="F267" s="2"/>
      <c r="G267" s="2"/>
      <c r="H267" s="8"/>
      <c r="I267" s="8"/>
      <c r="J267" s="2"/>
      <c r="K267" s="9"/>
      <c r="L267" s="8"/>
    </row>
    <row x14ac:dyDescent="0.25" r="268" customHeight="1" ht="18.75">
      <c r="A268" s="2" t="s">
        <v>244</v>
      </c>
      <c r="B268" s="3">
        <v>21</v>
      </c>
      <c r="C268" s="11">
        <f>IFERROR((B268-$H$3)/$I$3,"")</f>
      </c>
      <c r="D268" s="38">
        <f>IF(ABS(C268)&gt;2,"Yes","No")</f>
      </c>
      <c r="E268" s="11">
        <f>IFERROR((B268-$K$3) / ($L$3-$K$3),"")</f>
      </c>
      <c r="F268" s="2"/>
      <c r="G268" s="2"/>
      <c r="H268" s="8"/>
      <c r="I268" s="8"/>
      <c r="J268" s="2"/>
      <c r="K268" s="9"/>
      <c r="L268" s="8"/>
    </row>
    <row x14ac:dyDescent="0.25" r="269" customHeight="1" ht="18.75">
      <c r="A269" s="2" t="s">
        <v>245</v>
      </c>
      <c r="B269" s="3">
        <v>12</v>
      </c>
      <c r="C269" s="11">
        <f>IFERROR((B269-$H$3)/$I$3,"")</f>
      </c>
      <c r="D269" s="38">
        <f>IF(ABS(C269)&gt;2,"Yes","No")</f>
      </c>
      <c r="E269" s="11">
        <f>IFERROR((B269-$K$3) / ($L$3-$K$3),"")</f>
      </c>
      <c r="F269" s="2"/>
      <c r="G269" s="2"/>
      <c r="H269" s="8"/>
      <c r="I269" s="8"/>
      <c r="J269" s="2"/>
      <c r="K269" s="9"/>
      <c r="L269" s="8"/>
    </row>
    <row x14ac:dyDescent="0.25" r="270" customHeight="1" ht="18.75">
      <c r="A270" s="2" t="s">
        <v>164</v>
      </c>
      <c r="B270" s="11">
        <v>11.5</v>
      </c>
      <c r="C270" s="11">
        <f>IFERROR((B270-$H$3)/$I$3,"")</f>
      </c>
      <c r="D270" s="38">
        <f>IF(ABS(C270)&gt;2,"Yes","No")</f>
      </c>
      <c r="E270" s="11">
        <f>IFERROR((B270-$K$3) / ($L$3-$K$3),"")</f>
      </c>
      <c r="F270" s="2"/>
      <c r="G270" s="2"/>
      <c r="H270" s="8"/>
      <c r="I270" s="8"/>
      <c r="J270" s="2"/>
      <c r="K270" s="9"/>
      <c r="L270" s="8"/>
    </row>
    <row x14ac:dyDescent="0.25" r="271" customHeight="1" ht="18.75">
      <c r="A271" s="2" t="s">
        <v>246</v>
      </c>
      <c r="B271" s="11">
        <v>13.5</v>
      </c>
      <c r="C271" s="11">
        <f>IFERROR((B271-$H$3)/$I$3,"")</f>
      </c>
      <c r="D271" s="38">
        <f>IF(ABS(C271)&gt;2,"Yes","No")</f>
      </c>
      <c r="E271" s="11">
        <f>IFERROR((B271-$K$3) / ($L$3-$K$3),"")</f>
      </c>
      <c r="F271" s="2"/>
      <c r="G271" s="2"/>
      <c r="H271" s="8"/>
      <c r="I271" s="8"/>
      <c r="J271" s="2"/>
      <c r="K271" s="9"/>
      <c r="L271" s="8"/>
    </row>
    <row x14ac:dyDescent="0.25" r="272" customHeight="1" ht="18.75">
      <c r="A272" s="2" t="s">
        <v>247</v>
      </c>
      <c r="B272" s="11">
        <v>14.5</v>
      </c>
      <c r="C272" s="11">
        <f>IFERROR((B272-$H$3)/$I$3,"")</f>
      </c>
      <c r="D272" s="38">
        <f>IF(ABS(C272)&gt;2,"Yes","No")</f>
      </c>
      <c r="E272" s="11">
        <f>IFERROR((B272-$K$3) / ($L$3-$K$3),"")</f>
      </c>
      <c r="F272" s="2"/>
      <c r="G272" s="2"/>
      <c r="H272" s="8"/>
      <c r="I272" s="8"/>
      <c r="J272" s="2"/>
      <c r="K272" s="9"/>
      <c r="L272" s="8"/>
    </row>
    <row x14ac:dyDescent="0.25" r="273" customHeight="1" ht="18.75">
      <c r="A273" s="2" t="s">
        <v>248</v>
      </c>
      <c r="B273" s="3">
        <v>14</v>
      </c>
      <c r="C273" s="11">
        <f>IFERROR((B273-$H$3)/$I$3,"")</f>
      </c>
      <c r="D273" s="38">
        <f>IF(ABS(C273)&gt;2,"Yes","No")</f>
      </c>
      <c r="E273" s="11">
        <f>IFERROR((B273-$K$3) / ($L$3-$K$3),"")</f>
      </c>
      <c r="F273" s="2"/>
      <c r="G273" s="2"/>
      <c r="H273" s="8"/>
      <c r="I273" s="8"/>
      <c r="J273" s="2"/>
      <c r="K273" s="9"/>
      <c r="L273" s="8"/>
    </row>
    <row x14ac:dyDescent="0.25" r="274" customHeight="1" ht="18.75">
      <c r="A274" s="2" t="s">
        <v>225</v>
      </c>
      <c r="B274" s="11">
        <v>13.5</v>
      </c>
      <c r="C274" s="11">
        <f>IFERROR((B274-$H$3)/$I$3,"")</f>
      </c>
      <c r="D274" s="38">
        <f>IF(ABS(C274)&gt;2,"Yes","No")</f>
      </c>
      <c r="E274" s="11">
        <f>IFERROR((B274-$K$3) / ($L$3-$K$3),"")</f>
      </c>
      <c r="F274" s="2"/>
      <c r="G274" s="2"/>
      <c r="H274" s="8"/>
      <c r="I274" s="8"/>
      <c r="J274" s="2"/>
      <c r="K274" s="9"/>
      <c r="L274" s="8"/>
    </row>
    <row x14ac:dyDescent="0.25" r="275" customHeight="1" ht="18.75">
      <c r="A275" s="2" t="s">
        <v>249</v>
      </c>
      <c r="B275" s="11">
        <v>14.9</v>
      </c>
      <c r="C275" s="11">
        <f>IFERROR((B275-$H$3)/$I$3,"")</f>
      </c>
      <c r="D275" s="38">
        <f>IF(ABS(C275)&gt;2,"Yes","No")</f>
      </c>
      <c r="E275" s="11">
        <f>IFERROR((B275-$K$3) / ($L$3-$K$3),"")</f>
      </c>
      <c r="F275" s="2"/>
      <c r="G275" s="2"/>
      <c r="H275" s="8"/>
      <c r="I275" s="8"/>
      <c r="J275" s="2"/>
      <c r="K275" s="9"/>
      <c r="L275" s="8"/>
    </row>
    <row x14ac:dyDescent="0.25" r="276" customHeight="1" ht="18.75">
      <c r="A276" s="2" t="s">
        <v>231</v>
      </c>
      <c r="B276" s="11">
        <v>17.7</v>
      </c>
      <c r="C276" s="11">
        <f>IFERROR((B276-$H$3)/$I$3,"")</f>
      </c>
      <c r="D276" s="38">
        <f>IF(ABS(C276)&gt;2,"Yes","No")</f>
      </c>
      <c r="E276" s="11">
        <f>IFERROR((B276-$K$3) / ($L$3-$K$3),"")</f>
      </c>
      <c r="F276" s="2"/>
      <c r="G276" s="2"/>
      <c r="H276" s="8"/>
      <c r="I276" s="8"/>
      <c r="J276" s="2"/>
      <c r="K276" s="9"/>
      <c r="L276" s="8"/>
    </row>
    <row x14ac:dyDescent="0.25" r="277" customHeight="1" ht="18.75">
      <c r="A277" s="2" t="s">
        <v>185</v>
      </c>
      <c r="B277" s="11">
        <v>13.6</v>
      </c>
      <c r="C277" s="11">
        <f>IFERROR((B277-$H$3)/$I$3,"")</f>
      </c>
      <c r="D277" s="38">
        <f>IF(ABS(C277)&gt;2,"Yes","No")</f>
      </c>
      <c r="E277" s="11">
        <f>IFERROR((B277-$K$3) / ($L$3-$K$3),"")</f>
      </c>
      <c r="F277" s="2"/>
      <c r="G277" s="2"/>
      <c r="H277" s="8"/>
      <c r="I277" s="8"/>
      <c r="J277" s="2"/>
      <c r="K277" s="9"/>
      <c r="L277" s="8"/>
    </row>
    <row x14ac:dyDescent="0.25" r="278" customHeight="1" ht="18.75">
      <c r="A278" s="2" t="s">
        <v>250</v>
      </c>
      <c r="B278" s="11">
        <v>22.1</v>
      </c>
      <c r="C278" s="11">
        <f>IFERROR((B278-$H$3)/$I$3,"")</f>
      </c>
      <c r="D278" s="38">
        <f>IF(ABS(C278)&gt;2,"Yes","No")</f>
      </c>
      <c r="E278" s="11">
        <f>IFERROR((B278-$K$3) / ($L$3-$K$3),"")</f>
      </c>
      <c r="F278" s="2"/>
      <c r="G278" s="2"/>
      <c r="H278" s="8"/>
      <c r="I278" s="8"/>
      <c r="J278" s="2"/>
      <c r="K278" s="9"/>
      <c r="L278" s="8"/>
    </row>
    <row x14ac:dyDescent="0.25" r="279" customHeight="1" ht="18.75">
      <c r="A279" s="2" t="s">
        <v>251</v>
      </c>
      <c r="B279" s="11">
        <v>22.2</v>
      </c>
      <c r="C279" s="11">
        <f>IFERROR((B279-$H$3)/$I$3,"")</f>
      </c>
      <c r="D279" s="38">
        <f>IF(ABS(C279)&gt;2,"Yes","No")</f>
      </c>
      <c r="E279" s="11">
        <f>IFERROR((B279-$K$3) / ($L$3-$K$3),"")</f>
      </c>
      <c r="F279" s="2"/>
      <c r="G279" s="2"/>
      <c r="H279" s="8"/>
      <c r="I279" s="8"/>
      <c r="J279" s="2"/>
      <c r="K279" s="9"/>
      <c r="L279" s="8"/>
    </row>
    <row x14ac:dyDescent="0.25" r="280" customHeight="1" ht="18.75">
      <c r="A280" s="2" t="s">
        <v>232</v>
      </c>
      <c r="B280" s="11">
        <v>14.5</v>
      </c>
      <c r="C280" s="11">
        <f>IFERROR((B280-$H$3)/$I$3,"")</f>
      </c>
      <c r="D280" s="38">
        <f>IF(ABS(C280)&gt;2,"Yes","No")</f>
      </c>
      <c r="E280" s="11">
        <f>IFERROR((B280-$K$3) / ($L$3-$K$3),"")</f>
      </c>
      <c r="F280" s="2"/>
      <c r="G280" s="2"/>
      <c r="H280" s="8"/>
      <c r="I280" s="8"/>
      <c r="J280" s="2"/>
      <c r="K280" s="9"/>
      <c r="L280" s="8"/>
    </row>
    <row x14ac:dyDescent="0.25" r="281" customHeight="1" ht="18.75">
      <c r="A281" s="2" t="s">
        <v>211</v>
      </c>
      <c r="B281" s="11">
        <v>15.4</v>
      </c>
      <c r="C281" s="11">
        <f>IFERROR((B281-$H$3)/$I$3,"")</f>
      </c>
      <c r="D281" s="38">
        <f>IF(ABS(C281)&gt;2,"Yes","No")</f>
      </c>
      <c r="E281" s="11">
        <f>IFERROR((B281-$K$3) / ($L$3-$K$3),"")</f>
      </c>
      <c r="F281" s="2"/>
      <c r="G281" s="2"/>
      <c r="H281" s="8"/>
      <c r="I281" s="8"/>
      <c r="J281" s="2"/>
      <c r="K281" s="9"/>
      <c r="L281" s="8"/>
    </row>
    <row x14ac:dyDescent="0.25" r="282" customHeight="1" ht="18.75">
      <c r="A282" s="2" t="s">
        <v>252</v>
      </c>
      <c r="B282" s="11">
        <v>16.2</v>
      </c>
      <c r="C282" s="11">
        <f>IFERROR((B282-$H$3)/$I$3,"")</f>
      </c>
      <c r="D282" s="38">
        <f>IF(ABS(C282)&gt;2,"Yes","No")</f>
      </c>
      <c r="E282" s="11">
        <f>IFERROR((B282-$K$3) / ($L$3-$K$3),"")</f>
      </c>
      <c r="F282" s="2"/>
      <c r="G282" s="2"/>
      <c r="H282" s="8"/>
      <c r="I282" s="8"/>
      <c r="J282" s="2"/>
      <c r="K282" s="9"/>
      <c r="L282" s="8"/>
    </row>
    <row x14ac:dyDescent="0.25" r="283" customHeight="1" ht="18.75">
      <c r="A283" s="2" t="s">
        <v>253</v>
      </c>
      <c r="B283" s="11">
        <v>17.8</v>
      </c>
      <c r="C283" s="11">
        <f>IFERROR((B283-$H$3)/$I$3,"")</f>
      </c>
      <c r="D283" s="38">
        <f>IF(ABS(C283)&gt;2,"Yes","No")</f>
      </c>
      <c r="E283" s="11">
        <f>IFERROR((B283-$K$3) / ($L$3-$K$3),"")</f>
      </c>
      <c r="F283" s="2"/>
      <c r="G283" s="2"/>
      <c r="H283" s="8"/>
      <c r="I283" s="8"/>
      <c r="J283" s="2"/>
      <c r="K283" s="9"/>
      <c r="L283" s="8"/>
    </row>
    <row x14ac:dyDescent="0.25" r="284" customHeight="1" ht="18.75">
      <c r="A284" s="2" t="s">
        <v>159</v>
      </c>
      <c r="B284" s="11">
        <v>17.6</v>
      </c>
      <c r="C284" s="11">
        <f>IFERROR((B284-$H$3)/$I$3,"")</f>
      </c>
      <c r="D284" s="38">
        <f>IF(ABS(C284)&gt;2,"Yes","No")</f>
      </c>
      <c r="E284" s="11">
        <f>IFERROR((B284-$K$3) / ($L$3-$K$3),"")</f>
      </c>
      <c r="F284" s="2"/>
      <c r="G284" s="2"/>
      <c r="H284" s="8"/>
      <c r="I284" s="8"/>
      <c r="J284" s="2"/>
      <c r="K284" s="9"/>
      <c r="L284" s="8"/>
    </row>
    <row x14ac:dyDescent="0.25" r="285" customHeight="1" ht="18.75">
      <c r="A285" s="2" t="s">
        <v>254</v>
      </c>
      <c r="B285" s="11">
        <v>17.7</v>
      </c>
      <c r="C285" s="11">
        <f>IFERROR((B285-$H$3)/$I$3,"")</f>
      </c>
      <c r="D285" s="38">
        <f>IF(ABS(C285)&gt;2,"Yes","No")</f>
      </c>
      <c r="E285" s="11">
        <f>IFERROR((B285-$K$3) / ($L$3-$K$3),"")</f>
      </c>
      <c r="F285" s="2"/>
      <c r="G285" s="2"/>
      <c r="H285" s="8"/>
      <c r="I285" s="8"/>
      <c r="J285" s="2"/>
      <c r="K285" s="9"/>
      <c r="L285" s="8"/>
    </row>
    <row x14ac:dyDescent="0.25" r="286" customHeight="1" ht="18.75">
      <c r="A286" s="2" t="s">
        <v>162</v>
      </c>
      <c r="B286" s="11">
        <v>17.6</v>
      </c>
      <c r="C286" s="11">
        <f>IFERROR((B286-$H$3)/$I$3,"")</f>
      </c>
      <c r="D286" s="38">
        <f>IF(ABS(C286)&gt;2,"Yes","No")</f>
      </c>
      <c r="E286" s="11">
        <f>IFERROR((B286-$K$3) / ($L$3-$K$3),"")</f>
      </c>
      <c r="F286" s="2"/>
      <c r="G286" s="2"/>
      <c r="H286" s="8"/>
      <c r="I286" s="8"/>
      <c r="J286" s="2"/>
      <c r="K286" s="9"/>
      <c r="L286" s="8"/>
    </row>
    <row x14ac:dyDescent="0.25" r="287" customHeight="1" ht="18.75">
      <c r="A287" s="2" t="s">
        <v>255</v>
      </c>
      <c r="B287" s="3">
        <v>21</v>
      </c>
      <c r="C287" s="11">
        <f>IFERROR((B287-$H$3)/$I$3,"")</f>
      </c>
      <c r="D287" s="38">
        <f>IF(ABS(C287)&gt;2,"Yes","No")</f>
      </c>
      <c r="E287" s="11">
        <f>IFERROR((B287-$K$3) / ($L$3-$K$3),"")</f>
      </c>
      <c r="F287" s="2"/>
      <c r="G287" s="2"/>
      <c r="H287" s="8"/>
      <c r="I287" s="8"/>
      <c r="J287" s="2"/>
      <c r="K287" s="9"/>
      <c r="L287" s="8"/>
    </row>
    <row x14ac:dyDescent="0.25" r="288" customHeight="1" ht="18.75">
      <c r="A288" s="2" t="s">
        <v>256</v>
      </c>
      <c r="B288" s="11">
        <v>12.1</v>
      </c>
      <c r="C288" s="11">
        <f>IFERROR((B288-$H$3)/$I$3,"")</f>
      </c>
      <c r="D288" s="38">
        <f>IF(ABS(C288)&gt;2,"Yes","No")</f>
      </c>
      <c r="E288" s="11">
        <f>IFERROR((B288-$K$3) / ($L$3-$K$3),"")</f>
      </c>
      <c r="F288" s="2"/>
      <c r="G288" s="2"/>
      <c r="H288" s="8"/>
      <c r="I288" s="8"/>
      <c r="J288" s="2"/>
      <c r="K288" s="9"/>
      <c r="L288" s="8"/>
    </row>
    <row x14ac:dyDescent="0.25" r="289" customHeight="1" ht="18.75">
      <c r="A289" s="2" t="s">
        <v>257</v>
      </c>
      <c r="B289" s="3">
        <v>14</v>
      </c>
      <c r="C289" s="11">
        <f>IFERROR((B289-$H$3)/$I$3,"")</f>
      </c>
      <c r="D289" s="38">
        <f>IF(ABS(C289)&gt;2,"Yes","No")</f>
      </c>
      <c r="E289" s="11">
        <f>IFERROR((B289-$K$3) / ($L$3-$K$3),"")</f>
      </c>
      <c r="F289" s="2"/>
      <c r="G289" s="2"/>
      <c r="H289" s="8"/>
      <c r="I289" s="8"/>
      <c r="J289" s="2"/>
      <c r="K289" s="9"/>
      <c r="L289" s="8"/>
    </row>
    <row x14ac:dyDescent="0.25" r="290" customHeight="1" ht="18.75">
      <c r="A290" s="2" t="s">
        <v>258</v>
      </c>
      <c r="B290" s="11">
        <v>13.2</v>
      </c>
      <c r="C290" s="11">
        <f>IFERROR((B290-$H$3)/$I$3,"")</f>
      </c>
      <c r="D290" s="38">
        <f>IF(ABS(C290)&gt;2,"Yes","No")</f>
      </c>
      <c r="E290" s="11">
        <f>IFERROR((B290-$K$3) / ($L$3-$K$3),"")</f>
      </c>
      <c r="F290" s="2"/>
      <c r="G290" s="2"/>
      <c r="H290" s="8"/>
      <c r="I290" s="8"/>
      <c r="J290" s="2"/>
      <c r="K290" s="9"/>
      <c r="L290" s="8"/>
    </row>
    <row x14ac:dyDescent="0.25" r="291" customHeight="1" ht="18.75">
      <c r="A291" s="2" t="s">
        <v>229</v>
      </c>
      <c r="B291" s="11">
        <v>12.8</v>
      </c>
      <c r="C291" s="11">
        <f>IFERROR((B291-$H$3)/$I$3,"")</f>
      </c>
      <c r="D291" s="38">
        <f>IF(ABS(C291)&gt;2,"Yes","No")</f>
      </c>
      <c r="E291" s="11">
        <f>IFERROR((B291-$K$3) / ($L$3-$K$3),"")</f>
      </c>
      <c r="F291" s="2"/>
      <c r="G291" s="2"/>
      <c r="H291" s="8"/>
      <c r="I291" s="8"/>
      <c r="J291" s="2"/>
      <c r="K291" s="9"/>
      <c r="L291" s="8"/>
    </row>
    <row x14ac:dyDescent="0.25" r="292" customHeight="1" ht="18.75">
      <c r="A292" s="2" t="s">
        <v>259</v>
      </c>
      <c r="B292" s="3">
        <v>12</v>
      </c>
      <c r="C292" s="11">
        <f>IFERROR((B292-$H$3)/$I$3,"")</f>
      </c>
      <c r="D292" s="38">
        <f>IF(ABS(C292)&gt;2,"Yes","No")</f>
      </c>
      <c r="E292" s="11">
        <f>IFERROR((B292-$K$3) / ($L$3-$K$3),"")</f>
      </c>
      <c r="F292" s="2"/>
      <c r="G292" s="2"/>
      <c r="H292" s="8"/>
      <c r="I292" s="8"/>
      <c r="J292" s="2"/>
      <c r="K292" s="9"/>
      <c r="L292" s="8"/>
    </row>
    <row x14ac:dyDescent="0.25" r="293" customHeight="1" ht="18.75">
      <c r="A293" s="2" t="s">
        <v>260</v>
      </c>
      <c r="B293" s="3">
        <v>13</v>
      </c>
      <c r="C293" s="11">
        <f>IFERROR((B293-$H$3)/$I$3,"")</f>
      </c>
      <c r="D293" s="38">
        <f>IF(ABS(C293)&gt;2,"Yes","No")</f>
      </c>
      <c r="E293" s="11">
        <f>IFERROR((B293-$K$3) / ($L$3-$K$3),"")</f>
      </c>
      <c r="F293" s="2"/>
      <c r="G293" s="2"/>
      <c r="H293" s="8"/>
      <c r="I293" s="8"/>
      <c r="J293" s="2"/>
      <c r="K293" s="9"/>
      <c r="L293" s="8"/>
    </row>
    <row x14ac:dyDescent="0.25" r="294" customHeight="1" ht="18.75">
      <c r="A294" s="2" t="s">
        <v>261</v>
      </c>
      <c r="B294" s="3">
        <v>15</v>
      </c>
      <c r="C294" s="11">
        <f>IFERROR((B294-$H$3)/$I$3,"")</f>
      </c>
      <c r="D294" s="38">
        <f>IF(ABS(C294)&gt;2,"Yes","No")</f>
      </c>
      <c r="E294" s="11">
        <f>IFERROR((B294-$K$3) / ($L$3-$K$3),"")</f>
      </c>
      <c r="F294" s="2"/>
      <c r="G294" s="2"/>
      <c r="H294" s="8"/>
      <c r="I294" s="8"/>
      <c r="J294" s="2"/>
      <c r="K294" s="9"/>
      <c r="L294" s="8"/>
    </row>
    <row x14ac:dyDescent="0.25" r="295" customHeight="1" ht="18.75">
      <c r="A295" s="2" t="s">
        <v>234</v>
      </c>
      <c r="B295" s="3">
        <v>13</v>
      </c>
      <c r="C295" s="11">
        <f>IFERROR((B295-$H$3)/$I$3,"")</f>
      </c>
      <c r="D295" s="38">
        <f>IF(ABS(C295)&gt;2,"Yes","No")</f>
      </c>
      <c r="E295" s="11">
        <f>IFERROR((B295-$K$3) / ($L$3-$K$3),"")</f>
      </c>
      <c r="F295" s="2"/>
      <c r="G295" s="2"/>
      <c r="H295" s="8"/>
      <c r="I295" s="8"/>
      <c r="J295" s="2"/>
      <c r="K295" s="9"/>
      <c r="L295" s="8"/>
    </row>
    <row x14ac:dyDescent="0.25" r="296" customHeight="1" ht="18.75">
      <c r="A296" s="2" t="s">
        <v>189</v>
      </c>
      <c r="B296" s="11">
        <v>13.9</v>
      </c>
      <c r="C296" s="11">
        <f>IFERROR((B296-$H$3)/$I$3,"")</f>
      </c>
      <c r="D296" s="38">
        <f>IF(ABS(C296)&gt;2,"Yes","No")</f>
      </c>
      <c r="E296" s="11">
        <f>IFERROR((B296-$K$3) / ($L$3-$K$3),"")</f>
      </c>
      <c r="F296" s="2"/>
      <c r="G296" s="2"/>
      <c r="H296" s="8"/>
      <c r="I296" s="8"/>
      <c r="J296" s="2"/>
      <c r="K296" s="9"/>
      <c r="L296" s="8"/>
    </row>
    <row x14ac:dyDescent="0.25" r="297" customHeight="1" ht="18.75">
      <c r="A297" s="2" t="s">
        <v>262</v>
      </c>
      <c r="B297" s="11">
        <v>15.5</v>
      </c>
      <c r="C297" s="11">
        <f>IFERROR((B297-$H$3)/$I$3,"")</f>
      </c>
      <c r="D297" s="38">
        <f>IF(ABS(C297)&gt;2,"Yes","No")</f>
      </c>
      <c r="E297" s="11">
        <f>IFERROR((B297-$K$3) / ($L$3-$K$3),"")</f>
      </c>
      <c r="F297" s="2"/>
      <c r="G297" s="2"/>
      <c r="H297" s="8"/>
      <c r="I297" s="8"/>
      <c r="J297" s="2"/>
      <c r="K297" s="9"/>
      <c r="L297" s="8"/>
    </row>
    <row x14ac:dyDescent="0.25" r="298" customHeight="1" ht="18.75">
      <c r="A298" s="2" t="s">
        <v>263</v>
      </c>
      <c r="B298" s="11">
        <v>15.9</v>
      </c>
      <c r="C298" s="11">
        <f>IFERROR((B298-$H$3)/$I$3,"")</f>
      </c>
      <c r="D298" s="38">
        <f>IF(ABS(C298)&gt;2,"Yes","No")</f>
      </c>
      <c r="E298" s="11">
        <f>IFERROR((B298-$K$3) / ($L$3-$K$3),"")</f>
      </c>
      <c r="F298" s="2"/>
      <c r="G298" s="2"/>
      <c r="H298" s="8"/>
      <c r="I298" s="8"/>
      <c r="J298" s="2"/>
      <c r="K298" s="9"/>
      <c r="L298" s="8"/>
    </row>
    <row x14ac:dyDescent="0.25" r="299" customHeight="1" ht="18.75">
      <c r="A299" s="2" t="s">
        <v>264</v>
      </c>
      <c r="B299" s="11">
        <v>14.8</v>
      </c>
      <c r="C299" s="11">
        <f>IFERROR((B299-$H$3)/$I$3,"")</f>
      </c>
      <c r="D299" s="38">
        <f>IF(ABS(C299)&gt;2,"Yes","No")</f>
      </c>
      <c r="E299" s="11">
        <f>IFERROR((B299-$K$3) / ($L$3-$K$3),"")</f>
      </c>
      <c r="F299" s="2"/>
      <c r="G299" s="2"/>
      <c r="H299" s="8"/>
      <c r="I299" s="8"/>
      <c r="J299" s="2"/>
      <c r="K299" s="9"/>
      <c r="L299" s="8"/>
    </row>
    <row x14ac:dyDescent="0.25" r="300" customHeight="1" ht="18.75">
      <c r="A300" s="2" t="s">
        <v>265</v>
      </c>
      <c r="B300" s="11">
        <v>15.8</v>
      </c>
      <c r="C300" s="11">
        <f>IFERROR((B300-$H$3)/$I$3,"")</f>
      </c>
      <c r="D300" s="38">
        <f>IF(ABS(C300)&gt;2,"Yes","No")</f>
      </c>
      <c r="E300" s="11">
        <f>IFERROR((B300-$K$3) / ($L$3-$K$3),"")</f>
      </c>
      <c r="F300" s="2"/>
      <c r="G300" s="2"/>
      <c r="H300" s="8"/>
      <c r="I300" s="8"/>
      <c r="J300" s="2"/>
      <c r="K300" s="9"/>
      <c r="L300" s="8"/>
    </row>
    <row x14ac:dyDescent="0.25" r="301" customHeight="1" ht="18.75">
      <c r="A301" s="2" t="s">
        <v>266</v>
      </c>
      <c r="B301" s="3">
        <v>16</v>
      </c>
      <c r="C301" s="11">
        <f>IFERROR((B301-$H$3)/$I$3,"")</f>
      </c>
      <c r="D301" s="38">
        <f>IF(ABS(C301)&gt;2,"Yes","No")</f>
      </c>
      <c r="E301" s="11">
        <f>IFERROR((B301-$K$3) / ($L$3-$K$3),"")</f>
      </c>
      <c r="F301" s="2"/>
      <c r="G301" s="2"/>
      <c r="H301" s="8"/>
      <c r="I301" s="8"/>
      <c r="J301" s="2"/>
      <c r="K301" s="9"/>
      <c r="L301" s="8"/>
    </row>
    <row x14ac:dyDescent="0.25" r="302" customHeight="1" ht="18.75">
      <c r="A302" s="2" t="s">
        <v>251</v>
      </c>
      <c r="B302" s="3">
        <v>17</v>
      </c>
      <c r="C302" s="11">
        <f>IFERROR((B302-$H$3)/$I$3,"")</f>
      </c>
      <c r="D302" s="38">
        <f>IF(ABS(C302)&gt;2,"Yes","No")</f>
      </c>
      <c r="E302" s="11">
        <f>IFERROR((B302-$K$3) / ($L$3-$K$3),"")</f>
      </c>
      <c r="F302" s="2"/>
      <c r="G302" s="2"/>
      <c r="H302" s="8"/>
      <c r="I302" s="8"/>
      <c r="J302" s="2"/>
      <c r="K302" s="9"/>
      <c r="L302" s="8"/>
    </row>
    <row x14ac:dyDescent="0.25" r="303" customHeight="1" ht="18.75">
      <c r="A303" s="2" t="s">
        <v>267</v>
      </c>
      <c r="B303" s="11">
        <v>16.4</v>
      </c>
      <c r="C303" s="11">
        <f>IFERROR((B303-$H$3)/$I$3,"")</f>
      </c>
      <c r="D303" s="38">
        <f>IF(ABS(C303)&gt;2,"Yes","No")</f>
      </c>
      <c r="E303" s="11">
        <f>IFERROR((B303-$K$3) / ($L$3-$K$3),"")</f>
      </c>
      <c r="F303" s="2"/>
      <c r="G303" s="2"/>
      <c r="H303" s="8"/>
      <c r="I303" s="8"/>
      <c r="J303" s="2"/>
      <c r="K303" s="9"/>
      <c r="L303" s="8"/>
    </row>
    <row x14ac:dyDescent="0.25" r="304" customHeight="1" ht="18.75">
      <c r="A304" s="2" t="s">
        <v>268</v>
      </c>
      <c r="B304" s="11">
        <v>16.9</v>
      </c>
      <c r="C304" s="11">
        <f>IFERROR((B304-$H$3)/$I$3,"")</f>
      </c>
      <c r="D304" s="38">
        <f>IF(ABS(C304)&gt;2,"Yes","No")</f>
      </c>
      <c r="E304" s="11">
        <f>IFERROR((B304-$K$3) / ($L$3-$K$3),"")</f>
      </c>
      <c r="F304" s="2"/>
      <c r="G304" s="2"/>
      <c r="H304" s="8"/>
      <c r="I304" s="8"/>
      <c r="J304" s="2"/>
      <c r="K304" s="9"/>
      <c r="L304" s="8"/>
    </row>
    <row x14ac:dyDescent="0.25" r="305" customHeight="1" ht="18.75">
      <c r="A305" s="2" t="s">
        <v>269</v>
      </c>
      <c r="B305" s="3">
        <v>19</v>
      </c>
      <c r="C305" s="11">
        <f>IFERROR((B305-$H$3)/$I$3,"")</f>
      </c>
      <c r="D305" s="38">
        <f>IF(ABS(C305)&gt;2,"Yes","No")</f>
      </c>
      <c r="E305" s="11">
        <f>IFERROR((B305-$K$3) / ($L$3-$K$3),"")</f>
      </c>
      <c r="F305" s="2"/>
      <c r="G305" s="2"/>
      <c r="H305" s="8"/>
      <c r="I305" s="8"/>
      <c r="J305" s="2"/>
      <c r="K305" s="9"/>
      <c r="L305" s="8"/>
    </row>
    <row x14ac:dyDescent="0.25" r="306" customHeight="1" ht="18.75">
      <c r="A306" s="2" t="s">
        <v>270</v>
      </c>
      <c r="B306" s="11">
        <v>17.7</v>
      </c>
      <c r="C306" s="11">
        <f>IFERROR((B306-$H$3)/$I$3,"")</f>
      </c>
      <c r="D306" s="38">
        <f>IF(ABS(C306)&gt;2,"Yes","No")</f>
      </c>
      <c r="E306" s="11">
        <f>IFERROR((B306-$K$3) / ($L$3-$K$3),"")</f>
      </c>
      <c r="F306" s="2"/>
      <c r="G306" s="2"/>
      <c r="H306" s="8"/>
      <c r="I306" s="8"/>
      <c r="J306" s="2"/>
      <c r="K306" s="9"/>
      <c r="L306" s="8"/>
    </row>
    <row x14ac:dyDescent="0.25" r="307" customHeight="1" ht="18.75">
      <c r="A307" s="2" t="s">
        <v>271</v>
      </c>
      <c r="B307" s="11">
        <v>12.2</v>
      </c>
      <c r="C307" s="11">
        <f>IFERROR((B307-$H$3)/$I$3,"")</f>
      </c>
      <c r="D307" s="38">
        <f>IF(ABS(C307)&gt;2,"Yes","No")</f>
      </c>
      <c r="E307" s="11">
        <f>IFERROR((B307-$K$3) / ($L$3-$K$3),"")</f>
      </c>
      <c r="F307" s="2"/>
      <c r="G307" s="2"/>
      <c r="H307" s="8"/>
      <c r="I307" s="8"/>
      <c r="J307" s="2"/>
      <c r="K307" s="9"/>
      <c r="L307" s="8"/>
    </row>
    <row x14ac:dyDescent="0.25" r="308" customHeight="1" ht="18.75">
      <c r="A308" s="2" t="s">
        <v>272</v>
      </c>
      <c r="B308" s="11">
        <v>11.1</v>
      </c>
      <c r="C308" s="11">
        <f>IFERROR((B308-$H$3)/$I$3,"")</f>
      </c>
      <c r="D308" s="38">
        <f>IF(ABS(C308)&gt;2,"Yes","No")</f>
      </c>
      <c r="E308" s="11">
        <f>IFERROR((B308-$K$3) / ($L$3-$K$3),"")</f>
      </c>
      <c r="F308" s="2"/>
      <c r="G308" s="2"/>
      <c r="H308" s="8"/>
      <c r="I308" s="8"/>
      <c r="J308" s="2"/>
      <c r="K308" s="9"/>
      <c r="L308" s="8"/>
    </row>
    <row x14ac:dyDescent="0.25" r="309" customHeight="1" ht="18.75">
      <c r="A309" s="2" t="s">
        <v>273</v>
      </c>
      <c r="B309" s="11">
        <v>11.4</v>
      </c>
      <c r="C309" s="11">
        <f>IFERROR((B309-$H$3)/$I$3,"")</f>
      </c>
      <c r="D309" s="38">
        <f>IF(ABS(C309)&gt;2,"Yes","No")</f>
      </c>
      <c r="E309" s="11">
        <f>IFERROR((B309-$K$3) / ($L$3-$K$3),"")</f>
      </c>
      <c r="F309" s="2"/>
      <c r="G309" s="2"/>
      <c r="H309" s="8"/>
      <c r="I309" s="8"/>
      <c r="J309" s="2"/>
      <c r="K309" s="9"/>
      <c r="L309" s="8"/>
    </row>
    <row x14ac:dyDescent="0.25" r="310" customHeight="1" ht="18.75">
      <c r="A310" s="2" t="s">
        <v>230</v>
      </c>
      <c r="B310" s="11">
        <v>12.5</v>
      </c>
      <c r="C310" s="11">
        <f>IFERROR((B310-$H$3)/$I$3,"")</f>
      </c>
      <c r="D310" s="38">
        <f>IF(ABS(C310)&gt;2,"Yes","No")</f>
      </c>
      <c r="E310" s="11">
        <f>IFERROR((B310-$K$3) / ($L$3-$K$3),"")</f>
      </c>
      <c r="F310" s="2"/>
      <c r="G310" s="2"/>
      <c r="H310" s="8"/>
      <c r="I310" s="8"/>
      <c r="J310" s="2"/>
      <c r="K310" s="9"/>
      <c r="L310" s="8"/>
    </row>
    <row x14ac:dyDescent="0.25" r="311" customHeight="1" ht="18.75">
      <c r="A311" s="2" t="s">
        <v>274</v>
      </c>
      <c r="B311" s="11">
        <v>13.7</v>
      </c>
      <c r="C311" s="11">
        <f>IFERROR((B311-$H$3)/$I$3,"")</f>
      </c>
      <c r="D311" s="38">
        <f>IF(ABS(C311)&gt;2,"Yes","No")</f>
      </c>
      <c r="E311" s="11">
        <f>IFERROR((B311-$K$3) / ($L$3-$K$3),"")</f>
      </c>
      <c r="F311" s="2"/>
      <c r="G311" s="2"/>
      <c r="H311" s="8"/>
      <c r="I311" s="8"/>
      <c r="J311" s="2"/>
      <c r="K311" s="9"/>
      <c r="L311" s="8"/>
    </row>
    <row x14ac:dyDescent="0.25" r="312" customHeight="1" ht="18.75">
      <c r="A312" s="2" t="s">
        <v>275</v>
      </c>
      <c r="B312" s="11">
        <v>14.5</v>
      </c>
      <c r="C312" s="11">
        <f>IFERROR((B312-$H$3)/$I$3,"")</f>
      </c>
      <c r="D312" s="38">
        <f>IF(ABS(C312)&gt;2,"Yes","No")</f>
      </c>
      <c r="E312" s="11">
        <f>IFERROR((B312-$K$3) / ($L$3-$K$3),"")</f>
      </c>
      <c r="F312" s="2"/>
      <c r="G312" s="2"/>
      <c r="H312" s="8"/>
      <c r="I312" s="8"/>
      <c r="J312" s="2"/>
      <c r="K312" s="9"/>
      <c r="L312" s="8"/>
    </row>
    <row x14ac:dyDescent="0.25" r="313" customHeight="1" ht="18.75">
      <c r="A313" s="2" t="s">
        <v>276</v>
      </c>
      <c r="B313" s="11">
        <v>14.9</v>
      </c>
      <c r="C313" s="11">
        <f>IFERROR((B313-$H$3)/$I$3,"")</f>
      </c>
      <c r="D313" s="38">
        <f>IF(ABS(C313)&gt;2,"Yes","No")</f>
      </c>
      <c r="E313" s="11">
        <f>IFERROR((B313-$K$3) / ($L$3-$K$3),"")</f>
      </c>
      <c r="F313" s="2"/>
      <c r="G313" s="2"/>
      <c r="H313" s="8"/>
      <c r="I313" s="8"/>
      <c r="J313" s="2"/>
      <c r="K313" s="9"/>
      <c r="L313" s="8"/>
    </row>
    <row x14ac:dyDescent="0.25" r="314" customHeight="1" ht="18.75">
      <c r="A314" s="2" t="s">
        <v>277</v>
      </c>
      <c r="B314" s="3">
        <v>19</v>
      </c>
      <c r="C314" s="11">
        <f>IFERROR((B314-$H$3)/$I$3,"")</f>
      </c>
      <c r="D314" s="38">
        <f>IF(ABS(C314)&gt;2,"Yes","No")</f>
      </c>
      <c r="E314" s="11">
        <f>IFERROR((B314-$K$3) / ($L$3-$K$3),"")</f>
      </c>
      <c r="F314" s="2"/>
      <c r="G314" s="2"/>
      <c r="H314" s="8"/>
      <c r="I314" s="8"/>
      <c r="J314" s="2"/>
      <c r="K314" s="9"/>
      <c r="L314" s="8"/>
    </row>
    <row x14ac:dyDescent="0.25" r="315" customHeight="1" ht="18.75">
      <c r="A315" s="2" t="s">
        <v>278</v>
      </c>
      <c r="B315" s="11">
        <v>16.7</v>
      </c>
      <c r="C315" s="11">
        <f>IFERROR((B315-$H$3)/$I$3,"")</f>
      </c>
      <c r="D315" s="38">
        <f>IF(ABS(C315)&gt;2,"Yes","No")</f>
      </c>
      <c r="E315" s="11">
        <f>IFERROR((B315-$K$3) / ($L$3-$K$3),"")</f>
      </c>
      <c r="F315" s="2"/>
      <c r="G315" s="2"/>
      <c r="H315" s="8"/>
      <c r="I315" s="8"/>
      <c r="J315" s="2"/>
      <c r="K315" s="9"/>
      <c r="L315" s="8"/>
    </row>
    <row x14ac:dyDescent="0.25" r="316" customHeight="1" ht="18.75">
      <c r="A316" s="2" t="s">
        <v>279</v>
      </c>
      <c r="B316" s="11">
        <v>14.4</v>
      </c>
      <c r="C316" s="11">
        <f>IFERROR((B316-$H$3)/$I$3,"")</f>
      </c>
      <c r="D316" s="38">
        <f>IF(ABS(C316)&gt;2,"Yes","No")</f>
      </c>
      <c r="E316" s="11">
        <f>IFERROR((B316-$K$3) / ($L$3-$K$3),"")</f>
      </c>
      <c r="F316" s="2"/>
      <c r="G316" s="2"/>
      <c r="H316" s="8"/>
      <c r="I316" s="8"/>
      <c r="J316" s="2"/>
      <c r="K316" s="9"/>
      <c r="L316" s="8"/>
    </row>
    <row x14ac:dyDescent="0.25" r="317" customHeight="1" ht="18.75">
      <c r="A317" s="2" t="s">
        <v>280</v>
      </c>
      <c r="B317" s="11">
        <v>14.5</v>
      </c>
      <c r="C317" s="11">
        <f>IFERROR((B317-$H$3)/$I$3,"")</f>
      </c>
      <c r="D317" s="38">
        <f>IF(ABS(C317)&gt;2,"Yes","No")</f>
      </c>
      <c r="E317" s="11">
        <f>IFERROR((B317-$K$3) / ($L$3-$K$3),"")</f>
      </c>
      <c r="F317" s="2"/>
      <c r="G317" s="2"/>
      <c r="H317" s="8"/>
      <c r="I317" s="8"/>
      <c r="J317" s="2"/>
      <c r="K317" s="9"/>
      <c r="L317" s="8"/>
    </row>
    <row x14ac:dyDescent="0.25" r="318" customHeight="1" ht="18.75">
      <c r="A318" s="2" t="s">
        <v>281</v>
      </c>
      <c r="B318" s="11">
        <v>15.4</v>
      </c>
      <c r="C318" s="11">
        <f>IFERROR((B318-$H$3)/$I$3,"")</f>
      </c>
      <c r="D318" s="38">
        <f>IF(ABS(C318)&gt;2,"Yes","No")</f>
      </c>
      <c r="E318" s="11">
        <f>IFERROR((B318-$K$3) / ($L$3-$K$3),"")</f>
      </c>
      <c r="F318" s="2"/>
      <c r="G318" s="2"/>
      <c r="H318" s="8"/>
      <c r="I318" s="8"/>
      <c r="J318" s="2"/>
      <c r="K318" s="9"/>
      <c r="L318" s="8"/>
    </row>
    <row x14ac:dyDescent="0.25" r="319" customHeight="1" ht="18.75">
      <c r="A319" s="2" t="s">
        <v>251</v>
      </c>
      <c r="B319" s="11">
        <v>16.5</v>
      </c>
      <c r="C319" s="11">
        <f>IFERROR((B319-$H$3)/$I$3,"")</f>
      </c>
      <c r="D319" s="38">
        <f>IF(ABS(C319)&gt;2,"Yes","No")</f>
      </c>
      <c r="E319" s="11">
        <f>IFERROR((B319-$K$3) / ($L$3-$K$3),"")</f>
      </c>
      <c r="F319" s="2"/>
      <c r="G319" s="2"/>
      <c r="H319" s="8"/>
      <c r="I319" s="8"/>
      <c r="J319" s="2"/>
      <c r="K319" s="9"/>
      <c r="L319" s="8"/>
    </row>
    <row x14ac:dyDescent="0.25" r="320" customHeight="1" ht="18.75">
      <c r="A320" s="2" t="s">
        <v>282</v>
      </c>
      <c r="B320" s="11">
        <v>17.6</v>
      </c>
      <c r="C320" s="11">
        <f>IFERROR((B320-$H$3)/$I$3,"")</f>
      </c>
      <c r="D320" s="38">
        <f>IF(ABS(C320)&gt;2,"Yes","No")</f>
      </c>
      <c r="E320" s="11">
        <f>IFERROR((B320-$K$3) / ($L$3-$K$3),"")</f>
      </c>
      <c r="F320" s="2"/>
      <c r="G320" s="2"/>
      <c r="H320" s="8"/>
      <c r="I320" s="8"/>
      <c r="J320" s="2"/>
      <c r="K320" s="9"/>
      <c r="L320" s="8"/>
    </row>
    <row x14ac:dyDescent="0.25" r="321" customHeight="1" ht="18.75">
      <c r="A321" s="2" t="s">
        <v>283</v>
      </c>
      <c r="B321" s="11">
        <v>13.4</v>
      </c>
      <c r="C321" s="11">
        <f>IFERROR((B321-$H$3)/$I$3,"")</f>
      </c>
      <c r="D321" s="38">
        <f>IF(ABS(C321)&gt;2,"Yes","No")</f>
      </c>
      <c r="E321" s="11">
        <f>IFERROR((B321-$K$3) / ($L$3-$K$3),"")</f>
      </c>
      <c r="F321" s="2"/>
      <c r="G321" s="2"/>
      <c r="H321" s="8"/>
      <c r="I321" s="8"/>
      <c r="J321" s="2"/>
      <c r="K321" s="9"/>
      <c r="L321" s="8"/>
    </row>
    <row x14ac:dyDescent="0.25" r="322" customHeight="1" ht="18.75">
      <c r="A322" s="2" t="s">
        <v>284</v>
      </c>
      <c r="B322" s="11">
        <v>15.1</v>
      </c>
      <c r="C322" s="11">
        <f>IFERROR((B322-$H$3)/$I$3,"")</f>
      </c>
      <c r="D322" s="38">
        <f>IF(ABS(C322)&gt;2,"Yes","No")</f>
      </c>
      <c r="E322" s="11">
        <f>IFERROR((B322-$K$3) / ($L$3-$K$3),"")</f>
      </c>
      <c r="F322" s="2"/>
      <c r="G322" s="2"/>
      <c r="H322" s="8"/>
      <c r="I322" s="8"/>
      <c r="J322" s="2"/>
      <c r="K322" s="9"/>
      <c r="L322" s="8"/>
    </row>
    <row x14ac:dyDescent="0.25" r="323" customHeight="1" ht="18.75">
      <c r="A323" s="2" t="s">
        <v>285</v>
      </c>
      <c r="B323" s="11">
        <v>15.8</v>
      </c>
      <c r="C323" s="11">
        <f>IFERROR((B323-$H$3)/$I$3,"")</f>
      </c>
      <c r="D323" s="38">
        <f>IF(ABS(C323)&gt;2,"Yes","No")</f>
      </c>
      <c r="E323" s="11">
        <f>IFERROR((B323-$K$3) / ($L$3-$K$3),"")</f>
      </c>
      <c r="F323" s="2"/>
      <c r="G323" s="2"/>
      <c r="H323" s="8"/>
      <c r="I323" s="8"/>
      <c r="J323" s="2"/>
      <c r="K323" s="9"/>
      <c r="L323" s="8"/>
    </row>
    <row x14ac:dyDescent="0.25" r="324" customHeight="1" ht="18.75">
      <c r="A324" s="2" t="s">
        <v>286</v>
      </c>
      <c r="B324" s="11">
        <v>18.7</v>
      </c>
      <c r="C324" s="11">
        <f>IFERROR((B324-$H$3)/$I$3,"")</f>
      </c>
      <c r="D324" s="38">
        <f>IF(ABS(C324)&gt;2,"Yes","No")</f>
      </c>
      <c r="E324" s="11">
        <f>IFERROR((B324-$K$3) / ($L$3-$K$3),"")</f>
      </c>
      <c r="F324" s="2"/>
      <c r="G324" s="2"/>
      <c r="H324" s="8"/>
      <c r="I324" s="8"/>
      <c r="J324" s="2"/>
      <c r="K324" s="9"/>
      <c r="L324" s="8"/>
    </row>
    <row x14ac:dyDescent="0.25" r="325" customHeight="1" ht="18.75">
      <c r="A325" s="2" t="s">
        <v>224</v>
      </c>
      <c r="B325" s="11">
        <v>18.2</v>
      </c>
      <c r="C325" s="11">
        <f>IFERROR((B325-$H$3)/$I$3,"")</f>
      </c>
      <c r="D325" s="38">
        <f>IF(ABS(C325)&gt;2,"Yes","No")</f>
      </c>
      <c r="E325" s="11">
        <f>IFERROR((B325-$K$3) / ($L$3-$K$3),"")</f>
      </c>
      <c r="F325" s="2"/>
      <c r="G325" s="2"/>
      <c r="H325" s="8"/>
      <c r="I325" s="8"/>
      <c r="J325" s="2"/>
      <c r="K325" s="9"/>
      <c r="L325" s="8"/>
    </row>
    <row x14ac:dyDescent="0.25" r="326" customHeight="1" ht="18.75">
      <c r="A326" s="2" t="s">
        <v>287</v>
      </c>
      <c r="B326" s="11">
        <v>19.2</v>
      </c>
      <c r="C326" s="11">
        <f>IFERROR((B326-$H$3)/$I$3,"")</f>
      </c>
      <c r="D326" s="38">
        <f>IF(ABS(C326)&gt;2,"Yes","No")</f>
      </c>
      <c r="E326" s="11">
        <f>IFERROR((B326-$K$3) / ($L$3-$K$3),"")</f>
      </c>
      <c r="F326" s="2"/>
      <c r="G326" s="2"/>
      <c r="H326" s="8"/>
      <c r="I326" s="8"/>
      <c r="J326" s="2"/>
      <c r="K326" s="9"/>
      <c r="L326" s="8"/>
    </row>
    <row x14ac:dyDescent="0.25" r="327" customHeight="1" ht="18.75">
      <c r="A327" s="2" t="s">
        <v>288</v>
      </c>
      <c r="B327" s="11">
        <v>17.2</v>
      </c>
      <c r="C327" s="11">
        <f>IFERROR((B327-$H$3)/$I$3,"")</f>
      </c>
      <c r="D327" s="38">
        <f>IF(ABS(C327)&gt;2,"Yes","No")</f>
      </c>
      <c r="E327" s="11">
        <f>IFERROR((B327-$K$3) / ($L$3-$K$3),"")</f>
      </c>
      <c r="F327" s="2"/>
      <c r="G327" s="2"/>
      <c r="H327" s="8"/>
      <c r="I327" s="8"/>
      <c r="J327" s="2"/>
      <c r="K327" s="9"/>
      <c r="L327" s="8"/>
    </row>
    <row x14ac:dyDescent="0.25" r="328" customHeight="1" ht="18.75">
      <c r="A328" s="2" t="s">
        <v>289</v>
      </c>
      <c r="B328" s="11">
        <v>15.8</v>
      </c>
      <c r="C328" s="11">
        <f>IFERROR((B328-$H$3)/$I$3,"")</f>
      </c>
      <c r="D328" s="38">
        <f>IF(ABS(C328)&gt;2,"Yes","No")</f>
      </c>
      <c r="E328" s="11">
        <f>IFERROR((B328-$K$3) / ($L$3-$K$3),"")</f>
      </c>
      <c r="F328" s="2"/>
      <c r="G328" s="2"/>
      <c r="H328" s="8"/>
      <c r="I328" s="8"/>
      <c r="J328" s="2"/>
      <c r="K328" s="9"/>
      <c r="L328" s="8"/>
    </row>
    <row x14ac:dyDescent="0.25" r="329" customHeight="1" ht="18.75">
      <c r="A329" s="2" t="s">
        <v>290</v>
      </c>
      <c r="B329" s="11">
        <v>17.2</v>
      </c>
      <c r="C329" s="11">
        <f>IFERROR((B329-$H$3)/$I$3,"")</f>
      </c>
      <c r="D329" s="38">
        <f>IF(ABS(C329)&gt;2,"Yes","No")</f>
      </c>
      <c r="E329" s="11">
        <f>IFERROR((B329-$K$3) / ($L$3-$K$3),"")</f>
      </c>
      <c r="F329" s="2"/>
      <c r="G329" s="2"/>
      <c r="H329" s="8"/>
      <c r="I329" s="8"/>
      <c r="J329" s="2"/>
      <c r="K329" s="9"/>
      <c r="L329" s="8"/>
    </row>
    <row x14ac:dyDescent="0.25" r="330" customHeight="1" ht="18.75">
      <c r="A330" s="2" t="s">
        <v>291</v>
      </c>
      <c r="B330" s="11">
        <v>16.7</v>
      </c>
      <c r="C330" s="11">
        <f>IFERROR((B330-$H$3)/$I$3,"")</f>
      </c>
      <c r="D330" s="38">
        <f>IF(ABS(C330)&gt;2,"Yes","No")</f>
      </c>
      <c r="E330" s="11">
        <f>IFERROR((B330-$K$3) / ($L$3-$K$3),"")</f>
      </c>
      <c r="F330" s="2"/>
      <c r="G330" s="2"/>
      <c r="H330" s="8"/>
      <c r="I330" s="8"/>
      <c r="J330" s="2"/>
      <c r="K330" s="9"/>
      <c r="L330" s="8"/>
    </row>
    <row x14ac:dyDescent="0.25" r="331" customHeight="1" ht="18.75">
      <c r="A331" s="2" t="s">
        <v>292</v>
      </c>
      <c r="B331" s="11">
        <v>11.2</v>
      </c>
      <c r="C331" s="11">
        <f>IFERROR((B331-$H$3)/$I$3,"")</f>
      </c>
      <c r="D331" s="38">
        <f>IF(ABS(C331)&gt;2,"Yes","No")</f>
      </c>
      <c r="E331" s="11">
        <f>IFERROR((B331-$K$3) / ($L$3-$K$3),"")</f>
      </c>
      <c r="F331" s="2"/>
      <c r="G331" s="2"/>
      <c r="H331" s="8"/>
      <c r="I331" s="8"/>
      <c r="J331" s="2"/>
      <c r="K331" s="9"/>
      <c r="L331" s="8"/>
    </row>
    <row x14ac:dyDescent="0.25" r="332" customHeight="1" ht="18.75">
      <c r="A332" s="2" t="s">
        <v>273</v>
      </c>
      <c r="B332" s="11">
        <v>13.2</v>
      </c>
      <c r="C332" s="11">
        <f>IFERROR((B332-$H$3)/$I$3,"")</f>
      </c>
      <c r="D332" s="38">
        <f>IF(ABS(C332)&gt;2,"Yes","No")</f>
      </c>
      <c r="E332" s="11">
        <f>IFERROR((B332-$K$3) / ($L$3-$K$3),"")</f>
      </c>
      <c r="F332" s="2"/>
      <c r="G332" s="2"/>
      <c r="H332" s="8"/>
      <c r="I332" s="8"/>
      <c r="J332" s="2"/>
      <c r="K332" s="9"/>
      <c r="L332" s="8"/>
    </row>
    <row x14ac:dyDescent="0.25" r="333" customHeight="1" ht="18.75">
      <c r="A333" s="2" t="s">
        <v>293</v>
      </c>
      <c r="B333" s="11">
        <v>12.8</v>
      </c>
      <c r="C333" s="11">
        <f>IFERROR((B333-$H$3)/$I$3,"")</f>
      </c>
      <c r="D333" s="38">
        <f>IF(ABS(C333)&gt;2,"Yes","No")</f>
      </c>
      <c r="E333" s="11">
        <f>IFERROR((B333-$K$3) / ($L$3-$K$3),"")</f>
      </c>
      <c r="F333" s="2"/>
      <c r="G333" s="2"/>
      <c r="H333" s="8"/>
      <c r="I333" s="8"/>
      <c r="J333" s="2"/>
      <c r="K333" s="9"/>
      <c r="L333" s="8"/>
    </row>
    <row x14ac:dyDescent="0.25" r="334" customHeight="1" ht="18.75">
      <c r="A334" s="2" t="s">
        <v>294</v>
      </c>
      <c r="B334" s="11">
        <v>13.2</v>
      </c>
      <c r="C334" s="11">
        <f>IFERROR((B334-$H$3)/$I$3,"")</f>
      </c>
      <c r="D334" s="38">
        <f>IF(ABS(C334)&gt;2,"Yes","No")</f>
      </c>
      <c r="E334" s="11">
        <f>IFERROR((B334-$K$3) / ($L$3-$K$3),"")</f>
      </c>
      <c r="F334" s="2"/>
      <c r="G334" s="2"/>
      <c r="H334" s="8"/>
      <c r="I334" s="8"/>
      <c r="J334" s="2"/>
      <c r="K334" s="9"/>
      <c r="L334" s="8"/>
    </row>
    <row x14ac:dyDescent="0.25" r="335" customHeight="1" ht="18.75">
      <c r="A335" s="2" t="s">
        <v>295</v>
      </c>
      <c r="B335" s="11">
        <v>13.7</v>
      </c>
      <c r="C335" s="11">
        <f>IFERROR((B335-$H$3)/$I$3,"")</f>
      </c>
      <c r="D335" s="38">
        <f>IF(ABS(C335)&gt;2,"Yes","No")</f>
      </c>
      <c r="E335" s="11">
        <f>IFERROR((B335-$K$3) / ($L$3-$K$3),"")</f>
      </c>
      <c r="F335" s="2"/>
      <c r="G335" s="2"/>
      <c r="H335" s="8"/>
      <c r="I335" s="8"/>
      <c r="J335" s="2"/>
      <c r="K335" s="9"/>
      <c r="L335" s="8"/>
    </row>
    <row x14ac:dyDescent="0.25" r="336" customHeight="1" ht="18.75">
      <c r="A336" s="2" t="s">
        <v>296</v>
      </c>
      <c r="B336" s="11">
        <v>15.5</v>
      </c>
      <c r="C336" s="11">
        <f>IFERROR((B336-$H$3)/$I$3,"")</f>
      </c>
      <c r="D336" s="38">
        <f>IF(ABS(C336)&gt;2,"Yes","No")</f>
      </c>
      <c r="E336" s="11">
        <f>IFERROR((B336-$K$3) / ($L$3-$K$3),"")</f>
      </c>
      <c r="F336" s="2"/>
      <c r="G336" s="2"/>
      <c r="H336" s="8"/>
      <c r="I336" s="8"/>
      <c r="J336" s="2"/>
      <c r="K336" s="9"/>
      <c r="L336" s="8"/>
    </row>
    <row x14ac:dyDescent="0.25" r="337" customHeight="1" ht="18.75">
      <c r="A337" s="2" t="s">
        <v>297</v>
      </c>
      <c r="B337" s="11">
        <v>14.4</v>
      </c>
      <c r="C337" s="11">
        <f>IFERROR((B337-$H$3)/$I$3,"")</f>
      </c>
      <c r="D337" s="38">
        <f>IF(ABS(C337)&gt;2,"Yes","No")</f>
      </c>
      <c r="E337" s="11">
        <f>IFERROR((B337-$K$3) / ($L$3-$K$3),"")</f>
      </c>
      <c r="F337" s="2"/>
      <c r="G337" s="2"/>
      <c r="H337" s="8"/>
      <c r="I337" s="8"/>
      <c r="J337" s="2"/>
      <c r="K337" s="9"/>
      <c r="L337" s="8"/>
    </row>
    <row x14ac:dyDescent="0.25" r="338" customHeight="1" ht="18.75">
      <c r="A338" s="2" t="s">
        <v>298</v>
      </c>
      <c r="B338" s="11">
        <v>13.2</v>
      </c>
      <c r="C338" s="11">
        <f>IFERROR((B338-$H$3)/$I$3,"")</f>
      </c>
      <c r="D338" s="38">
        <f>IF(ABS(C338)&gt;2,"Yes","No")</f>
      </c>
      <c r="E338" s="11">
        <f>IFERROR((B338-$K$3) / ($L$3-$K$3),"")</f>
      </c>
      <c r="F338" s="2"/>
      <c r="G338" s="2"/>
      <c r="H338" s="8"/>
      <c r="I338" s="8"/>
      <c r="J338" s="2"/>
      <c r="K338" s="9"/>
      <c r="L338" s="8"/>
    </row>
    <row x14ac:dyDescent="0.25" r="339" customHeight="1" ht="18.75">
      <c r="A339" s="2" t="s">
        <v>299</v>
      </c>
      <c r="B339" s="3">
        <v>16</v>
      </c>
      <c r="C339" s="11">
        <f>IFERROR((B339-$H$3)/$I$3,"")</f>
      </c>
      <c r="D339" s="38">
        <f>IF(ABS(C339)&gt;2,"Yes","No")</f>
      </c>
      <c r="E339" s="11">
        <f>IFERROR((B339-$K$3) / ($L$3-$K$3),"")</f>
      </c>
      <c r="F339" s="2"/>
      <c r="G339" s="2"/>
      <c r="H339" s="8"/>
      <c r="I339" s="8"/>
      <c r="J339" s="2"/>
      <c r="K339" s="9"/>
      <c r="L339" s="8"/>
    </row>
    <row x14ac:dyDescent="0.25" r="340" customHeight="1" ht="18.75">
      <c r="A340" s="2" t="s">
        <v>300</v>
      </c>
      <c r="B340" s="11">
        <v>14.9</v>
      </c>
      <c r="C340" s="11">
        <f>IFERROR((B340-$H$3)/$I$3,"")</f>
      </c>
      <c r="D340" s="38">
        <f>IF(ABS(C340)&gt;2,"Yes","No")</f>
      </c>
      <c r="E340" s="11">
        <f>IFERROR((B340-$K$3) / ($L$3-$K$3),"")</f>
      </c>
      <c r="F340" s="2"/>
      <c r="G340" s="2"/>
      <c r="H340" s="8"/>
      <c r="I340" s="8"/>
      <c r="J340" s="2"/>
      <c r="K340" s="9"/>
      <c r="L340" s="8"/>
    </row>
    <row x14ac:dyDescent="0.25" r="341" customHeight="1" ht="18.75">
      <c r="A341" s="2" t="s">
        <v>301</v>
      </c>
      <c r="B341" s="11">
        <v>13.2</v>
      </c>
      <c r="C341" s="11">
        <f>IFERROR((B341-$H$3)/$I$3,"")</f>
      </c>
      <c r="D341" s="38">
        <f>IF(ABS(C341)&gt;2,"Yes","No")</f>
      </c>
      <c r="E341" s="11">
        <f>IFERROR((B341-$K$3) / ($L$3-$K$3),"")</f>
      </c>
      <c r="F341" s="2"/>
      <c r="G341" s="2"/>
      <c r="H341" s="8"/>
      <c r="I341" s="8"/>
      <c r="J341" s="2"/>
      <c r="K341" s="9"/>
      <c r="L341" s="8"/>
    </row>
    <row x14ac:dyDescent="0.25" r="342" customHeight="1" ht="18.75">
      <c r="A342" s="2" t="s">
        <v>302</v>
      </c>
      <c r="B342" s="11">
        <v>17.3</v>
      </c>
      <c r="C342" s="11">
        <f>IFERROR((B342-$H$3)/$I$3,"")</f>
      </c>
      <c r="D342" s="38">
        <f>IF(ABS(C342)&gt;2,"Yes","No")</f>
      </c>
      <c r="E342" s="11">
        <f>IFERROR((B342-$K$3) / ($L$3-$K$3),"")</f>
      </c>
      <c r="F342" s="2"/>
      <c r="G342" s="2"/>
      <c r="H342" s="8"/>
      <c r="I342" s="8"/>
      <c r="J342" s="2"/>
      <c r="K342" s="9"/>
      <c r="L342" s="8"/>
    </row>
    <row x14ac:dyDescent="0.25" r="343" customHeight="1" ht="18.75">
      <c r="A343" s="2" t="s">
        <v>303</v>
      </c>
      <c r="B343" s="3">
        <v>15</v>
      </c>
      <c r="C343" s="11">
        <f>IFERROR((B343-$H$3)/$I$3,"")</f>
      </c>
      <c r="D343" s="38">
        <f>IF(ABS(C343)&gt;2,"Yes","No")</f>
      </c>
      <c r="E343" s="11">
        <f>IFERROR((B343-$K$3) / ($L$3-$K$3),"")</f>
      </c>
      <c r="F343" s="2"/>
      <c r="G343" s="2"/>
      <c r="H343" s="8"/>
      <c r="I343" s="8"/>
      <c r="J343" s="2"/>
      <c r="K343" s="9"/>
      <c r="L343" s="8"/>
    </row>
    <row x14ac:dyDescent="0.25" r="344" customHeight="1" ht="18.75">
      <c r="A344" s="2" t="s">
        <v>304</v>
      </c>
      <c r="B344" s="11">
        <v>11.3</v>
      </c>
      <c r="C344" s="11">
        <f>IFERROR((B344-$H$3)/$I$3,"")</f>
      </c>
      <c r="D344" s="38">
        <f>IF(ABS(C344)&gt;2,"Yes","No")</f>
      </c>
      <c r="E344" s="11">
        <f>IFERROR((B344-$K$3) / ($L$3-$K$3),"")</f>
      </c>
      <c r="F344" s="2"/>
      <c r="G344" s="2"/>
      <c r="H344" s="8"/>
      <c r="I344" s="8"/>
      <c r="J344" s="2"/>
      <c r="K344" s="9"/>
      <c r="L344" s="8"/>
    </row>
    <row x14ac:dyDescent="0.25" r="345" customHeight="1" ht="18.75">
      <c r="A345" s="2" t="s">
        <v>305</v>
      </c>
      <c r="B345" s="11">
        <v>12.9</v>
      </c>
      <c r="C345" s="11">
        <f>IFERROR((B345-$H$3)/$I$3,"")</f>
      </c>
      <c r="D345" s="38">
        <f>IF(ABS(C345)&gt;2,"Yes","No")</f>
      </c>
      <c r="E345" s="11">
        <f>IFERROR((B345-$K$3) / ($L$3-$K$3),"")</f>
      </c>
      <c r="F345" s="2"/>
      <c r="G345" s="2"/>
      <c r="H345" s="8"/>
      <c r="I345" s="8"/>
      <c r="J345" s="2"/>
      <c r="K345" s="9"/>
      <c r="L345" s="8"/>
    </row>
    <row x14ac:dyDescent="0.25" r="346" customHeight="1" ht="18.75">
      <c r="A346" s="2" t="s">
        <v>306</v>
      </c>
      <c r="B346" s="11">
        <v>15.4</v>
      </c>
      <c r="C346" s="11">
        <f>IFERROR((B346-$H$3)/$I$3,"")</f>
      </c>
      <c r="D346" s="38">
        <f>IF(ABS(C346)&gt;2,"Yes","No")</f>
      </c>
      <c r="E346" s="11">
        <f>IFERROR((B346-$K$3) / ($L$3-$K$3),"")</f>
      </c>
      <c r="F346" s="2"/>
      <c r="G346" s="2"/>
      <c r="H346" s="8"/>
      <c r="I346" s="8"/>
      <c r="J346" s="2"/>
      <c r="K346" s="9"/>
      <c r="L346" s="8"/>
    </row>
    <row x14ac:dyDescent="0.25" r="347" customHeight="1" ht="18.75">
      <c r="A347" s="2" t="s">
        <v>307</v>
      </c>
      <c r="B347" s="11">
        <v>16.6</v>
      </c>
      <c r="C347" s="11">
        <f>IFERROR((B347-$H$3)/$I$3,"")</f>
      </c>
      <c r="D347" s="38">
        <f>IF(ABS(C347)&gt;2,"Yes","No")</f>
      </c>
      <c r="E347" s="11">
        <f>IFERROR((B347-$K$3) / ($L$3-$K$3),"")</f>
      </c>
      <c r="F347" s="2"/>
      <c r="G347" s="2"/>
      <c r="H347" s="8"/>
      <c r="I347" s="8"/>
      <c r="J347" s="2"/>
      <c r="K347" s="9"/>
      <c r="L347" s="8"/>
    </row>
    <row x14ac:dyDescent="0.25" r="348" customHeight="1" ht="18.75">
      <c r="A348" s="2" t="s">
        <v>308</v>
      </c>
      <c r="B348" s="11">
        <v>18.2</v>
      </c>
      <c r="C348" s="11">
        <f>IFERROR((B348-$H$3)/$I$3,"")</f>
      </c>
      <c r="D348" s="38">
        <f>IF(ABS(C348)&gt;2,"Yes","No")</f>
      </c>
      <c r="E348" s="11">
        <f>IFERROR((B348-$K$3) / ($L$3-$K$3),"")</f>
      </c>
      <c r="F348" s="2"/>
      <c r="G348" s="2"/>
      <c r="H348" s="8"/>
      <c r="I348" s="8"/>
      <c r="J348" s="2"/>
      <c r="K348" s="9"/>
      <c r="L348" s="8"/>
    </row>
    <row x14ac:dyDescent="0.25" r="349" customHeight="1" ht="18.75">
      <c r="A349" s="2" t="s">
        <v>309</v>
      </c>
      <c r="B349" s="11">
        <v>18.2</v>
      </c>
      <c r="C349" s="11">
        <f>IFERROR((B349-$H$3)/$I$3,"")</f>
      </c>
      <c r="D349" s="38">
        <f>IF(ABS(C349)&gt;2,"Yes","No")</f>
      </c>
      <c r="E349" s="11">
        <f>IFERROR((B349-$K$3) / ($L$3-$K$3),"")</f>
      </c>
      <c r="F349" s="2"/>
      <c r="G349" s="2"/>
      <c r="H349" s="8"/>
      <c r="I349" s="8"/>
      <c r="J349" s="2"/>
      <c r="K349" s="9"/>
      <c r="L349" s="8"/>
    </row>
    <row x14ac:dyDescent="0.25" r="350" customHeight="1" ht="18.75">
      <c r="A350" s="2" t="s">
        <v>310</v>
      </c>
      <c r="B350" s="3">
        <v>13</v>
      </c>
      <c r="C350" s="11">
        <f>IFERROR((B350-$H$3)/$I$3,"")</f>
      </c>
      <c r="D350" s="38">
        <f>IF(ABS(C350)&gt;2,"Yes","No")</f>
      </c>
      <c r="E350" s="11">
        <f>IFERROR((B350-$K$3) / ($L$3-$K$3),"")</f>
      </c>
      <c r="F350" s="2"/>
      <c r="G350" s="2"/>
      <c r="H350" s="8"/>
      <c r="I350" s="8"/>
      <c r="J350" s="2"/>
      <c r="K350" s="9"/>
      <c r="L350" s="8"/>
    </row>
    <row x14ac:dyDescent="0.25" r="351" customHeight="1" ht="18.75">
      <c r="A351" s="2" t="s">
        <v>163</v>
      </c>
      <c r="B351" s="11">
        <v>14.9</v>
      </c>
      <c r="C351" s="11">
        <f>IFERROR((B351-$H$3)/$I$3,"")</f>
      </c>
      <c r="D351" s="38">
        <f>IF(ABS(C351)&gt;2,"Yes","No")</f>
      </c>
      <c r="E351" s="11">
        <f>IFERROR((B351-$K$3) / ($L$3-$K$3),"")</f>
      </c>
      <c r="F351" s="2"/>
      <c r="G351" s="2"/>
      <c r="H351" s="8"/>
      <c r="I351" s="8"/>
      <c r="J351" s="2"/>
      <c r="K351" s="9"/>
      <c r="L351" s="8"/>
    </row>
    <row x14ac:dyDescent="0.25" r="352" customHeight="1" ht="18.75">
      <c r="A352" s="2" t="s">
        <v>311</v>
      </c>
      <c r="B352" s="11">
        <v>15.2</v>
      </c>
      <c r="C352" s="11">
        <f>IFERROR((B352-$H$3)/$I$3,"")</f>
      </c>
      <c r="D352" s="38">
        <f>IF(ABS(C352)&gt;2,"Yes","No")</f>
      </c>
      <c r="E352" s="11">
        <f>IFERROR((B352-$K$3) / ($L$3-$K$3),"")</f>
      </c>
      <c r="F352" s="2"/>
      <c r="G352" s="2"/>
      <c r="H352" s="8"/>
      <c r="I352" s="8"/>
      <c r="J352" s="2"/>
      <c r="K352" s="9"/>
      <c r="L352" s="8"/>
    </row>
    <row x14ac:dyDescent="0.25" r="353" customHeight="1" ht="18.75">
      <c r="A353" s="2" t="s">
        <v>194</v>
      </c>
      <c r="B353" s="11">
        <v>14.3</v>
      </c>
      <c r="C353" s="11">
        <f>IFERROR((B353-$H$3)/$I$3,"")</f>
      </c>
      <c r="D353" s="38">
        <f>IF(ABS(C353)&gt;2,"Yes","No")</f>
      </c>
      <c r="E353" s="11">
        <f>IFERROR((B353-$K$3) / ($L$3-$K$3),"")</f>
      </c>
      <c r="F353" s="2"/>
      <c r="G353" s="2"/>
      <c r="H353" s="8"/>
      <c r="I353" s="8"/>
      <c r="J353" s="2"/>
      <c r="K353" s="9"/>
      <c r="L353" s="8"/>
    </row>
    <row x14ac:dyDescent="0.25" r="354" customHeight="1" ht="18.75">
      <c r="A354" s="2" t="s">
        <v>312</v>
      </c>
      <c r="B354" s="11">
        <v>13.2</v>
      </c>
      <c r="C354" s="11">
        <f>IFERROR((B354-$H$3)/$I$3,"")</f>
      </c>
      <c r="D354" s="38">
        <f>IF(ABS(C354)&gt;2,"Yes","No")</f>
      </c>
      <c r="E354" s="11">
        <f>IFERROR((B354-$K$3) / ($L$3-$K$3),"")</f>
      </c>
      <c r="F354" s="2"/>
      <c r="G354" s="2"/>
      <c r="H354" s="8"/>
      <c r="I354" s="8"/>
      <c r="J354" s="2"/>
      <c r="K354" s="9"/>
      <c r="L354" s="8"/>
    </row>
    <row x14ac:dyDescent="0.25" r="355" customHeight="1" ht="18.75">
      <c r="A355" s="2" t="s">
        <v>313</v>
      </c>
      <c r="B355" s="3">
        <v>15</v>
      </c>
      <c r="C355" s="11">
        <f>IFERROR((B355-$H$3)/$I$3,"")</f>
      </c>
      <c r="D355" s="38">
        <f>IF(ABS(C355)&gt;2,"Yes","No")</f>
      </c>
      <c r="E355" s="11">
        <f>IFERROR((B355-$K$3) / ($L$3-$K$3),"")</f>
      </c>
      <c r="F355" s="2"/>
      <c r="G355" s="2"/>
      <c r="H355" s="8"/>
      <c r="I355" s="8"/>
      <c r="J355" s="2"/>
      <c r="K355" s="9"/>
      <c r="L355" s="8"/>
    </row>
    <row x14ac:dyDescent="0.25" r="356" customHeight="1" ht="18.75">
      <c r="A356" s="2" t="s">
        <v>314</v>
      </c>
      <c r="B356" s="11">
        <v>13.4</v>
      </c>
      <c r="C356" s="11">
        <f>IFERROR((B356-$H$3)/$I$3,"")</f>
      </c>
      <c r="D356" s="38">
        <f>IF(ABS(C356)&gt;2,"Yes","No")</f>
      </c>
      <c r="E356" s="11">
        <f>IFERROR((B356-$K$3) / ($L$3-$K$3),"")</f>
      </c>
      <c r="F356" s="2"/>
      <c r="G356" s="2"/>
      <c r="H356" s="8"/>
      <c r="I356" s="8"/>
      <c r="J356" s="2"/>
      <c r="K356" s="9"/>
      <c r="L356" s="8"/>
    </row>
    <row x14ac:dyDescent="0.25" r="357" customHeight="1" ht="18.75">
      <c r="A357" s="2" t="s">
        <v>230</v>
      </c>
      <c r="B357" s="11">
        <v>15.4</v>
      </c>
      <c r="C357" s="11">
        <f>IFERROR((B357-$H$3)/$I$3,"")</f>
      </c>
      <c r="D357" s="38">
        <f>IF(ABS(C357)&gt;2,"Yes","No")</f>
      </c>
      <c r="E357" s="11">
        <f>IFERROR((B357-$K$3) / ($L$3-$K$3),"")</f>
      </c>
      <c r="F357" s="2"/>
      <c r="G357" s="2"/>
      <c r="H357" s="8"/>
      <c r="I357" s="8"/>
      <c r="J357" s="2"/>
      <c r="K357" s="9"/>
      <c r="L357" s="8"/>
    </row>
    <row x14ac:dyDescent="0.25" r="358" customHeight="1" ht="18.75">
      <c r="A358" s="2" t="s">
        <v>315</v>
      </c>
      <c r="B358" s="11">
        <v>17.4</v>
      </c>
      <c r="C358" s="11">
        <f>IFERROR((B358-$H$3)/$I$3,"")</f>
      </c>
      <c r="D358" s="38">
        <f>IF(ABS(C358)&gt;2,"Yes","No")</f>
      </c>
      <c r="E358" s="11">
        <f>IFERROR((B358-$K$3) / ($L$3-$K$3),"")</f>
      </c>
      <c r="F358" s="2"/>
      <c r="G358" s="2"/>
      <c r="H358" s="8"/>
      <c r="I358" s="8"/>
      <c r="J358" s="2"/>
      <c r="K358" s="9"/>
      <c r="L358" s="8"/>
    </row>
    <row x14ac:dyDescent="0.25" r="359" customHeight="1" ht="18.75">
      <c r="A359" s="2" t="s">
        <v>296</v>
      </c>
      <c r="B359" s="11">
        <v>22.2</v>
      </c>
      <c r="C359" s="11">
        <f>IFERROR((B359-$H$3)/$I$3,"")</f>
      </c>
      <c r="D359" s="38">
        <f>IF(ABS(C359)&gt;2,"Yes","No")</f>
      </c>
      <c r="E359" s="11">
        <f>IFERROR((B359-$K$3) / ($L$3-$K$3),"")</f>
      </c>
      <c r="F359" s="2"/>
      <c r="G359" s="2"/>
      <c r="H359" s="8"/>
      <c r="I359" s="8"/>
      <c r="J359" s="2"/>
      <c r="K359" s="9"/>
      <c r="L359" s="8"/>
    </row>
    <row x14ac:dyDescent="0.25" r="360" customHeight="1" ht="18.75">
      <c r="A360" s="2" t="s">
        <v>231</v>
      </c>
      <c r="B360" s="11">
        <v>14.4</v>
      </c>
      <c r="C360" s="11">
        <f>IFERROR((B360-$H$3)/$I$3,"")</f>
      </c>
      <c r="D360" s="38">
        <f>IF(ABS(C360)&gt;2,"Yes","No")</f>
      </c>
      <c r="E360" s="11">
        <f>IFERROR((B360-$K$3) / ($L$3-$K$3),"")</f>
      </c>
      <c r="F360" s="2"/>
      <c r="G360" s="2"/>
      <c r="H360" s="8"/>
      <c r="I360" s="8"/>
      <c r="J360" s="2"/>
      <c r="K360" s="9"/>
      <c r="L360" s="8"/>
    </row>
    <row x14ac:dyDescent="0.25" r="361" customHeight="1" ht="18.75">
      <c r="A361" s="2" t="s">
        <v>304</v>
      </c>
      <c r="B361" s="11">
        <v>16.5</v>
      </c>
      <c r="C361" s="11">
        <f>IFERROR((B361-$H$3)/$I$3,"")</f>
      </c>
      <c r="D361" s="38">
        <f>IF(ABS(C361)&gt;2,"Yes","No")</f>
      </c>
      <c r="E361" s="11">
        <f>IFERROR((B361-$K$3) / ($L$3-$K$3),"")</f>
      </c>
      <c r="F361" s="2"/>
      <c r="G361" s="2"/>
      <c r="H361" s="8"/>
      <c r="I361" s="8"/>
      <c r="J361" s="2"/>
      <c r="K361" s="9"/>
      <c r="L361" s="8"/>
    </row>
    <row x14ac:dyDescent="0.25" r="362" customHeight="1" ht="18.75">
      <c r="A362" s="2" t="s">
        <v>251</v>
      </c>
      <c r="B362" s="11">
        <v>15.5</v>
      </c>
      <c r="C362" s="11">
        <f>IFERROR((B362-$H$3)/$I$3,"")</f>
      </c>
      <c r="D362" s="38">
        <f>IF(ABS(C362)&gt;2,"Yes","No")</f>
      </c>
      <c r="E362" s="11">
        <f>IFERROR((B362-$K$3) / ($L$3-$K$3),"")</f>
      </c>
      <c r="F362" s="2"/>
      <c r="G362" s="2"/>
      <c r="H362" s="8"/>
      <c r="I362" s="8"/>
      <c r="J362" s="2"/>
      <c r="K362" s="9"/>
      <c r="L362" s="8"/>
    </row>
    <row x14ac:dyDescent="0.25" r="363" customHeight="1" ht="18.75">
      <c r="A363" s="2" t="s">
        <v>316</v>
      </c>
      <c r="B363" s="11">
        <v>18.1</v>
      </c>
      <c r="C363" s="11">
        <f>IFERROR((B363-$H$3)/$I$3,"")</f>
      </c>
      <c r="D363" s="38">
        <f>IF(ABS(C363)&gt;2,"Yes","No")</f>
      </c>
      <c r="E363" s="11">
        <f>IFERROR((B363-$K$3) / ($L$3-$K$3),"")</f>
      </c>
      <c r="F363" s="2"/>
      <c r="G363" s="2"/>
      <c r="H363" s="8"/>
      <c r="I363" s="8"/>
      <c r="J363" s="2"/>
      <c r="K363" s="9"/>
      <c r="L363" s="8"/>
    </row>
    <row x14ac:dyDescent="0.25" r="364" customHeight="1" ht="18.75">
      <c r="A364" s="2" t="s">
        <v>290</v>
      </c>
      <c r="B364" s="11">
        <v>20.1</v>
      </c>
      <c r="C364" s="11">
        <f>IFERROR((B364-$H$3)/$I$3,"")</f>
      </c>
      <c r="D364" s="38">
        <f>IF(ABS(C364)&gt;2,"Yes","No")</f>
      </c>
      <c r="E364" s="11">
        <f>IFERROR((B364-$K$3) / ($L$3-$K$3),"")</f>
      </c>
      <c r="F364" s="2"/>
      <c r="G364" s="2"/>
      <c r="H364" s="8"/>
      <c r="I364" s="8"/>
      <c r="J364" s="2"/>
      <c r="K364" s="9"/>
      <c r="L364" s="8"/>
    </row>
    <row x14ac:dyDescent="0.25" r="365" customHeight="1" ht="18.75">
      <c r="A365" s="2" t="s">
        <v>317</v>
      </c>
      <c r="B365" s="11">
        <v>14.3</v>
      </c>
      <c r="C365" s="11">
        <f>IFERROR((B365-$H$3)/$I$3,"")</f>
      </c>
      <c r="D365" s="38">
        <f>IF(ABS(C365)&gt;2,"Yes","No")</f>
      </c>
      <c r="E365" s="11">
        <f>IFERROR((B365-$K$3) / ($L$3-$K$3),"")</f>
      </c>
      <c r="F365" s="2"/>
      <c r="G365" s="2"/>
      <c r="H365" s="8"/>
      <c r="I365" s="8"/>
      <c r="J365" s="2"/>
      <c r="K365" s="9"/>
      <c r="L365" s="8"/>
    </row>
    <row x14ac:dyDescent="0.25" r="366" customHeight="1" ht="18.75">
      <c r="A366" s="2" t="s">
        <v>286</v>
      </c>
      <c r="B366" s="11">
        <v>18.7</v>
      </c>
      <c r="C366" s="11">
        <f>IFERROR((B366-$H$3)/$I$3,"")</f>
      </c>
      <c r="D366" s="38">
        <f>IF(ABS(C366)&gt;2,"Yes","No")</f>
      </c>
      <c r="E366" s="11">
        <f>IFERROR((B366-$K$3) / ($L$3-$K$3),"")</f>
      </c>
      <c r="F366" s="2"/>
      <c r="G366" s="2"/>
      <c r="H366" s="8"/>
      <c r="I366" s="8"/>
      <c r="J366" s="2"/>
      <c r="K366" s="9"/>
      <c r="L366" s="8"/>
    </row>
    <row x14ac:dyDescent="0.25" r="367" customHeight="1" ht="18.75">
      <c r="A367" s="2" t="s">
        <v>318</v>
      </c>
      <c r="B367" s="11">
        <v>12.9</v>
      </c>
      <c r="C367" s="11">
        <f>IFERROR((B367-$H$3)/$I$3,"")</f>
      </c>
      <c r="D367" s="38">
        <f>IF(ABS(C367)&gt;2,"Yes","No")</f>
      </c>
      <c r="E367" s="11">
        <f>IFERROR((B367-$K$3) / ($L$3-$K$3),"")</f>
      </c>
      <c r="F367" s="2"/>
      <c r="G367" s="2"/>
      <c r="H367" s="8"/>
      <c r="I367" s="8"/>
      <c r="J367" s="2"/>
      <c r="K367" s="9"/>
      <c r="L367" s="8"/>
    </row>
    <row x14ac:dyDescent="0.25" r="368" customHeight="1" ht="18.75">
      <c r="A368" s="2" t="s">
        <v>319</v>
      </c>
      <c r="B368" s="11">
        <v>14.4</v>
      </c>
      <c r="C368" s="11">
        <f>IFERROR((B368-$H$3)/$I$3,"")</f>
      </c>
      <c r="D368" s="38">
        <f>IF(ABS(C368)&gt;2,"Yes","No")</f>
      </c>
      <c r="E368" s="11">
        <f>IFERROR((B368-$K$3) / ($L$3-$K$3),"")</f>
      </c>
      <c r="F368" s="2"/>
      <c r="G368" s="2"/>
      <c r="H368" s="8"/>
      <c r="I368" s="8"/>
      <c r="J368" s="2"/>
      <c r="K368" s="9"/>
      <c r="L368" s="8"/>
    </row>
    <row x14ac:dyDescent="0.25" r="369" customHeight="1" ht="18.75">
      <c r="A369" s="2" t="s">
        <v>320</v>
      </c>
      <c r="B369" s="11">
        <v>16.4</v>
      </c>
      <c r="C369" s="11">
        <f>IFERROR((B369-$H$3)/$I$3,"")</f>
      </c>
      <c r="D369" s="38">
        <f>IF(ABS(C369)&gt;2,"Yes","No")</f>
      </c>
      <c r="E369" s="11">
        <f>IFERROR((B369-$K$3) / ($L$3-$K$3),"")</f>
      </c>
      <c r="F369" s="2"/>
      <c r="G369" s="2"/>
      <c r="H369" s="8"/>
      <c r="I369" s="8"/>
      <c r="J369" s="2"/>
      <c r="K369" s="9"/>
      <c r="L369" s="8"/>
    </row>
    <row x14ac:dyDescent="0.25" r="370" customHeight="1" ht="18.75">
      <c r="A370" s="2" t="s">
        <v>318</v>
      </c>
      <c r="B370" s="11">
        <v>15.7</v>
      </c>
      <c r="C370" s="11">
        <f>IFERROR((B370-$H$3)/$I$3,"")</f>
      </c>
      <c r="D370" s="38">
        <f>IF(ABS(C370)&gt;2,"Yes","No")</f>
      </c>
      <c r="E370" s="11">
        <f>IFERROR((B370-$K$3) / ($L$3-$K$3),"")</f>
      </c>
      <c r="F370" s="2"/>
      <c r="G370" s="2"/>
      <c r="H370" s="8"/>
      <c r="I370" s="8"/>
      <c r="J370" s="2"/>
      <c r="K370" s="9"/>
      <c r="L370" s="8"/>
    </row>
    <row x14ac:dyDescent="0.25" r="371" customHeight="1" ht="18.75">
      <c r="A371" s="2" t="s">
        <v>268</v>
      </c>
      <c r="B371" s="11">
        <v>16.4</v>
      </c>
      <c r="C371" s="11">
        <f>IFERROR((B371-$H$3)/$I$3,"")</f>
      </c>
      <c r="D371" s="38">
        <f>IF(ABS(C371)&gt;2,"Yes","No")</f>
      </c>
      <c r="E371" s="11">
        <f>IFERROR((B371-$K$3) / ($L$3-$K$3),"")</f>
      </c>
      <c r="F371" s="2"/>
      <c r="G371" s="2"/>
      <c r="H371" s="8"/>
      <c r="I371" s="8"/>
      <c r="J371" s="2"/>
      <c r="K371" s="9"/>
      <c r="L371" s="8"/>
    </row>
    <row x14ac:dyDescent="0.25" r="372" customHeight="1" ht="18.75">
      <c r="A372" s="2" t="s">
        <v>321</v>
      </c>
      <c r="B372" s="11">
        <v>16.2</v>
      </c>
      <c r="C372" s="11">
        <f>IFERROR((B372-$H$3)/$I$3,"")</f>
      </c>
      <c r="D372" s="38">
        <f>IF(ABS(C372)&gt;2,"Yes","No")</f>
      </c>
      <c r="E372" s="11">
        <f>IFERROR((B372-$K$3) / ($L$3-$K$3),"")</f>
      </c>
      <c r="F372" s="2"/>
      <c r="G372" s="2"/>
      <c r="H372" s="8"/>
      <c r="I372" s="8"/>
      <c r="J372" s="2"/>
      <c r="K372" s="9"/>
      <c r="L372" s="8"/>
    </row>
    <row x14ac:dyDescent="0.25" r="373" customHeight="1" ht="18.75">
      <c r="A373" s="2" t="s">
        <v>322</v>
      </c>
      <c r="B373" s="11">
        <v>14.9</v>
      </c>
      <c r="C373" s="11">
        <f>IFERROR((B373-$H$3)/$I$3,"")</f>
      </c>
      <c r="D373" s="38">
        <f>IF(ABS(C373)&gt;2,"Yes","No")</f>
      </c>
      <c r="E373" s="11">
        <f>IFERROR((B373-$K$3) / ($L$3-$K$3),"")</f>
      </c>
      <c r="F373" s="2"/>
      <c r="G373" s="2"/>
      <c r="H373" s="8"/>
      <c r="I373" s="8"/>
      <c r="J373" s="2"/>
      <c r="K373" s="9"/>
      <c r="L373" s="8"/>
    </row>
    <row x14ac:dyDescent="0.25" r="374" customHeight="1" ht="18.75">
      <c r="A374" s="2" t="s">
        <v>323</v>
      </c>
      <c r="B374" s="11">
        <v>20.7</v>
      </c>
      <c r="C374" s="11">
        <f>IFERROR((B374-$H$3)/$I$3,"")</f>
      </c>
      <c r="D374" s="38">
        <f>IF(ABS(C374)&gt;2,"Yes","No")</f>
      </c>
      <c r="E374" s="11">
        <f>IFERROR((B374-$K$3) / ($L$3-$K$3),"")</f>
      </c>
      <c r="F374" s="2"/>
      <c r="G374" s="2"/>
      <c r="H374" s="8"/>
      <c r="I374" s="8"/>
      <c r="J374" s="2"/>
      <c r="K374" s="9"/>
      <c r="L374" s="8"/>
    </row>
    <row x14ac:dyDescent="0.25" r="375" customHeight="1" ht="18.75">
      <c r="A375" s="2" t="s">
        <v>304</v>
      </c>
      <c r="B375" s="11">
        <v>12.6</v>
      </c>
      <c r="C375" s="11">
        <f>IFERROR((B375-$H$3)/$I$3,"")</f>
      </c>
      <c r="D375" s="38">
        <f>IF(ABS(C375)&gt;2,"Yes","No")</f>
      </c>
      <c r="E375" s="11">
        <f>IFERROR((B375-$K$3) / ($L$3-$K$3),"")</f>
      </c>
      <c r="F375" s="2"/>
      <c r="G375" s="2"/>
      <c r="H375" s="8"/>
      <c r="I375" s="8"/>
      <c r="J375" s="2"/>
      <c r="K375" s="9"/>
      <c r="L375" s="8"/>
    </row>
    <row x14ac:dyDescent="0.25" r="376" customHeight="1" ht="18.75">
      <c r="A376" s="2" t="s">
        <v>240</v>
      </c>
      <c r="B376" s="11">
        <v>15.8</v>
      </c>
      <c r="C376" s="11">
        <f>IFERROR((B376-$H$3)/$I$3,"")</f>
      </c>
      <c r="D376" s="38">
        <f>IF(ABS(C376)&gt;2,"Yes","No")</f>
      </c>
      <c r="E376" s="11">
        <f>IFERROR((B376-$K$3) / ($L$3-$K$3),"")</f>
      </c>
      <c r="F376" s="2"/>
      <c r="G376" s="2"/>
      <c r="H376" s="8"/>
      <c r="I376" s="8"/>
      <c r="J376" s="2"/>
      <c r="K376" s="9"/>
      <c r="L376" s="8"/>
    </row>
    <row x14ac:dyDescent="0.25" r="377" customHeight="1" ht="18.75">
      <c r="A377" s="2" t="s">
        <v>324</v>
      </c>
      <c r="B377" s="11">
        <v>17.1</v>
      </c>
      <c r="C377" s="11">
        <f>IFERROR((B377-$H$3)/$I$3,"")</f>
      </c>
      <c r="D377" s="38">
        <f>IF(ABS(C377)&gt;2,"Yes","No")</f>
      </c>
      <c r="E377" s="11">
        <f>IFERROR((B377-$K$3) / ($L$3-$K$3),"")</f>
      </c>
      <c r="F377" s="2"/>
      <c r="G377" s="2"/>
      <c r="H377" s="8"/>
      <c r="I377" s="8"/>
      <c r="J377" s="2"/>
      <c r="K377" s="9"/>
      <c r="L377" s="8"/>
    </row>
    <row x14ac:dyDescent="0.25" r="378" customHeight="1" ht="18.75">
      <c r="A378" s="2" t="s">
        <v>325</v>
      </c>
      <c r="B378" s="11">
        <v>16.6</v>
      </c>
      <c r="C378" s="11">
        <f>IFERROR((B378-$H$3)/$I$3,"")</f>
      </c>
      <c r="D378" s="38">
        <f>IF(ABS(C378)&gt;2,"Yes","No")</f>
      </c>
      <c r="E378" s="11">
        <f>IFERROR((B378-$K$3) / ($L$3-$K$3),"")</f>
      </c>
      <c r="F378" s="2"/>
      <c r="G378" s="2"/>
      <c r="H378" s="8"/>
      <c r="I378" s="8"/>
      <c r="J378" s="2"/>
      <c r="K378" s="9"/>
      <c r="L378" s="8"/>
    </row>
    <row x14ac:dyDescent="0.25" r="379" customHeight="1" ht="18.75">
      <c r="A379" s="2" t="s">
        <v>326</v>
      </c>
      <c r="B379" s="3">
        <v>19</v>
      </c>
      <c r="C379" s="11">
        <f>IFERROR((B379-$H$3)/$I$3,"")</f>
      </c>
      <c r="D379" s="38">
        <f>IF(ABS(C379)&gt;2,"Yes","No")</f>
      </c>
      <c r="E379" s="11">
        <f>IFERROR((B379-$K$3) / ($L$3-$K$3),"")</f>
      </c>
      <c r="F379" s="2"/>
      <c r="G379" s="2"/>
      <c r="H379" s="8"/>
      <c r="I379" s="8"/>
      <c r="J379" s="2"/>
      <c r="K379" s="9"/>
      <c r="L379" s="8"/>
    </row>
    <row x14ac:dyDescent="0.25" r="380" customHeight="1" ht="18.75">
      <c r="A380" s="2" t="s">
        <v>327</v>
      </c>
      <c r="B380" s="3">
        <v>18</v>
      </c>
      <c r="C380" s="11">
        <f>IFERROR((B380-$H$3)/$I$3,"")</f>
      </c>
      <c r="D380" s="38">
        <f>IF(ABS(C380)&gt;2,"Yes","No")</f>
      </c>
      <c r="E380" s="11">
        <f>IFERROR((B380-$K$3) / ($L$3-$K$3),"")</f>
      </c>
      <c r="F380" s="2"/>
      <c r="G380" s="2"/>
      <c r="H380" s="8"/>
      <c r="I380" s="8"/>
      <c r="J380" s="2"/>
      <c r="K380" s="9"/>
      <c r="L380" s="8"/>
    </row>
    <row x14ac:dyDescent="0.25" r="381" customHeight="1" ht="18.75">
      <c r="A381" s="2" t="s">
        <v>328</v>
      </c>
      <c r="B381" s="11">
        <v>11.6</v>
      </c>
      <c r="C381" s="11">
        <f>IFERROR((B381-$H$3)/$I$3,"")</f>
      </c>
      <c r="D381" s="38">
        <f>IF(ABS(C381)&gt;2,"Yes","No")</f>
      </c>
      <c r="E381" s="11">
        <f>IFERROR((B381-$K$3) / ($L$3-$K$3),"")</f>
      </c>
      <c r="F381" s="2"/>
      <c r="G381" s="2"/>
      <c r="H381" s="8"/>
      <c r="I381" s="8"/>
      <c r="J381" s="2"/>
      <c r="K381" s="9"/>
      <c r="L381" s="8"/>
    </row>
    <row x14ac:dyDescent="0.25" r="382" customHeight="1" ht="18.75">
      <c r="A382" s="2" t="s">
        <v>329</v>
      </c>
      <c r="B382" s="11">
        <v>14.5</v>
      </c>
      <c r="C382" s="11">
        <f>IFERROR((B382-$H$3)/$I$3,"")</f>
      </c>
      <c r="D382" s="38">
        <f>IF(ABS(C382)&gt;2,"Yes","No")</f>
      </c>
      <c r="E382" s="11">
        <f>IFERROR((B382-$K$3) / ($L$3-$K$3),"")</f>
      </c>
      <c r="F382" s="2"/>
      <c r="G382" s="2"/>
      <c r="H382" s="8"/>
      <c r="I382" s="8"/>
      <c r="J382" s="2"/>
      <c r="K382" s="9"/>
      <c r="L382" s="8"/>
    </row>
    <row x14ac:dyDescent="0.25" r="383" customHeight="1" ht="18.75">
      <c r="A383" s="2" t="s">
        <v>330</v>
      </c>
      <c r="B383" s="3">
        <v>13</v>
      </c>
      <c r="C383" s="11">
        <f>IFERROR((B383-$H$3)/$I$3,"")</f>
      </c>
      <c r="D383" s="38">
        <f>IF(ABS(C383)&gt;2,"Yes","No")</f>
      </c>
      <c r="E383" s="11">
        <f>IFERROR((B383-$K$3) / ($L$3-$K$3),"")</f>
      </c>
      <c r="F383" s="2"/>
      <c r="G383" s="2"/>
      <c r="H383" s="8"/>
      <c r="I383" s="8"/>
      <c r="J383" s="2"/>
      <c r="K383" s="9"/>
      <c r="L383" s="8"/>
    </row>
    <row x14ac:dyDescent="0.25" r="384" customHeight="1" ht="18.75">
      <c r="A384" s="2" t="s">
        <v>331</v>
      </c>
      <c r="B384" s="11">
        <v>19.6</v>
      </c>
      <c r="C384" s="11">
        <f>IFERROR((B384-$H$3)/$I$3,"")</f>
      </c>
      <c r="D384" s="38">
        <f>IF(ABS(C384)&gt;2,"Yes","No")</f>
      </c>
      <c r="E384" s="11">
        <f>IFERROR((B384-$K$3) / ($L$3-$K$3),"")</f>
      </c>
      <c r="F384" s="2"/>
      <c r="G384" s="2"/>
      <c r="H384" s="8"/>
      <c r="I384" s="8"/>
      <c r="J384" s="2"/>
      <c r="K384" s="9"/>
      <c r="L384" s="8"/>
    </row>
    <row x14ac:dyDescent="0.25" r="385" customHeight="1" ht="18.75">
      <c r="A385" s="2" t="s">
        <v>332</v>
      </c>
      <c r="B385" s="11">
        <v>18.6</v>
      </c>
      <c r="C385" s="11">
        <f>IFERROR((B385-$H$3)/$I$3,"")</f>
      </c>
      <c r="D385" s="38">
        <f>IF(ABS(C385)&gt;2,"Yes","No")</f>
      </c>
      <c r="E385" s="11">
        <f>IFERROR((B385-$K$3) / ($L$3-$K$3),"")</f>
      </c>
      <c r="F385" s="2"/>
      <c r="G385" s="2"/>
      <c r="H385" s="8"/>
      <c r="I385" s="8"/>
      <c r="J385" s="2"/>
      <c r="K385" s="9"/>
      <c r="L385" s="8"/>
    </row>
    <row x14ac:dyDescent="0.25" r="386" customHeight="1" ht="18.75">
      <c r="A386" s="2" t="s">
        <v>333</v>
      </c>
      <c r="B386" s="3">
        <v>16</v>
      </c>
      <c r="C386" s="11">
        <f>IFERROR((B386-$H$3)/$I$3,"")</f>
      </c>
      <c r="D386" s="38">
        <f>IF(ABS(C386)&gt;2,"Yes","No")</f>
      </c>
      <c r="E386" s="11">
        <f>IFERROR((B386-$K$3) / ($L$3-$K$3),"")</f>
      </c>
      <c r="F386" s="2"/>
      <c r="G386" s="2"/>
      <c r="H386" s="8"/>
      <c r="I386" s="8"/>
      <c r="J386" s="2"/>
      <c r="K386" s="9"/>
      <c r="L386" s="8"/>
    </row>
    <row x14ac:dyDescent="0.25" r="387" customHeight="1" ht="18.75">
      <c r="A387" s="2" t="s">
        <v>334</v>
      </c>
      <c r="B387" s="11">
        <v>16.2</v>
      </c>
      <c r="C387" s="11">
        <f>IFERROR((B387-$H$3)/$I$3,"")</f>
      </c>
      <c r="D387" s="38">
        <f>IF(ABS(C387)&gt;2,"Yes","No")</f>
      </c>
      <c r="E387" s="11">
        <f>IFERROR((B387-$K$3) / ($L$3-$K$3),"")</f>
      </c>
      <c r="F387" s="2"/>
      <c r="G387" s="2"/>
      <c r="H387" s="8"/>
      <c r="I387" s="8"/>
      <c r="J387" s="2"/>
      <c r="K387" s="9"/>
      <c r="L387" s="8"/>
    </row>
    <row x14ac:dyDescent="0.25" r="388" customHeight="1" ht="18.75">
      <c r="A388" s="2" t="s">
        <v>335</v>
      </c>
      <c r="B388" s="11">
        <v>17.3</v>
      </c>
      <c r="C388" s="11">
        <f>IFERROR((B388-$H$3)/$I$3,"")</f>
      </c>
      <c r="D388" s="38">
        <f>IF(ABS(C388)&gt;2,"Yes","No")</f>
      </c>
      <c r="E388" s="11">
        <f>IFERROR((B388-$K$3) / ($L$3-$K$3),"")</f>
      </c>
      <c r="F388" s="2"/>
      <c r="G388" s="2"/>
      <c r="H388" s="8"/>
      <c r="I388" s="8"/>
      <c r="J388" s="2"/>
      <c r="K388" s="9"/>
      <c r="L388" s="8"/>
    </row>
    <row x14ac:dyDescent="0.25" r="389" customHeight="1" ht="18.75">
      <c r="A389" s="2" t="s">
        <v>298</v>
      </c>
      <c r="B389" s="3">
        <v>18</v>
      </c>
      <c r="C389" s="11">
        <f>IFERROR((B389-$H$3)/$I$3,"")</f>
      </c>
      <c r="D389" s="38">
        <f>IF(ABS(C389)&gt;2,"Yes","No")</f>
      </c>
      <c r="E389" s="11">
        <f>IFERROR((B389-$K$3) / ($L$3-$K$3),"")</f>
      </c>
      <c r="F389" s="2"/>
      <c r="G389" s="2"/>
      <c r="H389" s="8"/>
      <c r="I389" s="8"/>
      <c r="J389" s="2"/>
      <c r="K389" s="9"/>
      <c r="L389" s="8"/>
    </row>
    <row x14ac:dyDescent="0.25" r="390" customHeight="1" ht="18.75">
      <c r="A390" s="2" t="s">
        <v>336</v>
      </c>
      <c r="B390" s="11">
        <v>16.4</v>
      </c>
      <c r="C390" s="11">
        <f>IFERROR((B390-$H$3)/$I$3,"")</f>
      </c>
      <c r="D390" s="38">
        <f>IF(ABS(C390)&gt;2,"Yes","No")</f>
      </c>
      <c r="E390" s="11">
        <f>IFERROR((B390-$K$3) / ($L$3-$K$3),"")</f>
      </c>
      <c r="F390" s="2"/>
      <c r="G390" s="2"/>
      <c r="H390" s="8"/>
      <c r="I390" s="8"/>
      <c r="J390" s="2"/>
      <c r="K390" s="9"/>
      <c r="L390" s="8"/>
    </row>
    <row x14ac:dyDescent="0.25" r="391" customHeight="1" ht="18.75">
      <c r="A391" s="2" t="s">
        <v>337</v>
      </c>
      <c r="B391" s="11">
        <v>15.6</v>
      </c>
      <c r="C391" s="11">
        <f>IFERROR((B391-$H$3)/$I$3,"")</f>
      </c>
      <c r="D391" s="38">
        <f>IF(ABS(C391)&gt;2,"Yes","No")</f>
      </c>
      <c r="E391" s="11">
        <f>IFERROR((B391-$K$3) / ($L$3-$K$3),"")</f>
      </c>
      <c r="F391" s="2"/>
      <c r="G391" s="2"/>
      <c r="H391" s="8"/>
      <c r="I391" s="8"/>
      <c r="J391" s="2"/>
      <c r="K391" s="9"/>
      <c r="L391" s="8"/>
    </row>
    <row x14ac:dyDescent="0.25" r="392" customHeight="1" ht="18.75">
      <c r="A392" s="2" t="s">
        <v>338</v>
      </c>
      <c r="B392" s="11">
        <v>17.3</v>
      </c>
      <c r="C392" s="11">
        <f>IFERROR((B392-$H$3)/$I$3,"")</f>
      </c>
      <c r="D392" s="38">
        <f>IF(ABS(C392)&gt;2,"Yes","No")</f>
      </c>
      <c r="E392" s="11">
        <f>IFERROR((B392-$K$3) / ($L$3-$K$3),"")</f>
      </c>
      <c r="F392" s="2"/>
      <c r="G392" s="2"/>
      <c r="H392" s="8"/>
      <c r="I392" s="8"/>
      <c r="J392" s="2"/>
      <c r="K392" s="9"/>
      <c r="L392" s="8"/>
    </row>
    <row x14ac:dyDescent="0.25" r="393" customHeight="1" ht="18.75">
      <c r="A393" s="2" t="s">
        <v>339</v>
      </c>
      <c r="B393" s="11">
        <v>19.4</v>
      </c>
      <c r="C393" s="11">
        <f>IFERROR((B393-$H$3)/$I$3,"")</f>
      </c>
      <c r="D393" s="38">
        <f>IF(ABS(C393)&gt;2,"Yes","No")</f>
      </c>
      <c r="E393" s="11">
        <f>IFERROR((B393-$K$3) / ($L$3-$K$3),"")</f>
      </c>
      <c r="F393" s="2"/>
      <c r="G393" s="2"/>
      <c r="H393" s="8"/>
      <c r="I393" s="8"/>
      <c r="J393" s="2"/>
      <c r="K393" s="9"/>
      <c r="L393" s="8"/>
    </row>
    <row x14ac:dyDescent="0.25" r="394" customHeight="1" ht="18.75">
      <c r="A394" s="2" t="s">
        <v>340</v>
      </c>
      <c r="B394" s="11">
        <v>18.6</v>
      </c>
      <c r="C394" s="11">
        <f>IFERROR((B394-$H$3)/$I$3,"")</f>
      </c>
      <c r="D394" s="38">
        <f>IF(ABS(C394)&gt;2,"Yes","No")</f>
      </c>
      <c r="E394" s="11">
        <f>IFERROR((B394-$K$3) / ($L$3-$K$3),"")</f>
      </c>
      <c r="F394" s="2"/>
      <c r="G394" s="2"/>
      <c r="H394" s="8"/>
      <c r="I394" s="8"/>
      <c r="J394" s="2"/>
      <c r="K394" s="9"/>
      <c r="L394" s="8"/>
    </row>
    <row x14ac:dyDescent="0.25" r="395" customHeight="1" ht="18.75">
      <c r="A395" s="2" t="s">
        <v>341</v>
      </c>
      <c r="B395" s="11">
        <v>14.7</v>
      </c>
      <c r="C395" s="11">
        <f>IFERROR((B395-$H$3)/$I$3,"")</f>
      </c>
      <c r="D395" s="38">
        <f>IF(ABS(C395)&gt;2,"Yes","No")</f>
      </c>
      <c r="E395" s="11">
        <f>IFERROR((B395-$K$3) / ($L$3-$K$3),"")</f>
      </c>
      <c r="F395" s="2"/>
      <c r="G395" s="2"/>
      <c r="H395" s="8"/>
      <c r="I395" s="8"/>
      <c r="J395" s="2"/>
      <c r="K395" s="9"/>
      <c r="L395" s="8"/>
    </row>
    <row x14ac:dyDescent="0.25" r="396" customHeight="1" ht="18.75">
      <c r="A396" s="2" t="s">
        <v>342</v>
      </c>
      <c r="B396" s="11">
        <v>20.5</v>
      </c>
      <c r="C396" s="11">
        <f>IFERROR((B396-$H$3)/$I$3,"")</f>
      </c>
      <c r="D396" s="38">
        <f>IF(ABS(C396)&gt;2,"Yes","No")</f>
      </c>
      <c r="E396" s="11">
        <f>IFERROR((B396-$K$3) / ($L$3-$K$3),"")</f>
      </c>
      <c r="F396" s="2"/>
      <c r="G396" s="2"/>
      <c r="H396" s="8"/>
      <c r="I396" s="8"/>
      <c r="J396" s="2"/>
      <c r="K396" s="9"/>
      <c r="L396" s="8"/>
    </row>
    <row x14ac:dyDescent="0.25" r="397" customHeight="1" ht="18.75">
      <c r="A397" s="2" t="s">
        <v>343</v>
      </c>
      <c r="B397" s="11">
        <v>14.7</v>
      </c>
      <c r="C397" s="11">
        <f>IFERROR((B397-$H$3)/$I$3,"")</f>
      </c>
      <c r="D397" s="38">
        <f>IF(ABS(C397)&gt;2,"Yes","No")</f>
      </c>
      <c r="E397" s="11">
        <f>IFERROR((B397-$K$3) / ($L$3-$K$3),"")</f>
      </c>
      <c r="F397" s="2"/>
      <c r="G397" s="2"/>
      <c r="H397" s="8"/>
      <c r="I397" s="8"/>
      <c r="J397" s="2"/>
      <c r="K397" s="9"/>
      <c r="L397" s="8"/>
    </row>
    <row x14ac:dyDescent="0.25" r="398" customHeight="1" ht="18.75">
      <c r="A398" s="2" t="s">
        <v>344</v>
      </c>
      <c r="B398" s="11">
        <v>16.4</v>
      </c>
      <c r="C398" s="11">
        <f>IFERROR((B398-$H$3)/$I$3,"")</f>
      </c>
      <c r="D398" s="38">
        <f>IF(ABS(C398)&gt;2,"Yes","No")</f>
      </c>
      <c r="E398" s="11">
        <f>IFERROR((B398-$K$3) / ($L$3-$K$3),"")</f>
      </c>
      <c r="F398" s="2"/>
      <c r="G398" s="2"/>
      <c r="H398" s="8"/>
      <c r="I398" s="8"/>
      <c r="J398" s="2"/>
      <c r="K398" s="9"/>
      <c r="L398" s="8"/>
    </row>
    <row x14ac:dyDescent="0.25" r="399" customHeight="1" ht="18.75">
      <c r="A399" s="2" t="s">
        <v>345</v>
      </c>
      <c r="B399" s="3">
        <v>17</v>
      </c>
      <c r="C399" s="11">
        <f>IFERROR((B399-$H$3)/$I$3,"")</f>
      </c>
      <c r="D399" s="38">
        <f>IF(ABS(C399)&gt;2,"Yes","No")</f>
      </c>
      <c r="E399" s="11">
        <f>IFERROR((B399-$K$3) / ($L$3-$K$3),"")</f>
      </c>
      <c r="F399" s="2"/>
      <c r="G399" s="2"/>
      <c r="H399" s="8"/>
      <c r="I399" s="8"/>
      <c r="J399" s="2"/>
      <c r="K399" s="9"/>
      <c r="L399" s="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399"/>
  <sheetViews>
    <sheetView workbookViewId="0"/>
  </sheetViews>
  <sheetFormatPr defaultRowHeight="15" x14ac:dyDescent="0.25"/>
  <cols>
    <col min="1" max="1" style="5" width="37.005" customWidth="1" bestFit="1"/>
    <col min="2" max="2" style="4" width="13.576428571428572" customWidth="1" bestFit="1"/>
    <col min="3" max="3" style="4" width="11.719285714285713" customWidth="1" bestFit="1"/>
    <col min="4" max="4" style="4" width="12.719285714285713" customWidth="1" bestFit="1"/>
    <col min="5" max="5" style="4" width="11.576428571428572" customWidth="1" bestFit="1"/>
    <col min="6" max="6" style="5" width="11.719285714285713" customWidth="1" bestFit="1"/>
    <col min="7" max="7" style="5" width="13.576428571428572" customWidth="1" bestFit="1"/>
    <col min="8" max="8" style="5" width="16.576428571428572" customWidth="1" bestFit="1"/>
    <col min="9" max="9" style="16" width="12.719285714285713" customWidth="1" bestFit="1"/>
    <col min="10" max="10" style="5" width="13.576428571428572" customWidth="1" bestFit="1"/>
    <col min="11" max="11" style="5" width="16.576428571428572" customWidth="1" bestFit="1"/>
    <col min="12" max="12" style="5" width="12.719285714285713" customWidth="1" bestFit="1"/>
    <col min="13" max="13" style="5" width="11.719285714285713" customWidth="1" bestFit="1"/>
    <col min="14" max="14" style="5" width="16.576428571428572" customWidth="1" bestFit="1"/>
    <col min="15" max="15" style="5" width="12.005" customWidth="1" bestFit="1"/>
    <col min="16" max="16" style="5" width="13.576428571428572" customWidth="1" bestFit="1"/>
    <col min="17" max="17" style="5" width="16.290714285714284" customWidth="1" bestFit="1"/>
    <col min="18" max="18" style="5" width="16.290714285714284" customWidth="1" bestFit="1"/>
    <col min="19" max="19" style="5" width="13.43357142857143" customWidth="1" bestFit="1"/>
    <col min="20" max="20" style="5" width="13.719285714285713" customWidth="1" bestFit="1"/>
    <col min="21" max="21" style="16" width="13.576428571428572" customWidth="1" bestFit="1"/>
    <col min="22" max="22" style="5" width="13.576428571428572" customWidth="1" bestFit="1"/>
    <col min="23" max="23" style="16" width="25.005" customWidth="1" bestFit="1"/>
    <col min="24" max="24" style="16" width="19.14785714285714" customWidth="1" bestFit="1"/>
    <col min="25" max="25" style="16" width="10.43357142857143" customWidth="1" bestFit="1"/>
    <col min="26" max="26" style="16" width="17.14785714285714" customWidth="1" bestFit="1"/>
  </cols>
  <sheetData>
    <row x14ac:dyDescent="0.25" r="1" customHeight="1" ht="18.75" customFormat="1" s="17">
      <c r="A1" s="19" t="s">
        <v>31</v>
      </c>
      <c r="B1" s="20" t="s">
        <v>33</v>
      </c>
      <c r="C1" s="20" t="s">
        <v>36</v>
      </c>
      <c r="D1" s="20" t="s">
        <v>38</v>
      </c>
      <c r="E1" s="20" t="s">
        <v>39</v>
      </c>
      <c r="F1" s="19" t="s">
        <v>385</v>
      </c>
      <c r="G1" s="18"/>
      <c r="H1" s="18" t="s">
        <v>386</v>
      </c>
      <c r="I1" s="37"/>
      <c r="J1" s="18"/>
      <c r="K1" s="18" t="s">
        <v>387</v>
      </c>
      <c r="L1" s="18"/>
      <c r="M1" s="18"/>
      <c r="N1" s="18"/>
      <c r="O1" s="18"/>
      <c r="P1" s="18"/>
      <c r="Q1" s="18"/>
      <c r="R1" s="18"/>
      <c r="S1" s="18"/>
      <c r="T1" s="18"/>
      <c r="U1" s="37"/>
      <c r="V1" s="18"/>
      <c r="W1" s="37"/>
      <c r="X1" s="37"/>
      <c r="Y1" s="37"/>
      <c r="Z1" s="37"/>
    </row>
    <row x14ac:dyDescent="0.25" r="2" customHeight="1" ht="18.75">
      <c r="A2" s="2" t="s">
        <v>41</v>
      </c>
      <c r="B2" s="3">
        <v>26</v>
      </c>
      <c r="C2" s="3">
        <v>113</v>
      </c>
      <c r="D2" s="11">
        <v>12.5</v>
      </c>
      <c r="E2" s="3">
        <v>70</v>
      </c>
      <c r="F2" s="38">
        <f>IF(AND(C2&gt;100,D2&lt;13,B2&gt;32.5),"High Performance",IF(AND(C2&lt;= 100,C2&gt;=60,D2&gt;=13,D2&lt;=19,B2&gt;=17,B2&lt;=32.5),"Mid Range","Economy"))</f>
      </c>
      <c r="G2" s="2"/>
      <c r="H2" s="25" t="s">
        <v>388</v>
      </c>
      <c r="I2" s="39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9"/>
      <c r="V2" s="2"/>
      <c r="W2" s="9"/>
      <c r="X2" s="9"/>
      <c r="Y2" s="9"/>
      <c r="Z2" s="9"/>
    </row>
    <row x14ac:dyDescent="0.25" r="3" customHeight="1" ht="18.75">
      <c r="A3" s="2" t="s">
        <v>42</v>
      </c>
      <c r="B3" s="3">
        <v>25</v>
      </c>
      <c r="C3" s="3">
        <v>95</v>
      </c>
      <c r="D3" s="11">
        <v>17.5</v>
      </c>
      <c r="E3" s="3">
        <v>70</v>
      </c>
      <c r="F3" s="38">
        <f>IF(AND(C3&gt;100,D3&lt;13,B3&gt;32.5),"High Performance",IF(AND(C3&lt;= 100,C3&gt;=60,D3&gt;=13,D3&lt;=19,B3&gt;=17,B3&lt;=32.5),"Mid Range","Economy"))</f>
      </c>
      <c r="G3" s="2"/>
      <c r="H3" s="2"/>
      <c r="I3" s="9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9"/>
      <c r="V3" s="2"/>
      <c r="W3" s="9"/>
      <c r="X3" s="9"/>
      <c r="Y3" s="9"/>
      <c r="Z3" s="9"/>
    </row>
    <row x14ac:dyDescent="0.25" r="4" customHeight="1" ht="18.75">
      <c r="A4" s="2" t="s">
        <v>43</v>
      </c>
      <c r="B4" s="3">
        <v>24</v>
      </c>
      <c r="C4" s="3">
        <v>90</v>
      </c>
      <c r="D4" s="11">
        <v>14.5</v>
      </c>
      <c r="E4" s="3">
        <v>70</v>
      </c>
      <c r="F4" s="38">
        <f>IF(AND(C4&gt;100,D4&lt;13,B4&gt;32.5),"High Performance",IF(AND(C4&lt;= 100,C4&gt;=60,D4&gt;=13,D4&lt;=19,B4&gt;=17,B4&lt;=32.5),"Mid Range","Economy"))</f>
      </c>
      <c r="G4" s="2"/>
      <c r="H4" s="2" t="s">
        <v>389</v>
      </c>
      <c r="I4" s="11">
        <v>23.514572864321607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9"/>
      <c r="V4" s="2"/>
      <c r="W4" s="9"/>
      <c r="X4" s="9"/>
      <c r="Y4" s="9"/>
      <c r="Z4" s="9"/>
    </row>
    <row x14ac:dyDescent="0.25" r="5" customHeight="1" ht="18.75">
      <c r="A5" s="2" t="s">
        <v>44</v>
      </c>
      <c r="B5" s="3">
        <v>25</v>
      </c>
      <c r="C5" s="3">
        <v>87</v>
      </c>
      <c r="D5" s="11">
        <v>17.5</v>
      </c>
      <c r="E5" s="3">
        <v>70</v>
      </c>
      <c r="F5" s="38">
        <f>IF(AND(C5&gt;100,D5&lt;13,B5&gt;32.5),"High Performance",IF(AND(C5&lt;= 100,C5&gt;=60,D5&gt;=13,D5&lt;=19,B5&gt;=17,B5&lt;=32.5),"Mid Range","Economy"))</f>
      </c>
      <c r="G5" s="2"/>
      <c r="H5" s="2" t="s">
        <v>354</v>
      </c>
      <c r="I5" s="11">
        <v>0.3917798927426896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9"/>
      <c r="V5" s="2"/>
      <c r="W5" s="9"/>
      <c r="X5" s="9"/>
      <c r="Y5" s="9"/>
      <c r="Z5" s="9"/>
    </row>
    <row x14ac:dyDescent="0.25" r="6" customHeight="1" ht="18.75">
      <c r="A6" s="2" t="s">
        <v>45</v>
      </c>
      <c r="B6" s="3">
        <v>26</v>
      </c>
      <c r="C6" s="3">
        <v>46</v>
      </c>
      <c r="D6" s="11">
        <v>20.5</v>
      </c>
      <c r="E6" s="3">
        <v>70</v>
      </c>
      <c r="F6" s="38">
        <f>IF(AND(C6&gt;100,D6&lt;13,B6&gt;32.5),"High Performance",IF(AND(C6&lt;= 100,C6&gt;=60,D6&gt;=13,D6&lt;=19,B6&gt;=17,B6&lt;=32.5),"Mid Range","Economy"))</f>
      </c>
      <c r="G6" s="2"/>
      <c r="H6" s="2" t="s">
        <v>390</v>
      </c>
      <c r="I6" s="3">
        <v>23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9"/>
      <c r="V6" s="2"/>
      <c r="W6" s="9"/>
      <c r="X6" s="9"/>
      <c r="Y6" s="9"/>
      <c r="Z6" s="9"/>
    </row>
    <row x14ac:dyDescent="0.25" r="7" customHeight="1" ht="18.75">
      <c r="A7" s="2" t="s">
        <v>46</v>
      </c>
      <c r="B7" s="3">
        <v>28</v>
      </c>
      <c r="C7" s="3">
        <v>90</v>
      </c>
      <c r="D7" s="3">
        <v>14</v>
      </c>
      <c r="E7" s="3">
        <v>71</v>
      </c>
      <c r="F7" s="38">
        <f>IF(AND(C7&gt;100,D7&lt;13,B7&gt;32.5),"High Performance",IF(AND(C7&lt;= 100,C7&gt;=60,D7&gt;=13,D7&lt;=19,B7&gt;=17,B7&lt;=32.5),"Mid Range","Economy"))</f>
      </c>
      <c r="G7" s="2"/>
      <c r="H7" s="2" t="s">
        <v>391</v>
      </c>
      <c r="I7" s="3">
        <v>13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9"/>
      <c r="V7" s="2"/>
      <c r="W7" s="9"/>
      <c r="X7" s="9"/>
      <c r="Y7" s="9"/>
      <c r="Z7" s="9"/>
    </row>
    <row x14ac:dyDescent="0.25" r="8" customHeight="1" ht="18.75">
      <c r="A8" s="2" t="s">
        <v>47</v>
      </c>
      <c r="B8" s="3">
        <v>30</v>
      </c>
      <c r="C8" s="3">
        <v>76</v>
      </c>
      <c r="D8" s="11">
        <v>14.5</v>
      </c>
      <c r="E8" s="3">
        <v>71</v>
      </c>
      <c r="F8" s="38">
        <f>IF(AND(C8&gt;100,D8&lt;13,B8&gt;32.5),"High Performance",IF(AND(C8&lt;= 100,C8&gt;=60,D8&gt;=13,D8&lt;=19,B8&gt;=17,B8&lt;=32.5),"Mid Range","Economy"))</f>
      </c>
      <c r="G8" s="2"/>
      <c r="H8" s="2" t="s">
        <v>392</v>
      </c>
      <c r="I8" s="11">
        <v>7.815984312565782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9"/>
      <c r="V8" s="2"/>
      <c r="W8" s="9"/>
      <c r="X8" s="9"/>
      <c r="Y8" s="9"/>
      <c r="Z8" s="9"/>
    </row>
    <row x14ac:dyDescent="0.25" r="9" customHeight="1" ht="18.75">
      <c r="A9" s="2" t="s">
        <v>48</v>
      </c>
      <c r="B9" s="3">
        <v>30</v>
      </c>
      <c r="C9" s="3">
        <v>70</v>
      </c>
      <c r="D9" s="11">
        <v>19.5</v>
      </c>
      <c r="E9" s="3">
        <v>71</v>
      </c>
      <c r="F9" s="38">
        <f>IF(AND(C9&gt;100,D9&lt;13,B9&gt;32.5),"High Performance",IF(AND(C9&lt;= 100,C9&gt;=60,D9&gt;=13,D9&lt;=19,B9&gt;=17,B9&lt;=32.5),"Mid Range","Economy"))</f>
      </c>
      <c r="G9" s="2"/>
      <c r="H9" s="2" t="s">
        <v>393</v>
      </c>
      <c r="I9" s="11">
        <v>61.08961077427441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9"/>
      <c r="V9" s="2"/>
      <c r="W9" s="9"/>
      <c r="X9" s="9"/>
      <c r="Y9" s="9"/>
      <c r="Z9" s="9"/>
    </row>
    <row x14ac:dyDescent="0.25" r="10" customHeight="1" ht="18.75">
      <c r="A10" s="2" t="s">
        <v>49</v>
      </c>
      <c r="B10" s="3">
        <v>27</v>
      </c>
      <c r="C10" s="3">
        <v>60</v>
      </c>
      <c r="D10" s="3">
        <v>19</v>
      </c>
      <c r="E10" s="3">
        <v>71</v>
      </c>
      <c r="F10" s="38">
        <f>IF(AND(C10&gt;100,D10&lt;13,B10&gt;32.5),"High Performance",IF(AND(C10&lt;= 100,C10&gt;=60,D10&gt;=13,D10&lt;=19,B10&gt;=17,B10&lt;=32.5),"Mid Range","Economy"))</f>
      </c>
      <c r="G10" s="2"/>
      <c r="H10" s="2" t="s">
        <v>394</v>
      </c>
      <c r="I10" s="11">
        <v>-0.5107812652123118</v>
      </c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9"/>
      <c r="V10" s="2"/>
      <c r="W10" s="9"/>
      <c r="X10" s="9"/>
      <c r="Y10" s="9"/>
      <c r="Z10" s="9"/>
    </row>
    <row x14ac:dyDescent="0.25" r="11" customHeight="1" ht="18.75">
      <c r="A11" s="2" t="s">
        <v>50</v>
      </c>
      <c r="B11" s="3">
        <v>18</v>
      </c>
      <c r="C11" s="3">
        <v>112</v>
      </c>
      <c r="D11" s="11">
        <v>14.5</v>
      </c>
      <c r="E11" s="3">
        <v>72</v>
      </c>
      <c r="F11" s="38">
        <f>IF(AND(C11&gt;100,D11&lt;13,B11&gt;32.5),"High Performance",IF(AND(C11&lt;= 100,C11&gt;=60,D11&gt;=13,D11&lt;=19,B11&gt;=17,B11&lt;=32.5),"Mid Range","Economy"))</f>
      </c>
      <c r="G11" s="2"/>
      <c r="H11" s="2" t="s">
        <v>395</v>
      </c>
      <c r="I11" s="11">
        <v>0.45706634399491886</v>
      </c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9"/>
      <c r="V11" s="2"/>
      <c r="W11" s="9"/>
      <c r="X11" s="9"/>
      <c r="Y11" s="9"/>
      <c r="Z11" s="9"/>
    </row>
    <row x14ac:dyDescent="0.25" r="12" customHeight="1" ht="18.75">
      <c r="A12" s="2" t="s">
        <v>51</v>
      </c>
      <c r="B12" s="3">
        <v>26</v>
      </c>
      <c r="C12" s="3">
        <v>69</v>
      </c>
      <c r="D12" s="3">
        <v>18</v>
      </c>
      <c r="E12" s="3">
        <v>72</v>
      </c>
      <c r="F12" s="38">
        <f>IF(AND(C12&gt;100,D12&lt;13,B12&gt;32.5),"High Performance",IF(AND(C12&lt;= 100,C12&gt;=60,D12&gt;=13,D12&lt;=19,B12&gt;=17,B12&lt;=32.5),"Mid Range","Economy"))</f>
      </c>
      <c r="G12" s="2"/>
      <c r="H12" s="2" t="s">
        <v>396</v>
      </c>
      <c r="I12" s="11">
        <v>37.6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9"/>
      <c r="V12" s="2"/>
      <c r="W12" s="9"/>
      <c r="X12" s="9"/>
      <c r="Y12" s="9"/>
      <c r="Z12" s="9"/>
    </row>
    <row x14ac:dyDescent="0.25" r="13" customHeight="1" ht="18.75">
      <c r="A13" s="2" t="s">
        <v>52</v>
      </c>
      <c r="B13" s="3">
        <v>22</v>
      </c>
      <c r="C13" s="3">
        <v>76</v>
      </c>
      <c r="D13" s="3">
        <v>18</v>
      </c>
      <c r="E13" s="3">
        <v>72</v>
      </c>
      <c r="F13" s="38">
        <f>IF(AND(C13&gt;100,D13&lt;13,B13&gt;32.5),"High Performance",IF(AND(C13&lt;= 100,C13&gt;=60,D13&gt;=13,D13&lt;=19,B13&gt;=17,B13&lt;=32.5),"Mid Range","Economy"))</f>
      </c>
      <c r="G13" s="2"/>
      <c r="H13" s="2" t="s">
        <v>397</v>
      </c>
      <c r="I13" s="3">
        <v>9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9"/>
      <c r="V13" s="2"/>
      <c r="W13" s="9"/>
      <c r="X13" s="9"/>
      <c r="Y13" s="9"/>
      <c r="Z13" s="9"/>
    </row>
    <row x14ac:dyDescent="0.25" r="14" customHeight="1" ht="18.75">
      <c r="A14" s="2" t="s">
        <v>53</v>
      </c>
      <c r="B14" s="3">
        <v>21</v>
      </c>
      <c r="C14" s="3">
        <v>87</v>
      </c>
      <c r="D14" s="11">
        <v>19.5</v>
      </c>
      <c r="E14" s="3">
        <v>72</v>
      </c>
      <c r="F14" s="38">
        <f>IF(AND(C14&gt;100,D14&lt;13,B14&gt;32.5),"High Performance",IF(AND(C14&lt;= 100,C14&gt;=60,D14&gt;=13,D14&lt;=19,B14&gt;=17,B14&lt;=32.5),"Mid Range","Economy"))</f>
      </c>
      <c r="G14" s="2"/>
      <c r="H14" s="2" t="s">
        <v>398</v>
      </c>
      <c r="I14" s="11">
        <v>46.6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9"/>
      <c r="V14" s="2"/>
      <c r="W14" s="9"/>
      <c r="X14" s="9"/>
      <c r="Y14" s="9"/>
      <c r="Z14" s="9"/>
    </row>
    <row x14ac:dyDescent="0.25" r="15" customHeight="1" ht="18.75">
      <c r="A15" s="2" t="s">
        <v>54</v>
      </c>
      <c r="B15" s="3">
        <v>23</v>
      </c>
      <c r="C15" s="3">
        <v>54</v>
      </c>
      <c r="D15" s="11">
        <v>23.5</v>
      </c>
      <c r="E15" s="3">
        <v>72</v>
      </c>
      <c r="F15" s="38">
        <f>IF(AND(C15&gt;100,D15&lt;13,B15&gt;32.5),"High Performance",IF(AND(C15&lt;= 100,C15&gt;=60,D15&gt;=13,D15&lt;=19,B15&gt;=17,B15&lt;=32.5),"Mid Range","Economy"))</f>
      </c>
      <c r="G15" s="2"/>
      <c r="H15" s="2" t="s">
        <v>399</v>
      </c>
      <c r="I15" s="11">
        <v>9358.8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9"/>
      <c r="V15" s="2"/>
      <c r="W15" s="9"/>
      <c r="X15" s="9"/>
      <c r="Y15" s="9"/>
      <c r="Z15" s="9"/>
    </row>
    <row x14ac:dyDescent="0.25" r="16" customHeight="1" ht="18.75">
      <c r="A16" s="2" t="s">
        <v>55</v>
      </c>
      <c r="B16" s="3">
        <v>24</v>
      </c>
      <c r="C16" s="3">
        <v>110</v>
      </c>
      <c r="D16" s="3">
        <v>14</v>
      </c>
      <c r="E16" s="3">
        <v>73</v>
      </c>
      <c r="F16" s="38">
        <f>IF(AND(C16&gt;100,D16&lt;13,B16&gt;32.5),"High Performance",IF(AND(C16&lt;= 100,C16&gt;=60,D16&gt;=13,D16&lt;=19,B16&gt;=17,B16&lt;=32.5),"Mid Range","Economy"))</f>
      </c>
      <c r="G16" s="2"/>
      <c r="H16" s="29" t="s">
        <v>400</v>
      </c>
      <c r="I16" s="30">
        <v>398</v>
      </c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9"/>
      <c r="V16" s="2"/>
      <c r="W16" s="9"/>
      <c r="X16" s="9"/>
      <c r="Y16" s="9"/>
      <c r="Z16" s="9"/>
    </row>
    <row x14ac:dyDescent="0.25" r="17" customHeight="1" ht="18.75">
      <c r="A17" s="2" t="s">
        <v>56</v>
      </c>
      <c r="B17" s="3">
        <v>26</v>
      </c>
      <c r="C17" s="3">
        <v>90</v>
      </c>
      <c r="D17" s="11">
        <v>15.5</v>
      </c>
      <c r="E17" s="3">
        <v>73</v>
      </c>
      <c r="F17" s="38">
        <f>IF(AND(C17&gt;100,D17&lt;13,B17&gt;32.5),"High Performance",IF(AND(C17&lt;= 100,C17&gt;=60,D17&gt;=13,D17&lt;=19,B17&gt;=17,B17&lt;=32.5),"Mid Range","Economy"))</f>
      </c>
      <c r="G17" s="2"/>
      <c r="H17" s="2"/>
      <c r="I17" s="9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9"/>
      <c r="V17" s="2"/>
      <c r="W17" s="9"/>
      <c r="X17" s="9"/>
      <c r="Y17" s="9"/>
      <c r="Z17" s="9"/>
    </row>
    <row x14ac:dyDescent="0.25" r="18" customHeight="1" ht="18.75">
      <c r="A18" s="2" t="s">
        <v>57</v>
      </c>
      <c r="B18" s="3">
        <v>19</v>
      </c>
      <c r="C18" s="3">
        <v>112</v>
      </c>
      <c r="D18" s="11">
        <v>15.5</v>
      </c>
      <c r="E18" s="3">
        <v>73</v>
      </c>
      <c r="F18" s="38">
        <f>IF(AND(C18&gt;100,D18&lt;13,B18&gt;32.5),"High Performance",IF(AND(C18&lt;= 100,C18&gt;=60,D18&gt;=13,D18&lt;=19,B18&gt;=17,B18&lt;=32.5),"Mid Range","Economy"))</f>
      </c>
      <c r="G18" s="2"/>
      <c r="H18" s="2"/>
      <c r="I18" s="9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9"/>
      <c r="V18" s="2"/>
      <c r="W18" s="9"/>
      <c r="X18" s="9"/>
      <c r="Y18" s="9"/>
      <c r="Z18" s="9"/>
    </row>
    <row x14ac:dyDescent="0.25" r="19" customHeight="1" ht="18.75">
      <c r="A19" s="2" t="s">
        <v>58</v>
      </c>
      <c r="B19" s="3">
        <v>20</v>
      </c>
      <c r="C19" s="3">
        <v>91</v>
      </c>
      <c r="D19" s="3">
        <v>14</v>
      </c>
      <c r="E19" s="3">
        <v>73</v>
      </c>
      <c r="F19" s="38">
        <f>IF(AND(C19&gt;100,D19&lt;13,B19&gt;32.5),"High Performance",IF(AND(C19&lt;= 100,C19&gt;=60,D19&gt;=13,D19&lt;=19,B19&gt;=17,B19&lt;=32.5),"Mid Range","Economy"))</f>
      </c>
      <c r="G19" s="2"/>
      <c r="H19" s="2"/>
      <c r="I19" s="9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9"/>
      <c r="V19" s="2"/>
      <c r="W19" s="9"/>
      <c r="X19" s="9"/>
      <c r="Y19" s="9"/>
      <c r="Z19" s="9"/>
    </row>
    <row x14ac:dyDescent="0.25" r="20" customHeight="1" ht="18.75">
      <c r="A20" s="2" t="s">
        <v>59</v>
      </c>
      <c r="B20" s="3">
        <v>24</v>
      </c>
      <c r="C20" s="3">
        <v>75</v>
      </c>
      <c r="D20" s="11">
        <v>15.5</v>
      </c>
      <c r="E20" s="3">
        <v>73</v>
      </c>
      <c r="F20" s="38">
        <f>IF(AND(C20&gt;100,D20&lt;13,B20&gt;32.5),"High Performance",IF(AND(C20&lt;= 100,C20&gt;=60,D20&gt;=13,D20&lt;=19,B20&gt;=17,B20&lt;=32.5),"Mid Range","Economy"))</f>
      </c>
      <c r="G20" s="2"/>
      <c r="H20" s="25" t="s">
        <v>401</v>
      </c>
      <c r="I20" s="39"/>
      <c r="J20" s="2"/>
      <c r="K20" s="2"/>
      <c r="L20" s="2"/>
      <c r="M20" s="2"/>
      <c r="N20" s="2"/>
      <c r="O20" s="2"/>
      <c r="P20" s="2"/>
      <c r="Q20" s="2" t="s">
        <v>402</v>
      </c>
      <c r="R20" s="2"/>
      <c r="S20" s="2"/>
      <c r="T20" s="2"/>
      <c r="U20" s="9"/>
      <c r="V20" s="2"/>
      <c r="W20" s="9" t="s">
        <v>403</v>
      </c>
      <c r="X20" s="9"/>
      <c r="Y20" s="9"/>
      <c r="Z20" s="9"/>
    </row>
    <row x14ac:dyDescent="0.25" r="21" customHeight="1" ht="18.75">
      <c r="A21" s="2" t="s">
        <v>60</v>
      </c>
      <c r="B21" s="3">
        <v>29</v>
      </c>
      <c r="C21" s="3">
        <v>49</v>
      </c>
      <c r="D21" s="11">
        <v>19.5</v>
      </c>
      <c r="E21" s="3">
        <v>73</v>
      </c>
      <c r="F21" s="38">
        <f>IF(AND(C21&gt;100,D21&lt;13,B21&gt;32.5),"High Performance",IF(AND(C21&lt;= 100,C21&gt;=60,D21&gt;=13,D21&lt;=19,B21&gt;=17,B21&lt;=32.5),"Mid Range","Economy"))</f>
      </c>
      <c r="G21" s="2"/>
      <c r="H21" s="2"/>
      <c r="I21" s="9"/>
      <c r="J21" s="2"/>
      <c r="K21" s="2"/>
      <c r="L21" s="2"/>
      <c r="M21" s="2"/>
      <c r="N21" s="2"/>
      <c r="O21" s="2"/>
      <c r="P21" s="2"/>
      <c r="Q21" s="2" t="s">
        <v>404</v>
      </c>
      <c r="R21" s="2" t="s">
        <v>405</v>
      </c>
      <c r="S21" s="2" t="s">
        <v>406</v>
      </c>
      <c r="T21" s="2" t="s">
        <v>388</v>
      </c>
      <c r="U21" s="9" t="s">
        <v>400</v>
      </c>
      <c r="V21" s="2"/>
      <c r="W21" s="9" t="s">
        <v>407</v>
      </c>
      <c r="X21" s="9" t="s">
        <v>385</v>
      </c>
      <c r="Y21" s="9"/>
      <c r="Z21" s="9"/>
    </row>
    <row x14ac:dyDescent="0.25" r="22" customHeight="1" ht="18.75">
      <c r="A22" s="2" t="s">
        <v>61</v>
      </c>
      <c r="B22" s="3">
        <v>26</v>
      </c>
      <c r="C22" s="3">
        <v>46</v>
      </c>
      <c r="D22" s="3">
        <v>21</v>
      </c>
      <c r="E22" s="3">
        <v>73</v>
      </c>
      <c r="F22" s="38">
        <f>IF(AND(C22&gt;100,D22&lt;13,B22&gt;32.5),"High Performance",IF(AND(C22&lt;= 100,C22&gt;=60,D22&gt;=13,D22&lt;=19,B22&gt;=17,B22&lt;=32.5),"Mid Range","Economy"))</f>
      </c>
      <c r="G22" s="2"/>
      <c r="H22" s="2" t="s">
        <v>389</v>
      </c>
      <c r="I22" s="11">
        <v>81.53225806451613</v>
      </c>
      <c r="J22" s="2"/>
      <c r="K22" s="2"/>
      <c r="L22" s="2"/>
      <c r="M22" s="2"/>
      <c r="N22" s="2"/>
      <c r="O22" s="2"/>
      <c r="P22" s="2"/>
      <c r="Q22" s="2" t="s">
        <v>408</v>
      </c>
      <c r="R22" s="2" t="s">
        <v>409</v>
      </c>
      <c r="S22" s="2" t="s">
        <v>410</v>
      </c>
      <c r="T22" s="2" t="s">
        <v>411</v>
      </c>
      <c r="U22" s="3">
        <v>1</v>
      </c>
      <c r="V22" s="2"/>
      <c r="W22" s="9" t="s">
        <v>39</v>
      </c>
      <c r="X22" s="9" t="s">
        <v>412</v>
      </c>
      <c r="Y22" s="9" t="s">
        <v>413</v>
      </c>
      <c r="Z22" s="9" t="s">
        <v>408</v>
      </c>
    </row>
    <row x14ac:dyDescent="0.25" r="23" customHeight="1" ht="18.75">
      <c r="A23" s="2" t="s">
        <v>62</v>
      </c>
      <c r="B23" s="3">
        <v>29</v>
      </c>
      <c r="C23" s="3">
        <v>83</v>
      </c>
      <c r="D23" s="11">
        <v>16.5</v>
      </c>
      <c r="E23" s="3">
        <v>74</v>
      </c>
      <c r="F23" s="38">
        <f>IF(AND(C23&gt;100,D23&lt;13,B23&gt;32.5),"High Performance",IF(AND(C23&lt;= 100,C23&gt;=60,D23&gt;=13,D23&lt;=19,B23&gt;=17,B23&lt;=32.5),"Mid Range","Economy"))</f>
      </c>
      <c r="G23" s="2"/>
      <c r="H23" s="2" t="s">
        <v>354</v>
      </c>
      <c r="I23" s="11">
        <v>2.6249542557959766</v>
      </c>
      <c r="J23" s="2"/>
      <c r="K23" s="2"/>
      <c r="L23" s="2"/>
      <c r="M23" s="2"/>
      <c r="N23" s="2"/>
      <c r="O23" s="2"/>
      <c r="P23" s="2"/>
      <c r="Q23" s="2" t="s">
        <v>413</v>
      </c>
      <c r="R23" s="2" t="s">
        <v>414</v>
      </c>
      <c r="S23" s="2" t="s">
        <v>415</v>
      </c>
      <c r="T23" s="2" t="s">
        <v>416</v>
      </c>
      <c r="U23" s="3">
        <v>153</v>
      </c>
      <c r="V23" s="2"/>
      <c r="W23" s="3">
        <v>70</v>
      </c>
      <c r="X23" s="3">
        <v>20</v>
      </c>
      <c r="Y23" s="3">
        <v>9</v>
      </c>
      <c r="Z23" s="9"/>
    </row>
    <row x14ac:dyDescent="0.25" r="24" customHeight="1" ht="18.75">
      <c r="A24" s="2" t="s">
        <v>60</v>
      </c>
      <c r="B24" s="3">
        <v>24</v>
      </c>
      <c r="C24" s="3">
        <v>75</v>
      </c>
      <c r="D24" s="11">
        <v>15.5</v>
      </c>
      <c r="E24" s="3">
        <v>74</v>
      </c>
      <c r="F24" s="38">
        <f>IF(AND(C24&gt;100,D24&lt;13,B24&gt;32.5),"High Performance",IF(AND(C24&lt;= 100,C24&gt;=60,D24&gt;=13,D24&lt;=19,B24&gt;=17,B24&lt;=32.5),"Mid Range","Economy"))</f>
      </c>
      <c r="G24" s="2"/>
      <c r="H24" s="2" t="s">
        <v>390</v>
      </c>
      <c r="I24" s="3">
        <v>78</v>
      </c>
      <c r="J24" s="2"/>
      <c r="K24" s="2"/>
      <c r="L24" s="2"/>
      <c r="M24" s="2"/>
      <c r="N24" s="2"/>
      <c r="O24" s="2"/>
      <c r="P24" s="2"/>
      <c r="Q24" s="2" t="s">
        <v>412</v>
      </c>
      <c r="R24" s="2" t="s">
        <v>417</v>
      </c>
      <c r="S24" s="2" t="s">
        <v>418</v>
      </c>
      <c r="T24" s="2" t="s">
        <v>419</v>
      </c>
      <c r="U24" s="3">
        <v>244</v>
      </c>
      <c r="V24" s="2"/>
      <c r="W24" s="3">
        <v>71</v>
      </c>
      <c r="X24" s="3">
        <v>13</v>
      </c>
      <c r="Y24" s="3">
        <v>15</v>
      </c>
      <c r="Z24" s="9"/>
    </row>
    <row x14ac:dyDescent="0.25" r="25" customHeight="1" ht="18.75">
      <c r="A25" s="2" t="s">
        <v>63</v>
      </c>
      <c r="B25" s="3">
        <v>26</v>
      </c>
      <c r="C25" s="3">
        <v>67</v>
      </c>
      <c r="D25" s="11">
        <v>15.5</v>
      </c>
      <c r="E25" s="3">
        <v>74</v>
      </c>
      <c r="F25" s="38">
        <f>IF(AND(C25&gt;100,D25&lt;13,B25&gt;32.5),"High Performance",IF(AND(C25&lt;= 100,C25&gt;=60,D25&gt;=13,D25&lt;=19,B25&gt;=17,B25&lt;=32.5),"Mid Range","Economy"))</f>
      </c>
      <c r="G25" s="2"/>
      <c r="H25" s="2" t="s">
        <v>391</v>
      </c>
      <c r="I25" s="3">
        <v>71</v>
      </c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9"/>
      <c r="V25" s="2"/>
      <c r="W25" s="3">
        <v>72</v>
      </c>
      <c r="X25" s="3">
        <v>17</v>
      </c>
      <c r="Y25" s="3">
        <v>11</v>
      </c>
      <c r="Z25" s="9"/>
    </row>
    <row x14ac:dyDescent="0.25" r="26" customHeight="1" ht="18.75">
      <c r="A26" s="2" t="s">
        <v>59</v>
      </c>
      <c r="B26" s="3">
        <v>26</v>
      </c>
      <c r="C26" s="3">
        <v>78</v>
      </c>
      <c r="D26" s="11">
        <v>14.5</v>
      </c>
      <c r="E26" s="3">
        <v>74</v>
      </c>
      <c r="F26" s="38">
        <f>IF(AND(C26&gt;100,D26&lt;13,B26&gt;32.5),"High Performance",IF(AND(C26&lt;= 100,C26&gt;=60,D26&gt;=13,D26&lt;=19,B26&gt;=17,B26&lt;=32.5),"Mid Range","Economy"))</f>
      </c>
      <c r="G26" s="2"/>
      <c r="H26" s="2" t="s">
        <v>392</v>
      </c>
      <c r="I26" s="11">
        <v>20.668910479058333</v>
      </c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9"/>
      <c r="V26" s="2"/>
      <c r="W26" s="3">
        <v>73</v>
      </c>
      <c r="X26" s="3">
        <v>29</v>
      </c>
      <c r="Y26" s="3">
        <v>11</v>
      </c>
      <c r="Z26" s="9"/>
    </row>
    <row x14ac:dyDescent="0.25" r="27" customHeight="1" ht="18.75">
      <c r="A27" s="2" t="s">
        <v>64</v>
      </c>
      <c r="B27" s="3">
        <v>31</v>
      </c>
      <c r="C27" s="3">
        <v>67</v>
      </c>
      <c r="D27" s="3">
        <v>16</v>
      </c>
      <c r="E27" s="3">
        <v>74</v>
      </c>
      <c r="F27" s="38">
        <f>IF(AND(C27&gt;100,D27&lt;13,B27&gt;32.5),"High Performance",IF(AND(C27&lt;= 100,C27&gt;=60,D27&gt;=13,D27&lt;=19,B27&gt;=17,B27&lt;=32.5),"Mid Range","Economy"))</f>
      </c>
      <c r="G27" s="2"/>
      <c r="H27" s="2" t="s">
        <v>393</v>
      </c>
      <c r="I27" s="11">
        <v>427.2038603913274</v>
      </c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9"/>
      <c r="V27" s="2"/>
      <c r="W27" s="3">
        <v>74</v>
      </c>
      <c r="X27" s="3">
        <v>12</v>
      </c>
      <c r="Y27" s="3">
        <v>15</v>
      </c>
      <c r="Z27" s="9"/>
    </row>
    <row x14ac:dyDescent="0.25" r="28" customHeight="1" ht="18.75">
      <c r="A28" s="2" t="s">
        <v>65</v>
      </c>
      <c r="B28" s="3">
        <v>26</v>
      </c>
      <c r="C28" s="3">
        <v>75</v>
      </c>
      <c r="D28" s="3">
        <v>14</v>
      </c>
      <c r="E28" s="3">
        <v>74</v>
      </c>
      <c r="F28" s="38">
        <f>IF(AND(C28&gt;100,D28&lt;13,B28&gt;32.5),"High Performance",IF(AND(C28&lt;= 100,C28&gt;=60,D28&gt;=13,D28&lt;=19,B28&gt;=17,B28&lt;=32.5),"Mid Range","Economy"))</f>
      </c>
      <c r="G28" s="2"/>
      <c r="H28" s="2" t="s">
        <v>394</v>
      </c>
      <c r="I28" s="11">
        <v>-0.22845818194903433</v>
      </c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9"/>
      <c r="V28" s="2"/>
      <c r="W28" s="3">
        <v>75</v>
      </c>
      <c r="X28" s="3">
        <v>15</v>
      </c>
      <c r="Y28" s="3">
        <v>15</v>
      </c>
      <c r="Z28" s="9"/>
    </row>
    <row x14ac:dyDescent="0.25" r="29" customHeight="1" ht="18.75">
      <c r="A29" s="2" t="s">
        <v>55</v>
      </c>
      <c r="B29" s="3">
        <v>25</v>
      </c>
      <c r="C29" s="3">
        <v>115</v>
      </c>
      <c r="D29" s="11">
        <v>13.5</v>
      </c>
      <c r="E29" s="3">
        <v>75</v>
      </c>
      <c r="F29" s="38">
        <f>IF(AND(C29&gt;100,D29&lt;13,B29&gt;32.5),"High Performance",IF(AND(C29&lt;= 100,C29&gt;=60,D29&gt;=13,D29&lt;=19,B29&gt;=17,B29&lt;=32.5),"Mid Range","Economy"))</f>
      </c>
      <c r="G29" s="2"/>
      <c r="H29" s="2" t="s">
        <v>395</v>
      </c>
      <c r="I29" s="11">
        <v>0.38782242954567625</v>
      </c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9"/>
      <c r="V29" s="2"/>
      <c r="W29" s="3">
        <v>76</v>
      </c>
      <c r="X29" s="3">
        <v>20</v>
      </c>
      <c r="Y29" s="3">
        <v>14</v>
      </c>
      <c r="Z29" s="9"/>
    </row>
    <row x14ac:dyDescent="0.25" r="30" customHeight="1" ht="18.75">
      <c r="A30" s="2" t="s">
        <v>66</v>
      </c>
      <c r="B30" s="3">
        <v>29</v>
      </c>
      <c r="C30" s="3">
        <v>70</v>
      </c>
      <c r="D30" s="3">
        <v>14</v>
      </c>
      <c r="E30" s="3">
        <v>75</v>
      </c>
      <c r="F30" s="38">
        <f>IF(AND(C30&gt;100,D30&lt;13,B30&gt;32.5),"High Performance",IF(AND(C30&lt;= 100,C30&gt;=60,D30&gt;=13,D30&lt;=19,B30&gt;=17,B30&lt;=32.5),"Mid Range","Economy"))</f>
      </c>
      <c r="G30" s="2"/>
      <c r="H30" s="2" t="s">
        <v>396</v>
      </c>
      <c r="I30" s="3">
        <v>87</v>
      </c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9"/>
      <c r="V30" s="2"/>
      <c r="W30" s="3">
        <v>77</v>
      </c>
      <c r="X30" s="3">
        <v>15</v>
      </c>
      <c r="Y30" s="3">
        <v>13</v>
      </c>
      <c r="Z30" s="9"/>
    </row>
    <row x14ac:dyDescent="0.25" r="31" customHeight="1" ht="18.75">
      <c r="A31" s="2" t="s">
        <v>58</v>
      </c>
      <c r="B31" s="3">
        <v>23</v>
      </c>
      <c r="C31" s="3">
        <v>95</v>
      </c>
      <c r="D31" s="3">
        <v>15</v>
      </c>
      <c r="E31" s="3">
        <v>75</v>
      </c>
      <c r="F31" s="38">
        <f>IF(AND(C31&gt;100,D31&lt;13,B31&gt;32.5),"High Performance",IF(AND(C31&lt;= 100,C31&gt;=60,D31&gt;=13,D31&lt;=19,B31&gt;=17,B31&lt;=32.5),"Mid Range","Economy"))</f>
      </c>
      <c r="G31" s="2"/>
      <c r="H31" s="2" t="s">
        <v>397</v>
      </c>
      <c r="I31" s="3">
        <v>46</v>
      </c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9"/>
      <c r="V31" s="2"/>
      <c r="W31" s="3">
        <v>78</v>
      </c>
      <c r="X31" s="3">
        <v>21</v>
      </c>
      <c r="Y31" s="3">
        <v>15</v>
      </c>
      <c r="Z31" s="9"/>
    </row>
    <row x14ac:dyDescent="0.25" r="32" customHeight="1" ht="18.75">
      <c r="A32" s="2" t="s">
        <v>67</v>
      </c>
      <c r="B32" s="3">
        <v>22</v>
      </c>
      <c r="C32" s="3">
        <v>98</v>
      </c>
      <c r="D32" s="11">
        <v>14.5</v>
      </c>
      <c r="E32" s="3">
        <v>75</v>
      </c>
      <c r="F32" s="38">
        <f>IF(AND(C32&gt;100,D32&lt;13,B32&gt;32.5),"High Performance",IF(AND(C32&lt;= 100,C32&gt;=60,D32&gt;=13,D32&lt;=19,B32&gt;=17,B32&lt;=32.5),"Mid Range","Economy"))</f>
      </c>
      <c r="G32" s="2"/>
      <c r="H32" s="2" t="s">
        <v>398</v>
      </c>
      <c r="I32" s="3">
        <v>133</v>
      </c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9"/>
      <c r="V32" s="2"/>
      <c r="W32" s="3">
        <v>79</v>
      </c>
      <c r="X32" s="3">
        <v>23</v>
      </c>
      <c r="Y32" s="3">
        <v>6</v>
      </c>
      <c r="Z32" s="9"/>
    </row>
    <row x14ac:dyDescent="0.25" r="33" customHeight="1" ht="18.75">
      <c r="A33" s="2" t="s">
        <v>63</v>
      </c>
      <c r="B33" s="3">
        <v>25</v>
      </c>
      <c r="C33" s="3">
        <v>71</v>
      </c>
      <c r="D33" s="11">
        <v>16.5</v>
      </c>
      <c r="E33" s="3">
        <v>75</v>
      </c>
      <c r="F33" s="38">
        <f>IF(AND(C33&gt;100,D33&lt;13,B33&gt;32.5),"High Performance",IF(AND(C33&lt;= 100,C33&gt;=60,D33&gt;=13,D33&lt;=19,B33&gt;=17,B33&lt;=32.5),"Mid Range","Economy"))</f>
      </c>
      <c r="G33" s="2"/>
      <c r="H33" s="2" t="s">
        <v>399</v>
      </c>
      <c r="I33" s="3">
        <v>5055</v>
      </c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9"/>
      <c r="V33" s="2"/>
      <c r="W33" s="3">
        <v>80</v>
      </c>
      <c r="X33" s="3">
        <v>19</v>
      </c>
      <c r="Y33" s="3">
        <v>9</v>
      </c>
      <c r="Z33" s="3">
        <v>1</v>
      </c>
    </row>
    <row x14ac:dyDescent="0.25" r="34" customHeight="1" ht="18.75">
      <c r="A34" s="2" t="s">
        <v>44</v>
      </c>
      <c r="B34" s="3">
        <v>23</v>
      </c>
      <c r="C34" s="3">
        <v>88</v>
      </c>
      <c r="D34" s="3">
        <v>17</v>
      </c>
      <c r="E34" s="3">
        <v>75</v>
      </c>
      <c r="F34" s="38">
        <f>IF(AND(C34&gt;100,D34&lt;13,B34&gt;32.5),"High Performance",IF(AND(C34&lt;= 100,C34&gt;=60,D34&gt;=13,D34&lt;=19,B34&gt;=17,B34&lt;=32.5),"Mid Range","Economy"))</f>
      </c>
      <c r="G34" s="2"/>
      <c r="H34" s="29" t="s">
        <v>400</v>
      </c>
      <c r="I34" s="30">
        <v>62</v>
      </c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9"/>
      <c r="V34" s="2"/>
      <c r="W34" s="3">
        <v>81</v>
      </c>
      <c r="X34" s="3">
        <v>21</v>
      </c>
      <c r="Y34" s="3">
        <v>8</v>
      </c>
      <c r="Z34" s="9"/>
    </row>
    <row x14ac:dyDescent="0.25" r="35" customHeight="1" ht="18.75">
      <c r="A35" s="2" t="s">
        <v>66</v>
      </c>
      <c r="B35" s="11">
        <v>29.5</v>
      </c>
      <c r="C35" s="3">
        <v>71</v>
      </c>
      <c r="D35" s="11">
        <v>12.2</v>
      </c>
      <c r="E35" s="3">
        <v>76</v>
      </c>
      <c r="F35" s="38">
        <f>IF(AND(C35&gt;100,D35&lt;13,B35&gt;32.5),"High Performance",IF(AND(C35&lt;= 100,C35&gt;=60,D35&gt;=13,D35&lt;=19,B35&gt;=17,B35&lt;=32.5),"Mid Range","Economy"))</f>
      </c>
      <c r="G35" s="2"/>
      <c r="H35" s="2"/>
      <c r="I35" s="9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9"/>
      <c r="V35" s="2"/>
      <c r="W35" s="3">
        <v>82</v>
      </c>
      <c r="X35" s="3">
        <v>19</v>
      </c>
      <c r="Y35" s="3">
        <v>12</v>
      </c>
      <c r="Z35" s="9"/>
    </row>
    <row x14ac:dyDescent="0.25" r="36" customHeight="1" ht="18.75">
      <c r="A36" s="2" t="s">
        <v>68</v>
      </c>
      <c r="B36" s="3">
        <v>27</v>
      </c>
      <c r="C36" s="3">
        <v>83</v>
      </c>
      <c r="D36" s="11">
        <v>15.3</v>
      </c>
      <c r="E36" s="3">
        <v>76</v>
      </c>
      <c r="F36" s="38">
        <f>IF(AND(C36&gt;100,D36&lt;13,B36&gt;32.5),"High Performance",IF(AND(C36&lt;= 100,C36&gt;=60,D36&gt;=13,D36&lt;=19,B36&gt;=17,B36&lt;=32.5),"Mid Range","Economy"))</f>
      </c>
      <c r="G36" s="2"/>
      <c r="H36" s="2"/>
      <c r="I36" s="9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9"/>
      <c r="V36" s="2"/>
      <c r="W36" s="9"/>
      <c r="X36" s="9"/>
      <c r="Y36" s="9"/>
      <c r="Z36" s="9"/>
    </row>
    <row x14ac:dyDescent="0.25" r="37" customHeight="1" ht="18.75">
      <c r="A37" s="2" t="s">
        <v>46</v>
      </c>
      <c r="B37" s="3">
        <v>25</v>
      </c>
      <c r="C37" s="3">
        <v>81</v>
      </c>
      <c r="D37" s="11">
        <v>16.9</v>
      </c>
      <c r="E37" s="3">
        <v>76</v>
      </c>
      <c r="F37" s="38">
        <f>IF(AND(C37&gt;100,D37&lt;13,B37&gt;32.5),"High Performance",IF(AND(C37&lt;= 100,C37&gt;=60,D37&gt;=13,D37&lt;=19,B37&gt;=17,B37&lt;=32.5),"Mid Range","Economy"))</f>
      </c>
      <c r="G37" s="2"/>
      <c r="H37" s="2"/>
      <c r="I37" s="9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9"/>
      <c r="V37" s="2"/>
      <c r="W37" s="9"/>
      <c r="X37" s="9"/>
      <c r="Y37" s="9"/>
      <c r="Z37" s="9"/>
    </row>
    <row x14ac:dyDescent="0.25" r="38" customHeight="1" ht="18.75">
      <c r="A38" s="2" t="s">
        <v>69</v>
      </c>
      <c r="B38" s="3">
        <v>29</v>
      </c>
      <c r="C38" s="3">
        <v>70</v>
      </c>
      <c r="D38" s="11">
        <v>14.2</v>
      </c>
      <c r="E38" s="3">
        <v>76</v>
      </c>
      <c r="F38" s="38">
        <f>IF(AND(C38&gt;100,D38&lt;13,B38&gt;32.5),"High Performance",IF(AND(C38&lt;= 100,C38&gt;=60,D38&gt;=13,D38&lt;=19,B38&gt;=17,B38&lt;=32.5),"Mid Range","Economy"))</f>
      </c>
      <c r="G38" s="2"/>
      <c r="H38" s="25" t="s">
        <v>420</v>
      </c>
      <c r="I38" s="39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9"/>
      <c r="V38" s="2"/>
      <c r="W38" s="9"/>
      <c r="X38" s="9"/>
      <c r="Y38" s="9"/>
      <c r="Z38" s="9"/>
    </row>
    <row x14ac:dyDescent="0.25" r="39" customHeight="1" ht="18.75">
      <c r="A39" s="2" t="s">
        <v>70</v>
      </c>
      <c r="B39" s="3">
        <v>28</v>
      </c>
      <c r="C39" s="3">
        <v>86</v>
      </c>
      <c r="D39" s="11">
        <v>15.5</v>
      </c>
      <c r="E39" s="3">
        <v>76</v>
      </c>
      <c r="F39" s="38">
        <f>IF(AND(C39&gt;100,D39&lt;13,B39&gt;32.5),"High Performance",IF(AND(C39&lt;= 100,C39&gt;=60,D39&gt;=13,D39&lt;=19,B39&gt;=17,B39&lt;=32.5),"Mid Range","Economy"))</f>
      </c>
      <c r="G39" s="2"/>
      <c r="H39" s="2"/>
      <c r="I39" s="9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9"/>
      <c r="V39" s="2"/>
      <c r="W39" s="9"/>
      <c r="X39" s="9"/>
      <c r="Y39" s="9"/>
      <c r="Z39" s="9"/>
    </row>
    <row x14ac:dyDescent="0.25" r="40" customHeight="1" ht="18.75">
      <c r="A40" s="2" t="s">
        <v>71</v>
      </c>
      <c r="B40" s="3">
        <v>20</v>
      </c>
      <c r="C40" s="3">
        <v>102</v>
      </c>
      <c r="D40" s="11">
        <v>15.7</v>
      </c>
      <c r="E40" s="3">
        <v>76</v>
      </c>
      <c r="F40" s="38">
        <f>IF(AND(C40&gt;100,D40&lt;13,B40&gt;32.5),"High Performance",IF(AND(C40&lt;= 100,C40&gt;=60,D40&gt;=13,D40&lt;=19,B40&gt;=17,B40&lt;=32.5),"Mid Range","Economy"))</f>
      </c>
      <c r="G40" s="2"/>
      <c r="H40" s="2" t="s">
        <v>389</v>
      </c>
      <c r="I40" s="11">
        <v>15.568090452261293</v>
      </c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9"/>
      <c r="V40" s="2"/>
      <c r="W40" s="9"/>
      <c r="X40" s="9"/>
      <c r="Y40" s="9"/>
      <c r="Z40" s="9"/>
    </row>
    <row x14ac:dyDescent="0.25" r="41" customHeight="1" ht="18.75">
      <c r="A41" s="2" t="s">
        <v>44</v>
      </c>
      <c r="B41" s="3">
        <v>19</v>
      </c>
      <c r="C41" s="3">
        <v>88</v>
      </c>
      <c r="D41" s="11">
        <v>21.9</v>
      </c>
      <c r="E41" s="3">
        <v>76</v>
      </c>
      <c r="F41" s="38">
        <f>IF(AND(C41&gt;100,D41&lt;13,B41&gt;32.5),"High Performance",IF(AND(C41&lt;= 100,C41&gt;=60,D41&gt;=13,D41&lt;=19,B41&gt;=17,B41&lt;=32.5),"Mid Range","Economy"))</f>
      </c>
      <c r="G41" s="2"/>
      <c r="H41" s="2" t="s">
        <v>354</v>
      </c>
      <c r="I41" s="11">
        <v>0.13823045568333292</v>
      </c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9"/>
      <c r="V41" s="2"/>
      <c r="W41" s="9"/>
      <c r="X41" s="9"/>
      <c r="Y41" s="9"/>
      <c r="Z41" s="9"/>
    </row>
    <row x14ac:dyDescent="0.25" r="42" customHeight="1" ht="18.75">
      <c r="A42" s="2" t="s">
        <v>72</v>
      </c>
      <c r="B42" s="11">
        <v>16.5</v>
      </c>
      <c r="C42" s="3">
        <v>120</v>
      </c>
      <c r="D42" s="11">
        <v>16.7</v>
      </c>
      <c r="E42" s="3">
        <v>76</v>
      </c>
      <c r="F42" s="38">
        <f>IF(AND(C42&gt;100,D42&lt;13,B42&gt;32.5),"High Performance",IF(AND(C42&lt;= 100,C42&gt;=60,D42&gt;=13,D42&lt;=19,B42&gt;=17,B42&lt;=32.5),"Mid Range","Economy"))</f>
      </c>
      <c r="G42" s="2"/>
      <c r="H42" s="2" t="s">
        <v>390</v>
      </c>
      <c r="I42" s="11">
        <v>15.5</v>
      </c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9"/>
      <c r="V42" s="2"/>
      <c r="W42" s="9"/>
      <c r="X42" s="9"/>
      <c r="Y42" s="9"/>
      <c r="Z42" s="9"/>
    </row>
    <row x14ac:dyDescent="0.25" r="43" customHeight="1" ht="18.75">
      <c r="A43" s="2" t="s">
        <v>73</v>
      </c>
      <c r="B43" s="11">
        <v>21.5</v>
      </c>
      <c r="C43" s="3">
        <v>110</v>
      </c>
      <c r="D43" s="11">
        <v>12.8</v>
      </c>
      <c r="E43" s="3">
        <v>77</v>
      </c>
      <c r="F43" s="38">
        <f>IF(AND(C43&gt;100,D43&lt;13,B43&gt;32.5),"High Performance",IF(AND(C43&lt;= 100,C43&gt;=60,D43&gt;=13,D43&lt;=19,B43&gt;=17,B43&lt;=32.5),"Mid Range","Economy"))</f>
      </c>
      <c r="G43" s="2"/>
      <c r="H43" s="2" t="s">
        <v>391</v>
      </c>
      <c r="I43" s="11">
        <v>14.5</v>
      </c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9"/>
      <c r="V43" s="2"/>
      <c r="W43" s="9"/>
      <c r="X43" s="9"/>
      <c r="Y43" s="9"/>
      <c r="Z43" s="9"/>
    </row>
    <row x14ac:dyDescent="0.25" r="44" customHeight="1" ht="18.75">
      <c r="A44" s="2" t="s">
        <v>74</v>
      </c>
      <c r="B44" s="3">
        <v>29</v>
      </c>
      <c r="C44" s="3">
        <v>78</v>
      </c>
      <c r="D44" s="11">
        <v>14.5</v>
      </c>
      <c r="E44" s="3">
        <v>77</v>
      </c>
      <c r="F44" s="38">
        <f>IF(AND(C44&gt;100,D44&lt;13,B44&gt;32.5),"High Performance",IF(AND(C44&lt;= 100,C44&gt;=60,D44&gt;=13,D44&lt;=19,B44&gt;=17,B44&lt;=32.5),"Mid Range","Economy"))</f>
      </c>
      <c r="G44" s="2"/>
      <c r="H44" s="2" t="s">
        <v>392</v>
      </c>
      <c r="I44" s="11">
        <v>2.7576889298127703</v>
      </c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9"/>
      <c r="V44" s="2"/>
      <c r="W44" s="9"/>
      <c r="X44" s="9"/>
      <c r="Y44" s="9"/>
      <c r="Z44" s="9"/>
    </row>
    <row x14ac:dyDescent="0.25" r="45" customHeight="1" ht="18.75">
      <c r="A45" s="2" t="s">
        <v>63</v>
      </c>
      <c r="B45" s="11">
        <v>30.5</v>
      </c>
      <c r="C45" s="3">
        <v>78</v>
      </c>
      <c r="D45" s="11">
        <v>14.1</v>
      </c>
      <c r="E45" s="3">
        <v>77</v>
      </c>
      <c r="F45" s="38">
        <f>IF(AND(C45&gt;100,D45&lt;13,B45&gt;32.5),"High Performance",IF(AND(C45&lt;= 100,C45&gt;=60,D45&gt;=13,D45&lt;=19,B45&gt;=17,B45&lt;=32.5),"Mid Range","Economy"))</f>
      </c>
      <c r="G45" s="2"/>
      <c r="H45" s="2" t="s">
        <v>393</v>
      </c>
      <c r="I45" s="11">
        <v>7.604848233611902</v>
      </c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9"/>
      <c r="V45" s="2"/>
      <c r="W45" s="9"/>
      <c r="X45" s="9"/>
      <c r="Y45" s="9"/>
      <c r="Z45" s="9"/>
    </row>
    <row x14ac:dyDescent="0.25" r="46" customHeight="1" ht="18.75">
      <c r="A46" s="2" t="s">
        <v>75</v>
      </c>
      <c r="B46" s="3">
        <v>36</v>
      </c>
      <c r="C46" s="3">
        <v>58</v>
      </c>
      <c r="D46" s="11">
        <v>18.6</v>
      </c>
      <c r="E46" s="3">
        <v>77</v>
      </c>
      <c r="F46" s="38">
        <f>IF(AND(C46&gt;100,D46&lt;13,B46&gt;32.5),"High Performance",IF(AND(C46&lt;= 100,C46&gt;=60,D46&gt;=13,D46&lt;=19,B46&gt;=17,B46&lt;=32.5),"Mid Range","Economy"))</f>
      </c>
      <c r="G46" s="2"/>
      <c r="H46" s="2" t="s">
        <v>394</v>
      </c>
      <c r="I46" s="11">
        <v>0.4194968829706873</v>
      </c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9"/>
      <c r="V46" s="2"/>
      <c r="W46" s="9"/>
      <c r="X46" s="9"/>
      <c r="Y46" s="9"/>
      <c r="Z46" s="9"/>
    </row>
    <row x14ac:dyDescent="0.25" r="47" customHeight="1" ht="18.75">
      <c r="A47" s="2" t="s">
        <v>76</v>
      </c>
      <c r="B47" s="11">
        <v>21.6</v>
      </c>
      <c r="C47" s="3">
        <v>115</v>
      </c>
      <c r="D47" s="11">
        <v>15.7</v>
      </c>
      <c r="E47" s="3">
        <v>78</v>
      </c>
      <c r="F47" s="38">
        <f>IF(AND(C47&gt;100,D47&lt;13,B47&gt;32.5),"High Performance",IF(AND(C47&lt;= 100,C47&gt;=60,D47&gt;=13,D47&lt;=19,B47&gt;=17,B47&lt;=32.5),"Mid Range","Economy"))</f>
      </c>
      <c r="G47" s="2"/>
      <c r="H47" s="2" t="s">
        <v>395</v>
      </c>
      <c r="I47" s="11">
        <v>0.27877684462590535</v>
      </c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9"/>
      <c r="V47" s="2"/>
      <c r="W47" s="9"/>
      <c r="X47" s="9"/>
      <c r="Y47" s="9"/>
      <c r="Z47" s="9"/>
    </row>
    <row x14ac:dyDescent="0.25" r="48" customHeight="1" ht="18.75">
      <c r="A48" s="2" t="s">
        <v>77</v>
      </c>
      <c r="B48" s="11">
        <v>31.5</v>
      </c>
      <c r="C48" s="3">
        <v>71</v>
      </c>
      <c r="D48" s="11">
        <v>14.9</v>
      </c>
      <c r="E48" s="3">
        <v>78</v>
      </c>
      <c r="F48" s="38">
        <f>IF(AND(C48&gt;100,D48&lt;13,B48&gt;32.5),"High Performance",IF(AND(C48&lt;= 100,C48&gt;=60,D48&gt;=13,D48&lt;=19,B48&gt;=17,B48&lt;=32.5),"Mid Range","Economy"))</f>
      </c>
      <c r="G48" s="2"/>
      <c r="H48" s="2" t="s">
        <v>396</v>
      </c>
      <c r="I48" s="11">
        <v>16.8</v>
      </c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9"/>
      <c r="V48" s="2"/>
      <c r="W48" s="9"/>
      <c r="X48" s="9"/>
      <c r="Y48" s="9"/>
      <c r="Z48" s="9"/>
    </row>
    <row x14ac:dyDescent="0.25" r="49" customHeight="1" ht="18.75">
      <c r="A49" s="2" t="s">
        <v>78</v>
      </c>
      <c r="B49" s="11">
        <v>43.1</v>
      </c>
      <c r="C49" s="3">
        <v>48</v>
      </c>
      <c r="D49" s="11">
        <v>21.5</v>
      </c>
      <c r="E49" s="3">
        <v>78</v>
      </c>
      <c r="F49" s="38">
        <f>IF(AND(C49&gt;100,D49&lt;13,B49&gt;32.5),"High Performance",IF(AND(C49&lt;= 100,C49&gt;=60,D49&gt;=13,D49&lt;=19,B49&gt;=17,B49&lt;=32.5),"Mid Range","Economy"))</f>
      </c>
      <c r="G49" s="2"/>
      <c r="H49" s="2" t="s">
        <v>397</v>
      </c>
      <c r="I49" s="3">
        <v>8</v>
      </c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9"/>
      <c r="V49" s="2"/>
      <c r="W49" s="9"/>
      <c r="X49" s="9"/>
      <c r="Y49" s="9"/>
      <c r="Z49" s="9"/>
    </row>
    <row x14ac:dyDescent="0.25" r="50" customHeight="1" ht="18.75">
      <c r="A50" s="2" t="s">
        <v>79</v>
      </c>
      <c r="B50" s="11">
        <v>20.3</v>
      </c>
      <c r="C50" s="3">
        <v>103</v>
      </c>
      <c r="D50" s="11">
        <v>15.9</v>
      </c>
      <c r="E50" s="3">
        <v>78</v>
      </c>
      <c r="F50" s="38">
        <f>IF(AND(C50&gt;100,D50&lt;13,B50&gt;32.5),"High Performance",IF(AND(C50&lt;= 100,C50&gt;=60,D50&gt;=13,D50&lt;=19,B50&gt;=17,B50&lt;=32.5),"Mid Range","Economy"))</f>
      </c>
      <c r="G50" s="2"/>
      <c r="H50" s="2" t="s">
        <v>398</v>
      </c>
      <c r="I50" s="11">
        <v>24.8</v>
      </c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9"/>
      <c r="V50" s="2"/>
      <c r="W50" s="9"/>
      <c r="X50" s="9"/>
      <c r="Y50" s="9"/>
      <c r="Z50" s="9"/>
    </row>
    <row x14ac:dyDescent="0.25" r="51" customHeight="1" ht="18.75">
      <c r="A51" s="2" t="s">
        <v>80</v>
      </c>
      <c r="B51" s="3">
        <v>17</v>
      </c>
      <c r="C51" s="3">
        <v>125</v>
      </c>
      <c r="D51" s="11">
        <v>13.6</v>
      </c>
      <c r="E51" s="3">
        <v>78</v>
      </c>
      <c r="F51" s="38">
        <f>IF(AND(C51&gt;100,D51&lt;13,B51&gt;32.5),"High Performance",IF(AND(C51&lt;= 100,C51&gt;=60,D51&gt;=13,D51&lt;=19,B51&gt;=17,B51&lt;=32.5),"Mid Range","Economy"))</f>
      </c>
      <c r="G51" s="2"/>
      <c r="H51" s="2" t="s">
        <v>399</v>
      </c>
      <c r="I51" s="11">
        <v>6196.099999999995</v>
      </c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9"/>
      <c r="V51" s="2"/>
      <c r="W51" s="9"/>
      <c r="X51" s="9"/>
      <c r="Y51" s="9"/>
      <c r="Z51" s="9"/>
    </row>
    <row x14ac:dyDescent="0.25" r="52" customHeight="1" ht="18.75">
      <c r="A52" s="2" t="s">
        <v>81</v>
      </c>
      <c r="B52" s="11">
        <v>16.2</v>
      </c>
      <c r="C52" s="3">
        <v>133</v>
      </c>
      <c r="D52" s="11">
        <v>15.8</v>
      </c>
      <c r="E52" s="3">
        <v>78</v>
      </c>
      <c r="F52" s="38">
        <f>IF(AND(C52&gt;100,D52&lt;13,B52&gt;32.5),"High Performance",IF(AND(C52&lt;= 100,C52&gt;=60,D52&gt;=13,D52&lt;=19,B52&gt;=17,B52&lt;=32.5),"Mid Range","Economy"))</f>
      </c>
      <c r="G52" s="2"/>
      <c r="H52" s="29" t="s">
        <v>400</v>
      </c>
      <c r="I52" s="30">
        <v>398</v>
      </c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9"/>
      <c r="V52" s="2"/>
      <c r="W52" s="9"/>
      <c r="X52" s="9"/>
      <c r="Y52" s="9"/>
      <c r="Z52" s="9"/>
    </row>
    <row x14ac:dyDescent="0.25" r="53" customHeight="1" ht="18.75">
      <c r="A53" s="2" t="s">
        <v>82</v>
      </c>
      <c r="B53" s="11">
        <v>31.9</v>
      </c>
      <c r="C53" s="3">
        <v>71</v>
      </c>
      <c r="D53" s="3">
        <v>14</v>
      </c>
      <c r="E53" s="3">
        <v>79</v>
      </c>
      <c r="F53" s="38">
        <f>IF(AND(C53&gt;100,D53&lt;13,B53&gt;32.5),"High Performance",IF(AND(C53&lt;= 100,C53&gt;=60,D53&gt;=13,D53&lt;=19,B53&gt;=17,B53&lt;=32.5),"Mid Range","Economy"))</f>
      </c>
      <c r="G53" s="2"/>
      <c r="H53" s="2"/>
      <c r="I53" s="9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9"/>
      <c r="V53" s="2"/>
      <c r="W53" s="9"/>
      <c r="X53" s="9"/>
      <c r="Y53" s="9"/>
      <c r="Z53" s="9"/>
    </row>
    <row x14ac:dyDescent="0.25" r="54" customHeight="1" ht="18.75">
      <c r="A54" s="2" t="s">
        <v>83</v>
      </c>
      <c r="B54" s="11">
        <v>37.3</v>
      </c>
      <c r="C54" s="3">
        <v>69</v>
      </c>
      <c r="D54" s="11">
        <v>14.7</v>
      </c>
      <c r="E54" s="3">
        <v>79</v>
      </c>
      <c r="F54" s="38">
        <f>IF(AND(C54&gt;100,D54&lt;13,B54&gt;32.5),"High Performance",IF(AND(C54&lt;= 100,C54&gt;=60,D54&gt;=13,D54&lt;=19,B54&gt;=17,B54&lt;=32.5),"Mid Range","Economy"))</f>
      </c>
      <c r="G54" s="2"/>
      <c r="H54" s="2"/>
      <c r="I54" s="9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9"/>
      <c r="V54" s="2"/>
      <c r="W54" s="9"/>
      <c r="X54" s="9"/>
      <c r="Y54" s="9"/>
      <c r="Z54" s="9"/>
    </row>
    <row x14ac:dyDescent="0.25" r="55" customHeight="1" ht="18.75">
      <c r="A55" s="2" t="s">
        <v>44</v>
      </c>
      <c r="B55" s="11">
        <v>27.2</v>
      </c>
      <c r="C55" s="3">
        <v>71</v>
      </c>
      <c r="D55" s="11">
        <v>24.8</v>
      </c>
      <c r="E55" s="3">
        <v>79</v>
      </c>
      <c r="F55" s="38">
        <f>IF(AND(C55&gt;100,D55&lt;13,B55&gt;32.5),"High Performance",IF(AND(C55&lt;= 100,C55&gt;=60,D55&gt;=13,D55&lt;=19,B55&gt;=17,B55&lt;=32.5),"Mid Range","Economy"))</f>
      </c>
      <c r="G55" s="2"/>
      <c r="H55" s="2"/>
      <c r="I55" s="9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9"/>
      <c r="V55" s="2"/>
      <c r="W55" s="9"/>
      <c r="X55" s="9"/>
      <c r="Y55" s="9"/>
      <c r="Z55" s="9"/>
    </row>
    <row x14ac:dyDescent="0.25" r="56" customHeight="1" ht="18.75">
      <c r="A56" s="2" t="s">
        <v>84</v>
      </c>
      <c r="B56" s="11">
        <v>25.4</v>
      </c>
      <c r="C56" s="3">
        <v>77</v>
      </c>
      <c r="D56" s="11">
        <v>20.1</v>
      </c>
      <c r="E56" s="3">
        <v>79</v>
      </c>
      <c r="F56" s="38">
        <f>IF(AND(C56&gt;100,D56&lt;13,B56&gt;32.5),"High Performance",IF(AND(C56&lt;= 100,C56&gt;=60,D56&gt;=13,D56&lt;=19,B56&gt;=17,B56&lt;=32.5),"Mid Range","Economy"))</f>
      </c>
      <c r="G56" s="2"/>
      <c r="H56" s="2"/>
      <c r="I56" s="9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9"/>
      <c r="V56" s="2"/>
      <c r="W56" s="9"/>
      <c r="X56" s="9"/>
      <c r="Y56" s="9"/>
      <c r="Z56" s="9"/>
    </row>
    <row x14ac:dyDescent="0.25" r="57" customHeight="1" ht="18.75">
      <c r="A57" s="2" t="s">
        <v>85</v>
      </c>
      <c r="B57" s="11">
        <v>34.3</v>
      </c>
      <c r="C57" s="3">
        <v>78</v>
      </c>
      <c r="D57" s="11">
        <v>15.8</v>
      </c>
      <c r="E57" s="3">
        <v>80</v>
      </c>
      <c r="F57" s="38">
        <f>IF(AND(C57&gt;100,D57&lt;13,B57&gt;32.5),"High Performance",IF(AND(C57&lt;= 100,C57&gt;=60,D57&gt;=13,D57&lt;=19,B57&gt;=17,B57&lt;=32.5),"Mid Range","Economy"))</f>
      </c>
      <c r="G57" s="2"/>
      <c r="H57" s="2"/>
      <c r="I57" s="9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9"/>
      <c r="V57" s="2"/>
      <c r="W57" s="9"/>
      <c r="X57" s="9"/>
      <c r="Y57" s="9"/>
      <c r="Z57" s="9"/>
    </row>
    <row x14ac:dyDescent="0.25" r="58" customHeight="1" ht="18.75">
      <c r="A58" s="2" t="s">
        <v>69</v>
      </c>
      <c r="B58" s="11">
        <v>41.5</v>
      </c>
      <c r="C58" s="3">
        <v>76</v>
      </c>
      <c r="D58" s="11">
        <v>14.7</v>
      </c>
      <c r="E58" s="3">
        <v>80</v>
      </c>
      <c r="F58" s="38">
        <f>IF(AND(C58&gt;100,D58&lt;13,B58&gt;32.5),"High Performance",IF(AND(C58&lt;= 100,C58&gt;=60,D58&gt;=13,D58&lt;=19,B58&gt;=17,B58&lt;=32.5),"Mid Range","Economy"))</f>
      </c>
      <c r="G58" s="2"/>
      <c r="H58" s="2"/>
      <c r="I58" s="9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9"/>
      <c r="V58" s="2"/>
      <c r="W58" s="9"/>
      <c r="X58" s="9"/>
      <c r="Y58" s="9"/>
      <c r="Z58" s="9"/>
    </row>
    <row x14ac:dyDescent="0.25" r="59" customHeight="1" ht="18.75">
      <c r="A59" s="2" t="s">
        <v>86</v>
      </c>
      <c r="B59" s="3">
        <v>35</v>
      </c>
      <c r="C59" s="3">
        <v>88</v>
      </c>
      <c r="D59" s="11">
        <v>15.1</v>
      </c>
      <c r="E59" s="3">
        <v>80</v>
      </c>
      <c r="F59" s="38">
        <f>IF(AND(C59&gt;100,D59&lt;13,B59&gt;32.5),"High Performance",IF(AND(C59&lt;= 100,C59&gt;=60,D59&gt;=13,D59&lt;=19,B59&gt;=17,B59&lt;=32.5),"Mid Range","Economy"))</f>
      </c>
      <c r="G59" s="2"/>
      <c r="H59" s="2"/>
      <c r="I59" s="9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9"/>
      <c r="V59" s="2"/>
      <c r="W59" s="9"/>
      <c r="X59" s="9"/>
      <c r="Y59" s="9"/>
      <c r="Z59" s="9"/>
    </row>
    <row x14ac:dyDescent="0.25" r="60" customHeight="1" ht="18.75">
      <c r="A60" s="2" t="s">
        <v>87</v>
      </c>
      <c r="B60" s="11">
        <v>29.8</v>
      </c>
      <c r="C60" s="3">
        <v>62</v>
      </c>
      <c r="D60" s="11">
        <v>15.3</v>
      </c>
      <c r="E60" s="3">
        <v>80</v>
      </c>
      <c r="F60" s="38">
        <f>IF(AND(C60&gt;100,D60&lt;13,B60&gt;32.5),"High Performance",IF(AND(C60&lt;= 100,C60&gt;=60,D60&gt;=13,D60&lt;=19,B60&gt;=17,B60&lt;=32.5),"Mid Range","Economy"))</f>
      </c>
      <c r="G60" s="2"/>
      <c r="H60" s="2"/>
      <c r="I60" s="9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9"/>
      <c r="V60" s="2"/>
      <c r="W60" s="9"/>
      <c r="X60" s="9"/>
      <c r="Y60" s="9"/>
      <c r="Z60" s="9"/>
    </row>
    <row x14ac:dyDescent="0.25" r="61" customHeight="1" ht="18.75">
      <c r="A61" s="2" t="s">
        <v>88</v>
      </c>
      <c r="B61" s="11">
        <v>44.3</v>
      </c>
      <c r="C61" s="3">
        <v>48</v>
      </c>
      <c r="D61" s="11">
        <v>21.7</v>
      </c>
      <c r="E61" s="3">
        <v>80</v>
      </c>
      <c r="F61" s="38">
        <f>IF(AND(C61&gt;100,D61&lt;13,B61&gt;32.5),"High Performance",IF(AND(C61&lt;= 100,C61&gt;=60,D61&gt;=13,D61&lt;=19,B61&gt;=17,B61&lt;=32.5),"Mid Range","Economy"))</f>
      </c>
      <c r="G61" s="2"/>
      <c r="H61" s="2"/>
      <c r="I61" s="9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9"/>
      <c r="V61" s="2"/>
      <c r="W61" s="9"/>
      <c r="X61" s="9"/>
      <c r="Y61" s="9"/>
      <c r="Z61" s="9"/>
    </row>
    <row x14ac:dyDescent="0.25" r="62" customHeight="1" ht="18.75">
      <c r="A62" s="2" t="s">
        <v>89</v>
      </c>
      <c r="B62" s="3">
        <v>30</v>
      </c>
      <c r="C62" s="3">
        <v>67</v>
      </c>
      <c r="D62" s="11">
        <v>21.8</v>
      </c>
      <c r="E62" s="3">
        <v>80</v>
      </c>
      <c r="F62" s="38">
        <f>IF(AND(C62&gt;100,D62&lt;13,B62&gt;32.5),"High Performance",IF(AND(C62&lt;= 100,C62&gt;=60,D62&gt;=13,D62&lt;=19,B62&gt;=17,B62&lt;=32.5),"Mid Range","Economy"))</f>
      </c>
      <c r="G62" s="2"/>
      <c r="H62" s="2"/>
      <c r="I62" s="9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9"/>
      <c r="V62" s="2"/>
      <c r="W62" s="9"/>
      <c r="X62" s="9"/>
      <c r="Y62" s="9"/>
      <c r="Z62" s="9"/>
    </row>
    <row x14ac:dyDescent="0.25" r="63" customHeight="1" ht="18.75">
      <c r="A63" s="2" t="s">
        <v>90</v>
      </c>
      <c r="B63" s="11">
        <v>43.4</v>
      </c>
      <c r="C63" s="3">
        <v>48</v>
      </c>
      <c r="D63" s="11">
        <v>23.7</v>
      </c>
      <c r="E63" s="3">
        <v>80</v>
      </c>
      <c r="F63" s="38">
        <f>IF(AND(C63&gt;100,D63&lt;13,B63&gt;32.5),"High Performance",IF(AND(C63&lt;= 100,C63&gt;=60,D63&gt;=13,D63&lt;=19,B63&gt;=17,B63&lt;=32.5),"Mid Range","Economy"))</f>
      </c>
      <c r="G63" s="2"/>
      <c r="H63" s="2"/>
      <c r="I63" s="9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9"/>
      <c r="V63" s="2"/>
      <c r="W63" s="9"/>
      <c r="X63" s="9"/>
      <c r="Y63" s="9"/>
      <c r="Z63" s="9"/>
    </row>
    <row x14ac:dyDescent="0.25" r="64" customHeight="1" ht="18.75">
      <c r="A64" s="2" t="s">
        <v>91</v>
      </c>
      <c r="B64" s="11">
        <v>40.9</v>
      </c>
      <c r="C64" s="1"/>
      <c r="D64" s="11">
        <v>17.3</v>
      </c>
      <c r="E64" s="3">
        <v>80</v>
      </c>
      <c r="F64" s="38">
        <f>IF(AND(C64&gt;100,D64&lt;13,B64&gt;32.5),"High Performance",IF(AND(C64&lt;= 100,C64&gt;=60,D64&gt;=13,D64&lt;=19,B64&gt;=17,B64&lt;=32.5),"Mid Range","Economy"))</f>
      </c>
      <c r="G64" s="2"/>
      <c r="H64" s="2"/>
      <c r="I64" s="9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9"/>
      <c r="V64" s="2"/>
      <c r="W64" s="9"/>
      <c r="X64" s="9"/>
      <c r="Y64" s="9"/>
      <c r="Z64" s="9"/>
    </row>
    <row x14ac:dyDescent="0.25" r="65" customHeight="1" ht="18.75">
      <c r="A65" s="2" t="s">
        <v>92</v>
      </c>
      <c r="B65" s="11">
        <v>36.4</v>
      </c>
      <c r="C65" s="3">
        <v>67</v>
      </c>
      <c r="D65" s="11">
        <v>19.9</v>
      </c>
      <c r="E65" s="3">
        <v>80</v>
      </c>
      <c r="F65" s="38">
        <f>IF(AND(C65&gt;100,D65&lt;13,B65&gt;32.5),"High Performance",IF(AND(C65&lt;= 100,C65&gt;=60,D65&gt;=13,D65&lt;=19,B65&gt;=17,B65&lt;=32.5),"Mid Range","Economy"))</f>
      </c>
      <c r="G65" s="2"/>
      <c r="H65" s="2"/>
      <c r="I65" s="9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9"/>
      <c r="V65" s="2"/>
      <c r="W65" s="9"/>
      <c r="X65" s="9"/>
      <c r="Y65" s="9"/>
      <c r="Z65" s="9"/>
    </row>
    <row x14ac:dyDescent="0.25" r="66" customHeight="1" ht="18.75">
      <c r="A66" s="2" t="s">
        <v>93</v>
      </c>
      <c r="B66" s="3">
        <v>33</v>
      </c>
      <c r="C66" s="3">
        <v>74</v>
      </c>
      <c r="D66" s="11">
        <v>14.2</v>
      </c>
      <c r="E66" s="3">
        <v>81</v>
      </c>
      <c r="F66" s="38">
        <f>IF(AND(C66&gt;100,D66&lt;13,B66&gt;32.5),"High Performance",IF(AND(C66&lt;= 100,C66&gt;=60,D66&gt;=13,D66&lt;=19,B66&gt;=17,B66&lt;=32.5),"Mid Range","Economy"))</f>
      </c>
      <c r="G66" s="2"/>
      <c r="H66" s="2"/>
      <c r="I66" s="9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9"/>
      <c r="V66" s="2"/>
      <c r="W66" s="9"/>
      <c r="X66" s="9"/>
      <c r="Y66" s="9"/>
      <c r="Z66" s="9"/>
    </row>
    <row x14ac:dyDescent="0.25" r="67" customHeight="1" ht="18.75">
      <c r="A67" s="2" t="s">
        <v>94</v>
      </c>
      <c r="B67" s="11">
        <v>28.1</v>
      </c>
      <c r="C67" s="3">
        <v>80</v>
      </c>
      <c r="D67" s="11">
        <v>20.4</v>
      </c>
      <c r="E67" s="3">
        <v>81</v>
      </c>
      <c r="F67" s="38">
        <f>IF(AND(C67&gt;100,D67&lt;13,B67&gt;32.5),"High Performance",IF(AND(C67&lt;= 100,C67&gt;=60,D67&gt;=13,D67&lt;=19,B67&gt;=17,B67&lt;=32.5),"Mid Range","Economy"))</f>
      </c>
      <c r="G67" s="2"/>
      <c r="H67" s="2"/>
      <c r="I67" s="9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9"/>
      <c r="V67" s="2"/>
      <c r="W67" s="9"/>
      <c r="X67" s="9"/>
      <c r="Y67" s="9"/>
      <c r="Z67" s="9"/>
    </row>
    <row x14ac:dyDescent="0.25" r="68" customHeight="1" ht="18.75">
      <c r="A68" s="2" t="s">
        <v>95</v>
      </c>
      <c r="B68" s="11">
        <v>34.5</v>
      </c>
      <c r="C68" s="1"/>
      <c r="D68" s="11">
        <v>15.8</v>
      </c>
      <c r="E68" s="3">
        <v>81</v>
      </c>
      <c r="F68" s="38">
        <f>IF(AND(C68&gt;100,D68&lt;13,B68&gt;32.5),"High Performance",IF(AND(C68&lt;= 100,C68&gt;=60,D68&gt;=13,D68&lt;=19,B68&gt;=17,B68&lt;=32.5),"Mid Range","Economy"))</f>
      </c>
      <c r="G68" s="2"/>
      <c r="H68" s="2"/>
      <c r="I68" s="9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9"/>
      <c r="V68" s="2"/>
      <c r="W68" s="9"/>
      <c r="X68" s="9"/>
      <c r="Y68" s="9"/>
      <c r="Z68" s="9"/>
    </row>
    <row x14ac:dyDescent="0.25" r="69" customHeight="1" ht="18.75">
      <c r="A69" s="2" t="s">
        <v>96</v>
      </c>
      <c r="B69" s="11">
        <v>30.7</v>
      </c>
      <c r="C69" s="3">
        <v>76</v>
      </c>
      <c r="D69" s="11">
        <v>19.6</v>
      </c>
      <c r="E69" s="3">
        <v>81</v>
      </c>
      <c r="F69" s="38">
        <f>IF(AND(C69&gt;100,D69&lt;13,B69&gt;32.5),"High Performance",IF(AND(C69&lt;= 100,C69&gt;=60,D69&gt;=13,D69&lt;=19,B69&gt;=17,B69&lt;=32.5),"Mid Range","Economy"))</f>
      </c>
      <c r="G69" s="2"/>
      <c r="H69" s="2"/>
      <c r="I69" s="9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9"/>
      <c r="V69" s="2"/>
      <c r="W69" s="9"/>
      <c r="X69" s="9"/>
      <c r="Y69" s="9"/>
      <c r="Z69" s="9"/>
    </row>
    <row x14ac:dyDescent="0.25" r="70" customHeight="1" ht="18.75">
      <c r="A70" s="2" t="s">
        <v>97</v>
      </c>
      <c r="B70" s="3">
        <v>36</v>
      </c>
      <c r="C70" s="3">
        <v>74</v>
      </c>
      <c r="D70" s="11">
        <v>15.3</v>
      </c>
      <c r="E70" s="3">
        <v>82</v>
      </c>
      <c r="F70" s="38">
        <f>IF(AND(C70&gt;100,D70&lt;13,B70&gt;32.5),"High Performance",IF(AND(C70&lt;= 100,C70&gt;=60,D70&gt;=13,D70&lt;=19,B70&gt;=17,B70&lt;=32.5),"Mid Range","Economy"))</f>
      </c>
      <c r="G70" s="2"/>
      <c r="H70" s="2"/>
      <c r="I70" s="9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9"/>
      <c r="V70" s="2"/>
      <c r="W70" s="9"/>
      <c r="X70" s="9"/>
      <c r="Y70" s="9"/>
      <c r="Z70" s="9"/>
    </row>
    <row x14ac:dyDescent="0.25" r="71" customHeight="1" ht="18.75">
      <c r="A71" s="2" t="s">
        <v>98</v>
      </c>
      <c r="B71" s="3">
        <v>44</v>
      </c>
      <c r="C71" s="3">
        <v>52</v>
      </c>
      <c r="D71" s="11">
        <v>24.6</v>
      </c>
      <c r="E71" s="3">
        <v>82</v>
      </c>
      <c r="F71" s="38">
        <f>IF(AND(C71&gt;100,D71&lt;13,B71&gt;32.5),"High Performance",IF(AND(C71&lt;= 100,C71&gt;=60,D71&gt;=13,D71&lt;=19,B71&gt;=17,B71&lt;=32.5),"Mid Range","Economy"))</f>
      </c>
      <c r="G71" s="2"/>
      <c r="H71" s="2"/>
      <c r="I71" s="9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9"/>
      <c r="V71" s="2"/>
      <c r="W71" s="9"/>
      <c r="X71" s="9"/>
      <c r="Y71" s="9"/>
      <c r="Z71" s="9"/>
    </row>
    <row x14ac:dyDescent="0.25" r="72" customHeight="1" ht="18.75">
      <c r="A72" s="2" t="s">
        <v>99</v>
      </c>
      <c r="B72" s="3">
        <v>27</v>
      </c>
      <c r="C72" s="3">
        <v>88</v>
      </c>
      <c r="D72" s="11">
        <v>14.5</v>
      </c>
      <c r="E72" s="3">
        <v>70</v>
      </c>
      <c r="F72" s="38">
        <f>IF(AND(C72&gt;100,D72&lt;13,B72&gt;32.5),"High Performance",IF(AND(C72&lt;= 100,C72&gt;=60,D72&gt;=13,D72&lt;=19,B72&gt;=17,B72&lt;=32.5),"Mid Range","Economy"))</f>
      </c>
      <c r="G72" s="2"/>
      <c r="H72" s="2"/>
      <c r="I72" s="9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9"/>
      <c r="V72" s="2"/>
      <c r="W72" s="9"/>
      <c r="X72" s="9"/>
      <c r="Y72" s="9"/>
      <c r="Z72" s="9"/>
    </row>
    <row x14ac:dyDescent="0.25" r="73" customHeight="1" ht="18.75">
      <c r="A73" s="2" t="s">
        <v>100</v>
      </c>
      <c r="B73" s="3">
        <v>24</v>
      </c>
      <c r="C73" s="3">
        <v>95</v>
      </c>
      <c r="D73" s="3">
        <v>15</v>
      </c>
      <c r="E73" s="3">
        <v>70</v>
      </c>
      <c r="F73" s="38">
        <f>IF(AND(C73&gt;100,D73&lt;13,B73&gt;32.5),"High Performance",IF(AND(C73&lt;= 100,C73&gt;=60,D73&gt;=13,D73&lt;=19,B73&gt;=17,B73&lt;=32.5),"Mid Range","Economy"))</f>
      </c>
      <c r="G73" s="2"/>
      <c r="H73" s="2"/>
      <c r="I73" s="9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9"/>
      <c r="V73" s="2"/>
      <c r="W73" s="9"/>
      <c r="X73" s="9"/>
      <c r="Y73" s="9"/>
      <c r="Z73" s="9"/>
    </row>
    <row x14ac:dyDescent="0.25" r="74" customHeight="1" ht="18.75">
      <c r="A74" s="2" t="s">
        <v>101</v>
      </c>
      <c r="B74" s="3">
        <v>35</v>
      </c>
      <c r="C74" s="3">
        <v>69</v>
      </c>
      <c r="D74" s="3">
        <v>18</v>
      </c>
      <c r="E74" s="3">
        <v>71</v>
      </c>
      <c r="F74" s="38">
        <f>IF(AND(C74&gt;100,D74&lt;13,B74&gt;32.5),"High Performance",IF(AND(C74&lt;= 100,C74&gt;=60,D74&gt;=13,D74&lt;=19,B74&gt;=17,B74&lt;=32.5),"Mid Range","Economy"))</f>
      </c>
      <c r="G74" s="2"/>
      <c r="H74" s="2"/>
      <c r="I74" s="9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9"/>
      <c r="V74" s="2"/>
      <c r="W74" s="9"/>
      <c r="X74" s="9"/>
      <c r="Y74" s="9"/>
      <c r="Z74" s="9"/>
    </row>
    <row x14ac:dyDescent="0.25" r="75" customHeight="1" ht="18.75">
      <c r="A75" s="2" t="s">
        <v>102</v>
      </c>
      <c r="B75" s="3">
        <v>25</v>
      </c>
      <c r="C75" s="3">
        <v>95</v>
      </c>
      <c r="D75" s="3">
        <v>14</v>
      </c>
      <c r="E75" s="3">
        <v>71</v>
      </c>
      <c r="F75" s="38">
        <f>IF(AND(C75&gt;100,D75&lt;13,B75&gt;32.5),"High Performance",IF(AND(C75&lt;= 100,C75&gt;=60,D75&gt;=13,D75&lt;=19,B75&gt;=17,B75&lt;=32.5),"Mid Range","Economy"))</f>
      </c>
      <c r="G75" s="2"/>
      <c r="H75" s="2"/>
      <c r="I75" s="9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9"/>
      <c r="V75" s="2"/>
      <c r="W75" s="9"/>
      <c r="X75" s="9"/>
      <c r="Y75" s="9"/>
      <c r="Z75" s="9"/>
    </row>
    <row x14ac:dyDescent="0.25" r="76" customHeight="1" ht="18.75">
      <c r="A76" s="2" t="s">
        <v>99</v>
      </c>
      <c r="B76" s="3">
        <v>27</v>
      </c>
      <c r="C76" s="3">
        <v>88</v>
      </c>
      <c r="D76" s="11">
        <v>14.5</v>
      </c>
      <c r="E76" s="3">
        <v>71</v>
      </c>
      <c r="F76" s="38">
        <f>IF(AND(C76&gt;100,D76&lt;13,B76&gt;32.5),"High Performance",IF(AND(C76&lt;= 100,C76&gt;=60,D76&gt;=13,D76&lt;=19,B76&gt;=17,B76&lt;=32.5),"Mid Range","Economy"))</f>
      </c>
      <c r="G76" s="2"/>
      <c r="H76" s="2"/>
      <c r="I76" s="9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9"/>
      <c r="V76" s="2"/>
      <c r="W76" s="9"/>
      <c r="X76" s="9"/>
      <c r="Y76" s="9"/>
      <c r="Z76" s="9"/>
    </row>
    <row x14ac:dyDescent="0.25" r="77" customHeight="1" ht="18.75">
      <c r="A77" s="2" t="s">
        <v>103</v>
      </c>
      <c r="B77" s="3">
        <v>31</v>
      </c>
      <c r="C77" s="3">
        <v>65</v>
      </c>
      <c r="D77" s="3">
        <v>19</v>
      </c>
      <c r="E77" s="3">
        <v>71</v>
      </c>
      <c r="F77" s="38">
        <f>IF(AND(C77&gt;100,D77&lt;13,B77&gt;32.5),"High Performance",IF(AND(C77&lt;= 100,C77&gt;=60,D77&gt;=13,D77&lt;=19,B77&gt;=17,B77&lt;=32.5),"Mid Range","Economy"))</f>
      </c>
      <c r="G77" s="2"/>
      <c r="H77" s="2"/>
      <c r="I77" s="9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9"/>
      <c r="V77" s="2"/>
      <c r="W77" s="9"/>
      <c r="X77" s="9"/>
      <c r="Y77" s="9"/>
      <c r="Z77" s="9"/>
    </row>
    <row x14ac:dyDescent="0.25" r="78" customHeight="1" ht="18.75">
      <c r="A78" s="2" t="s">
        <v>104</v>
      </c>
      <c r="B78" s="3">
        <v>19</v>
      </c>
      <c r="C78" s="3">
        <v>97</v>
      </c>
      <c r="D78" s="11">
        <v>13.5</v>
      </c>
      <c r="E78" s="3">
        <v>72</v>
      </c>
      <c r="F78" s="38">
        <f>IF(AND(C78&gt;100,D78&lt;13,B78&gt;32.5),"High Performance",IF(AND(C78&lt;= 100,C78&gt;=60,D78&gt;=13,D78&lt;=19,B78&gt;=17,B78&lt;=32.5),"Mid Range","Economy"))</f>
      </c>
      <c r="G78" s="2"/>
      <c r="H78" s="2"/>
      <c r="I78" s="9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9"/>
      <c r="V78" s="2"/>
      <c r="W78" s="9"/>
      <c r="X78" s="9"/>
      <c r="Y78" s="9"/>
      <c r="Z78" s="9"/>
    </row>
    <row x14ac:dyDescent="0.25" r="79" customHeight="1" ht="18.75">
      <c r="A79" s="2" t="s">
        <v>105</v>
      </c>
      <c r="B79" s="3">
        <v>27</v>
      </c>
      <c r="C79" s="3">
        <v>88</v>
      </c>
      <c r="D79" s="11">
        <v>16.5</v>
      </c>
      <c r="E79" s="3">
        <v>72</v>
      </c>
      <c r="F79" s="38">
        <f>IF(AND(C79&gt;100,D79&lt;13,B79&gt;32.5),"High Performance",IF(AND(C79&lt;= 100,C79&gt;=60,D79&gt;=13,D79&lt;=19,B79&gt;=17,B79&lt;=32.5),"Mid Range","Economy"))</f>
      </c>
      <c r="G79" s="2"/>
      <c r="H79" s="2"/>
      <c r="I79" s="9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9"/>
      <c r="V79" s="2"/>
      <c r="W79" s="9"/>
      <c r="X79" s="9"/>
      <c r="Y79" s="9"/>
      <c r="Z79" s="9"/>
    </row>
    <row x14ac:dyDescent="0.25" r="80" customHeight="1" ht="18.75">
      <c r="A80" s="2" t="s">
        <v>106</v>
      </c>
      <c r="B80" s="3">
        <v>24</v>
      </c>
      <c r="C80" s="3">
        <v>95</v>
      </c>
      <c r="D80" s="11">
        <v>15.5</v>
      </c>
      <c r="E80" s="3">
        <v>72</v>
      </c>
      <c r="F80" s="38">
        <f>IF(AND(C80&gt;100,D80&lt;13,B80&gt;32.5),"High Performance",IF(AND(C80&lt;= 100,C80&gt;=60,D80&gt;=13,D80&lt;=19,B80&gt;=17,B80&lt;=32.5),"Mid Range","Economy"))</f>
      </c>
      <c r="G80" s="2"/>
      <c r="H80" s="2"/>
      <c r="I80" s="9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9"/>
      <c r="V80" s="2"/>
      <c r="W80" s="9"/>
      <c r="X80" s="9"/>
      <c r="Y80" s="9"/>
      <c r="Z80" s="9"/>
    </row>
    <row x14ac:dyDescent="0.25" r="81" customHeight="1" ht="18.75">
      <c r="A81" s="2" t="s">
        <v>107</v>
      </c>
      <c r="B81" s="3">
        <v>28</v>
      </c>
      <c r="C81" s="3">
        <v>92</v>
      </c>
      <c r="D81" s="3">
        <v>17</v>
      </c>
      <c r="E81" s="3">
        <v>72</v>
      </c>
      <c r="F81" s="38">
        <f>IF(AND(C81&gt;100,D81&lt;13,B81&gt;32.5),"High Performance",IF(AND(C81&lt;= 100,C81&gt;=60,D81&gt;=13,D81&lt;=19,B81&gt;=17,B81&lt;=32.5),"Mid Range","Economy"))</f>
      </c>
      <c r="G81" s="2"/>
      <c r="H81" s="2"/>
      <c r="I81" s="9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9"/>
      <c r="V81" s="2"/>
      <c r="W81" s="9"/>
      <c r="X81" s="9"/>
      <c r="Y81" s="9"/>
      <c r="Z81" s="9"/>
    </row>
    <row x14ac:dyDescent="0.25" r="82" customHeight="1" ht="18.75">
      <c r="A82" s="2" t="s">
        <v>108</v>
      </c>
      <c r="B82" s="3">
        <v>23</v>
      </c>
      <c r="C82" s="3">
        <v>97</v>
      </c>
      <c r="D82" s="11">
        <v>14.5</v>
      </c>
      <c r="E82" s="3">
        <v>72</v>
      </c>
      <c r="F82" s="38">
        <f>IF(AND(C82&gt;100,D82&lt;13,B82&gt;32.5),"High Performance",IF(AND(C82&lt;= 100,C82&gt;=60,D82&gt;=13,D82&lt;=19,B82&gt;=17,B82&lt;=32.5),"Mid Range","Economy"))</f>
      </c>
      <c r="G82" s="2"/>
      <c r="H82" s="2"/>
      <c r="I82" s="9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9"/>
      <c r="V82" s="2"/>
      <c r="W82" s="9"/>
      <c r="X82" s="9"/>
      <c r="Y82" s="9"/>
      <c r="Z82" s="9"/>
    </row>
    <row x14ac:dyDescent="0.25" r="83" customHeight="1" ht="18.75">
      <c r="A83" s="2" t="s">
        <v>109</v>
      </c>
      <c r="B83" s="3">
        <v>18</v>
      </c>
      <c r="C83" s="3">
        <v>90</v>
      </c>
      <c r="D83" s="11">
        <v>13.5</v>
      </c>
      <c r="E83" s="3">
        <v>73</v>
      </c>
      <c r="F83" s="38">
        <f>IF(AND(C83&gt;100,D83&lt;13,B83&gt;32.5),"High Performance",IF(AND(C83&lt;= 100,C83&gt;=60,D83&gt;=13,D83&lt;=19,B83&gt;=17,B83&lt;=32.5),"Mid Range","Economy"))</f>
      </c>
      <c r="G83" s="2"/>
      <c r="H83" s="2"/>
      <c r="I83" s="9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9"/>
      <c r="V83" s="2"/>
      <c r="W83" s="9"/>
      <c r="X83" s="9"/>
      <c r="Y83" s="9"/>
      <c r="Z83" s="9"/>
    </row>
    <row x14ac:dyDescent="0.25" r="84" customHeight="1" ht="18.75">
      <c r="A84" s="2" t="s">
        <v>110</v>
      </c>
      <c r="B84" s="3">
        <v>22</v>
      </c>
      <c r="C84" s="3">
        <v>94</v>
      </c>
      <c r="D84" s="11">
        <v>16.5</v>
      </c>
      <c r="E84" s="3">
        <v>73</v>
      </c>
      <c r="F84" s="38">
        <f>IF(AND(C84&gt;100,D84&lt;13,B84&gt;32.5),"High Performance",IF(AND(C84&lt;= 100,C84&gt;=60,D84&gt;=13,D84&lt;=19,B84&gt;=17,B84&lt;=32.5),"Mid Range","Economy"))</f>
      </c>
      <c r="G84" s="2"/>
      <c r="H84" s="2"/>
      <c r="I84" s="9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9"/>
      <c r="V84" s="2"/>
      <c r="W84" s="9"/>
      <c r="X84" s="9"/>
      <c r="Y84" s="9"/>
      <c r="Z84" s="9"/>
    </row>
    <row x14ac:dyDescent="0.25" r="85" customHeight="1" ht="18.75">
      <c r="A85" s="2" t="s">
        <v>111</v>
      </c>
      <c r="B85" s="3">
        <v>20</v>
      </c>
      <c r="C85" s="3">
        <v>88</v>
      </c>
      <c r="D85" s="3">
        <v>19</v>
      </c>
      <c r="E85" s="3">
        <v>73</v>
      </c>
      <c r="F85" s="38">
        <f>IF(AND(C85&gt;100,D85&lt;13,B85&gt;32.5),"High Performance",IF(AND(C85&lt;= 100,C85&gt;=60,D85&gt;=13,D85&lt;=19,B85&gt;=17,B85&lt;=32.5),"Mid Range","Economy"))</f>
      </c>
      <c r="G85" s="2"/>
      <c r="H85" s="2"/>
      <c r="I85" s="9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9"/>
      <c r="V85" s="2"/>
      <c r="W85" s="9"/>
      <c r="X85" s="9"/>
      <c r="Y85" s="9"/>
      <c r="Z85" s="9"/>
    </row>
    <row x14ac:dyDescent="0.25" r="86" customHeight="1" ht="18.75">
      <c r="A86" s="2" t="s">
        <v>112</v>
      </c>
      <c r="B86" s="3">
        <v>20</v>
      </c>
      <c r="C86" s="3">
        <v>122</v>
      </c>
      <c r="D86" s="11">
        <v>13.5</v>
      </c>
      <c r="E86" s="3">
        <v>73</v>
      </c>
      <c r="F86" s="38">
        <f>IF(AND(C86&gt;100,D86&lt;13,B86&gt;32.5),"High Performance",IF(AND(C86&lt;= 100,C86&gt;=60,D86&gt;=13,D86&lt;=19,B86&gt;=17,B86&lt;=32.5),"Mid Range","Economy"))</f>
      </c>
      <c r="G86" s="2"/>
      <c r="H86" s="2"/>
      <c r="I86" s="9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9"/>
      <c r="V86" s="2"/>
      <c r="W86" s="9"/>
      <c r="X86" s="9"/>
      <c r="Y86" s="9"/>
      <c r="Z86" s="9"/>
    </row>
    <row x14ac:dyDescent="0.25" r="87" customHeight="1" ht="18.75">
      <c r="A87" s="2" t="s">
        <v>113</v>
      </c>
      <c r="B87" s="3">
        <v>24</v>
      </c>
      <c r="C87" s="3">
        <v>97</v>
      </c>
      <c r="D87" s="3">
        <v>15</v>
      </c>
      <c r="E87" s="3">
        <v>74</v>
      </c>
      <c r="F87" s="38">
        <f>IF(AND(C87&gt;100,D87&lt;13,B87&gt;32.5),"High Performance",IF(AND(C87&lt;= 100,C87&gt;=60,D87&gt;=13,D87&lt;=19,B87&gt;=17,B87&lt;=32.5),"Mid Range","Economy"))</f>
      </c>
      <c r="G87" s="2"/>
      <c r="H87" s="2"/>
      <c r="I87" s="9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9"/>
      <c r="V87" s="2"/>
      <c r="W87" s="9"/>
      <c r="X87" s="9"/>
      <c r="Y87" s="9"/>
      <c r="Z87" s="9"/>
    </row>
    <row x14ac:dyDescent="0.25" r="88" customHeight="1" ht="18.75">
      <c r="A88" s="2" t="s">
        <v>114</v>
      </c>
      <c r="B88" s="3">
        <v>26</v>
      </c>
      <c r="C88" s="3">
        <v>93</v>
      </c>
      <c r="D88" s="11">
        <v>15.5</v>
      </c>
      <c r="E88" s="3">
        <v>74</v>
      </c>
      <c r="F88" s="38">
        <f>IF(AND(C88&gt;100,D88&lt;13,B88&gt;32.5),"High Performance",IF(AND(C88&lt;= 100,C88&gt;=60,D88&gt;=13,D88&lt;=19,B88&gt;=17,B88&lt;=32.5),"Mid Range","Economy"))</f>
      </c>
      <c r="G88" s="2"/>
      <c r="H88" s="2"/>
      <c r="I88" s="9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9"/>
      <c r="V88" s="2"/>
      <c r="W88" s="9"/>
      <c r="X88" s="9"/>
      <c r="Y88" s="9"/>
      <c r="Z88" s="9"/>
    </row>
    <row x14ac:dyDescent="0.25" r="89" customHeight="1" ht="18.75">
      <c r="A89" s="2" t="s">
        <v>103</v>
      </c>
      <c r="B89" s="3">
        <v>32</v>
      </c>
      <c r="C89" s="3">
        <v>65</v>
      </c>
      <c r="D89" s="3">
        <v>21</v>
      </c>
      <c r="E89" s="3">
        <v>74</v>
      </c>
      <c r="F89" s="38">
        <f>IF(AND(C89&gt;100,D89&lt;13,B89&gt;32.5),"High Performance",IF(AND(C89&lt;= 100,C89&gt;=60,D89&gt;=13,D89&lt;=19,B89&gt;=17,B89&lt;=32.5),"Mid Range","Economy"))</f>
      </c>
      <c r="G89" s="2"/>
      <c r="H89" s="2"/>
      <c r="I89" s="9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9"/>
      <c r="V89" s="2"/>
      <c r="W89" s="9"/>
      <c r="X89" s="9"/>
      <c r="Y89" s="9"/>
      <c r="Z89" s="9"/>
    </row>
    <row x14ac:dyDescent="0.25" r="90" customHeight="1" ht="18.75">
      <c r="A90" s="2" t="s">
        <v>115</v>
      </c>
      <c r="B90" s="3">
        <v>31</v>
      </c>
      <c r="C90" s="3">
        <v>67</v>
      </c>
      <c r="D90" s="3">
        <v>19</v>
      </c>
      <c r="E90" s="3">
        <v>74</v>
      </c>
      <c r="F90" s="38">
        <f>IF(AND(C90&gt;100,D90&lt;13,B90&gt;32.5),"High Performance",IF(AND(C90&lt;= 100,C90&gt;=60,D90&gt;=13,D90&lt;=19,B90&gt;=17,B90&lt;=32.5),"Mid Range","Economy"))</f>
      </c>
      <c r="G90" s="2"/>
      <c r="H90" s="2"/>
      <c r="I90" s="9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9"/>
      <c r="V90" s="2"/>
      <c r="W90" s="9"/>
      <c r="X90" s="9"/>
      <c r="Y90" s="9"/>
      <c r="Z90" s="9"/>
    </row>
    <row x14ac:dyDescent="0.25" r="91" customHeight="1" ht="18.75">
      <c r="A91" s="2" t="s">
        <v>102</v>
      </c>
      <c r="B91" s="3">
        <v>31</v>
      </c>
      <c r="C91" s="3">
        <v>52</v>
      </c>
      <c r="D91" s="11">
        <v>16.5</v>
      </c>
      <c r="E91" s="3">
        <v>74</v>
      </c>
      <c r="F91" s="38">
        <f>IF(AND(C91&gt;100,D91&lt;13,B91&gt;32.5),"High Performance",IF(AND(C91&lt;= 100,C91&gt;=60,D91&gt;=13,D91&lt;=19,B91&gt;=17,B91&lt;=32.5),"Mid Range","Economy"))</f>
      </c>
      <c r="G91" s="2"/>
      <c r="H91" s="2"/>
      <c r="I91" s="9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9"/>
      <c r="V91" s="2"/>
      <c r="W91" s="9"/>
      <c r="X91" s="9"/>
      <c r="Y91" s="9"/>
      <c r="Z91" s="9"/>
    </row>
    <row x14ac:dyDescent="0.25" r="92" customHeight="1" ht="18.75">
      <c r="A92" s="2" t="s">
        <v>116</v>
      </c>
      <c r="B92" s="3">
        <v>32</v>
      </c>
      <c r="C92" s="3">
        <v>61</v>
      </c>
      <c r="D92" s="3">
        <v>19</v>
      </c>
      <c r="E92" s="3">
        <v>74</v>
      </c>
      <c r="F92" s="38">
        <f>IF(AND(C92&gt;100,D92&lt;13,B92&gt;32.5),"High Performance",IF(AND(C92&lt;= 100,C92&gt;=60,D92&gt;=13,D92&lt;=19,B92&gt;=17,B92&lt;=32.5),"Mid Range","Economy"))</f>
      </c>
      <c r="G92" s="2"/>
      <c r="H92" s="2"/>
      <c r="I92" s="9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9"/>
      <c r="V92" s="2"/>
      <c r="W92" s="9"/>
      <c r="X92" s="9"/>
      <c r="Y92" s="9"/>
      <c r="Z92" s="9"/>
    </row>
    <row x14ac:dyDescent="0.25" r="93" customHeight="1" ht="18.75">
      <c r="A93" s="2" t="s">
        <v>116</v>
      </c>
      <c r="B93" s="3">
        <v>24</v>
      </c>
      <c r="C93" s="3">
        <v>97</v>
      </c>
      <c r="D93" s="3">
        <v>17</v>
      </c>
      <c r="E93" s="3">
        <v>75</v>
      </c>
      <c r="F93" s="38">
        <f>IF(AND(C93&gt;100,D93&lt;13,B93&gt;32.5),"High Performance",IF(AND(C93&lt;= 100,C93&gt;=60,D93&gt;=13,D93&lt;=19,B93&gt;=17,B93&lt;=32.5),"Mid Range","Economy"))</f>
      </c>
      <c r="G93" s="2"/>
      <c r="H93" s="2"/>
      <c r="I93" s="9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9"/>
      <c r="V93" s="2"/>
      <c r="W93" s="9"/>
      <c r="X93" s="9"/>
      <c r="Y93" s="9"/>
      <c r="Z93" s="9"/>
    </row>
    <row x14ac:dyDescent="0.25" r="94" customHeight="1" ht="18.75">
      <c r="A94" s="2" t="s">
        <v>102</v>
      </c>
      <c r="B94" s="3">
        <v>24</v>
      </c>
      <c r="C94" s="3">
        <v>96</v>
      </c>
      <c r="D94" s="11">
        <v>13.5</v>
      </c>
      <c r="E94" s="3">
        <v>75</v>
      </c>
      <c r="F94" s="38">
        <f>IF(AND(C94&gt;100,D94&lt;13,B94&gt;32.5),"High Performance",IF(AND(C94&lt;= 100,C94&gt;=60,D94&gt;=13,D94&lt;=19,B94&gt;=17,B94&lt;=32.5),"Mid Range","Economy"))</f>
      </c>
      <c r="G94" s="2"/>
      <c r="H94" s="2"/>
      <c r="I94" s="9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9"/>
      <c r="V94" s="2"/>
      <c r="W94" s="9"/>
      <c r="X94" s="9"/>
      <c r="Y94" s="9"/>
      <c r="Z94" s="9"/>
    </row>
    <row x14ac:dyDescent="0.25" r="95" customHeight="1" ht="18.75">
      <c r="A95" s="2" t="s">
        <v>117</v>
      </c>
      <c r="B95" s="3">
        <v>29</v>
      </c>
      <c r="C95" s="3">
        <v>75</v>
      </c>
      <c r="D95" s="3">
        <v>16</v>
      </c>
      <c r="E95" s="3">
        <v>75</v>
      </c>
      <c r="F95" s="38">
        <f>IF(AND(C95&gt;100,D95&lt;13,B95&gt;32.5),"High Performance",IF(AND(C95&lt;= 100,C95&gt;=60,D95&gt;=13,D95&lt;=19,B95&gt;=17,B95&lt;=32.5),"Mid Range","Economy"))</f>
      </c>
      <c r="G95" s="2"/>
      <c r="H95" s="2"/>
      <c r="I95" s="9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9"/>
      <c r="V95" s="2"/>
      <c r="W95" s="9"/>
      <c r="X95" s="9"/>
      <c r="Y95" s="9"/>
      <c r="Z95" s="9"/>
    </row>
    <row x14ac:dyDescent="0.25" r="96" customHeight="1" ht="18.75">
      <c r="A96" s="2" t="s">
        <v>118</v>
      </c>
      <c r="B96" s="3">
        <v>33</v>
      </c>
      <c r="C96" s="3">
        <v>53</v>
      </c>
      <c r="D96" s="11">
        <v>17.5</v>
      </c>
      <c r="E96" s="3">
        <v>75</v>
      </c>
      <c r="F96" s="38">
        <f>IF(AND(C96&gt;100,D96&lt;13,B96&gt;32.5),"High Performance",IF(AND(C96&lt;= 100,C96&gt;=60,D96&gt;=13,D96&lt;=19,B96&gt;=17,B96&lt;=32.5),"Mid Range","Economy"))</f>
      </c>
      <c r="G96" s="2"/>
      <c r="H96" s="2"/>
      <c r="I96" s="9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9"/>
      <c r="V96" s="2"/>
      <c r="W96" s="9"/>
      <c r="X96" s="9"/>
      <c r="Y96" s="9"/>
      <c r="Z96" s="9"/>
    </row>
    <row x14ac:dyDescent="0.25" r="97" customHeight="1" ht="18.75">
      <c r="A97" s="2" t="s">
        <v>119</v>
      </c>
      <c r="B97" s="3">
        <v>32</v>
      </c>
      <c r="C97" s="3">
        <v>70</v>
      </c>
      <c r="D97" s="3">
        <v>17</v>
      </c>
      <c r="E97" s="3">
        <v>76</v>
      </c>
      <c r="F97" s="38">
        <f>IF(AND(C97&gt;100,D97&lt;13,B97&gt;32.5),"High Performance",IF(AND(C97&lt;= 100,C97&gt;=60,D97&gt;=13,D97&lt;=19,B97&gt;=17,B97&lt;=32.5),"Mid Range","Economy"))</f>
      </c>
      <c r="G97" s="2"/>
      <c r="H97" s="2"/>
      <c r="I97" s="9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9"/>
      <c r="V97" s="2"/>
      <c r="W97" s="9"/>
      <c r="X97" s="9"/>
      <c r="Y97" s="9"/>
      <c r="Z97" s="9"/>
    </row>
    <row x14ac:dyDescent="0.25" r="98" customHeight="1" ht="18.75">
      <c r="A98" s="2" t="s">
        <v>117</v>
      </c>
      <c r="B98" s="3">
        <v>28</v>
      </c>
      <c r="C98" s="3">
        <v>75</v>
      </c>
      <c r="D98" s="11">
        <v>16.4</v>
      </c>
      <c r="E98" s="3">
        <v>76</v>
      </c>
      <c r="F98" s="38">
        <f>IF(AND(C98&gt;100,D98&lt;13,B98&gt;32.5),"High Performance",IF(AND(C98&lt;= 100,C98&gt;=60,D98&gt;=13,D98&lt;=19,B98&gt;=17,B98&lt;=32.5),"Mid Range","Economy"))</f>
      </c>
      <c r="G98" s="2"/>
      <c r="H98" s="2"/>
      <c r="I98" s="9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9"/>
      <c r="V98" s="2"/>
      <c r="W98" s="9"/>
      <c r="X98" s="9"/>
      <c r="Y98" s="9"/>
      <c r="Z98" s="9"/>
    </row>
    <row x14ac:dyDescent="0.25" r="99" customHeight="1" ht="18.75">
      <c r="A99" s="2" t="s">
        <v>113</v>
      </c>
      <c r="B99" s="3">
        <v>33</v>
      </c>
      <c r="C99" s="3">
        <v>53</v>
      </c>
      <c r="D99" s="11">
        <v>17.4</v>
      </c>
      <c r="E99" s="3">
        <v>76</v>
      </c>
      <c r="F99" s="38">
        <f>IF(AND(C99&gt;100,D99&lt;13,B99&gt;32.5),"High Performance",IF(AND(C99&lt;= 100,C99&gt;=60,D99&gt;=13,D99&lt;=19,B99&gt;=17,B99&lt;=32.5),"Mid Range","Economy"))</f>
      </c>
      <c r="G99" s="2"/>
      <c r="H99" s="2"/>
      <c r="I99" s="9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9"/>
      <c r="V99" s="2"/>
      <c r="W99" s="9"/>
      <c r="X99" s="9"/>
      <c r="Y99" s="9"/>
      <c r="Z99" s="9"/>
    </row>
    <row x14ac:dyDescent="0.25" r="100" customHeight="1" ht="18.75">
      <c r="A100" s="2" t="s">
        <v>112</v>
      </c>
      <c r="B100" s="3">
        <v>19</v>
      </c>
      <c r="C100" s="3">
        <v>108</v>
      </c>
      <c r="D100" s="11">
        <v>15.5</v>
      </c>
      <c r="E100" s="3">
        <v>76</v>
      </c>
      <c r="F100" s="38">
        <f>IF(AND(C100&gt;100,D100&lt;13,B100&gt;32.5),"High Performance",IF(AND(C100&lt;= 100,C100&gt;=60,D100&gt;=13,D100&lt;=19,B100&gt;=17,B100&lt;=32.5),"Mid Range","Economy"))</f>
      </c>
      <c r="G100" s="2"/>
      <c r="H100" s="2"/>
      <c r="I100" s="9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9"/>
      <c r="V100" s="2"/>
      <c r="W100" s="9"/>
      <c r="X100" s="9"/>
      <c r="Y100" s="9"/>
      <c r="Z100" s="9"/>
    </row>
    <row x14ac:dyDescent="0.25" r="101" customHeight="1" ht="18.75">
      <c r="A101" s="2" t="s">
        <v>120</v>
      </c>
      <c r="B101" s="11">
        <v>21.5</v>
      </c>
      <c r="C101" s="3">
        <v>110</v>
      </c>
      <c r="D101" s="11">
        <v>13.5</v>
      </c>
      <c r="E101" s="3">
        <v>77</v>
      </c>
      <c r="F101" s="38">
        <f>IF(AND(C101&gt;100,D101&lt;13,B101&gt;32.5),"High Performance",IF(AND(C101&lt;= 100,C101&gt;=60,D101&gt;=13,D101&lt;=19,B101&gt;=17,B101&lt;=32.5),"Mid Range","Economy"))</f>
      </c>
      <c r="G101" s="2"/>
      <c r="H101" s="2"/>
      <c r="I101" s="9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9"/>
      <c r="V101" s="2"/>
      <c r="W101" s="9"/>
      <c r="X101" s="9"/>
      <c r="Y101" s="9"/>
      <c r="Z101" s="9"/>
    </row>
    <row x14ac:dyDescent="0.25" r="102" customHeight="1" ht="18.75">
      <c r="A102" s="2" t="s">
        <v>121</v>
      </c>
      <c r="B102" s="11">
        <v>33.5</v>
      </c>
      <c r="C102" s="3">
        <v>70</v>
      </c>
      <c r="D102" s="11">
        <v>16.8</v>
      </c>
      <c r="E102" s="3">
        <v>77</v>
      </c>
      <c r="F102" s="38">
        <f>IF(AND(C102&gt;100,D102&lt;13,B102&gt;32.5),"High Performance",IF(AND(C102&lt;= 100,C102&gt;=60,D102&gt;=13,D102&lt;=19,B102&gt;=17,B102&lt;=32.5),"Mid Range","Economy"))</f>
      </c>
      <c r="G102" s="2"/>
      <c r="H102" s="2"/>
      <c r="I102" s="9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9"/>
      <c r="V102" s="2"/>
      <c r="W102" s="9"/>
      <c r="X102" s="9"/>
      <c r="Y102" s="9"/>
      <c r="Z102" s="9"/>
    </row>
    <row x14ac:dyDescent="0.25" r="103" customHeight="1" ht="18.75">
      <c r="A103" s="2" t="s">
        <v>122</v>
      </c>
      <c r="B103" s="3">
        <v>30</v>
      </c>
      <c r="C103" s="3">
        <v>67</v>
      </c>
      <c r="D103" s="11">
        <v>16.4</v>
      </c>
      <c r="E103" s="3">
        <v>77</v>
      </c>
      <c r="F103" s="38">
        <f>IF(AND(C103&gt;100,D103&lt;13,B103&gt;32.5),"High Performance",IF(AND(C103&lt;= 100,C103&gt;=60,D103&gt;=13,D103&lt;=19,B103&gt;=17,B103&lt;=32.5),"Mid Range","Economy"))</f>
      </c>
      <c r="G103" s="2"/>
      <c r="H103" s="2"/>
      <c r="I103" s="9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9"/>
      <c r="V103" s="2"/>
      <c r="W103" s="9"/>
      <c r="X103" s="9"/>
      <c r="Y103" s="9"/>
      <c r="Z103" s="9"/>
    </row>
    <row x14ac:dyDescent="0.25" r="104" customHeight="1" ht="18.75">
      <c r="A104" s="2" t="s">
        <v>123</v>
      </c>
      <c r="B104" s="11">
        <v>31.5</v>
      </c>
      <c r="C104" s="3">
        <v>68</v>
      </c>
      <c r="D104" s="11">
        <v>18.5</v>
      </c>
      <c r="E104" s="3">
        <v>77</v>
      </c>
      <c r="F104" s="38">
        <f>IF(AND(C104&gt;100,D104&lt;13,B104&gt;32.5),"High Performance",IF(AND(C104&lt;= 100,C104&gt;=60,D104&gt;=13,D104&lt;=19,B104&gt;=17,B104&lt;=32.5),"Mid Range","Economy"))</f>
      </c>
      <c r="G104" s="2"/>
      <c r="H104" s="2"/>
      <c r="I104" s="9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9"/>
      <c r="V104" s="2"/>
      <c r="W104" s="9"/>
      <c r="X104" s="9"/>
      <c r="Y104" s="9"/>
      <c r="Z104" s="9"/>
    </row>
    <row x14ac:dyDescent="0.25" r="105" customHeight="1" ht="18.75">
      <c r="A105" s="2" t="s">
        <v>124</v>
      </c>
      <c r="B105" s="3">
        <v>26</v>
      </c>
      <c r="C105" s="3">
        <v>75</v>
      </c>
      <c r="D105" s="11">
        <v>18.2</v>
      </c>
      <c r="E105" s="3">
        <v>77</v>
      </c>
      <c r="F105" s="38">
        <f>IF(AND(C105&gt;100,D105&lt;13,B105&gt;32.5),"High Performance",IF(AND(C105&lt;= 100,C105&gt;=60,D105&gt;=13,D105&lt;=19,B105&gt;=17,B105&lt;=32.5),"Mid Range","Economy"))</f>
      </c>
      <c r="G105" s="2"/>
      <c r="H105" s="2"/>
      <c r="I105" s="9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9"/>
      <c r="V105" s="2"/>
      <c r="W105" s="9"/>
      <c r="X105" s="9"/>
      <c r="Y105" s="9"/>
      <c r="Z105" s="9"/>
    </row>
    <row x14ac:dyDescent="0.25" r="106" customHeight="1" ht="18.75">
      <c r="A106" s="2" t="s">
        <v>125</v>
      </c>
      <c r="B106" s="3">
        <v>22</v>
      </c>
      <c r="C106" s="3">
        <v>97</v>
      </c>
      <c r="D106" s="11">
        <v>14.5</v>
      </c>
      <c r="E106" s="3">
        <v>77</v>
      </c>
      <c r="F106" s="38">
        <f>IF(AND(C106&gt;100,D106&lt;13,B106&gt;32.5),"High Performance",IF(AND(C106&lt;= 100,C106&gt;=60,D106&gt;=13,D106&lt;=19,B106&gt;=17,B106&lt;=32.5),"Mid Range","Economy"))</f>
      </c>
      <c r="G106" s="2"/>
      <c r="H106" s="2"/>
      <c r="I106" s="9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9"/>
      <c r="V106" s="2"/>
      <c r="W106" s="9"/>
      <c r="X106" s="9"/>
      <c r="Y106" s="9"/>
      <c r="Z106" s="9"/>
    </row>
    <row x14ac:dyDescent="0.25" r="107" customHeight="1" ht="18.75">
      <c r="A107" s="2" t="s">
        <v>126</v>
      </c>
      <c r="B107" s="11">
        <v>27.2</v>
      </c>
      <c r="C107" s="3">
        <v>97</v>
      </c>
      <c r="D107" s="11">
        <v>14.7</v>
      </c>
      <c r="E107" s="3">
        <v>78</v>
      </c>
      <c r="F107" s="38">
        <f>IF(AND(C107&gt;100,D107&lt;13,B107&gt;32.5),"High Performance",IF(AND(C107&lt;= 100,C107&gt;=60,D107&gt;=13,D107&lt;=19,B107&gt;=17,B107&lt;=32.5),"Mid Range","Economy"))</f>
      </c>
      <c r="G107" s="2"/>
      <c r="H107" s="2"/>
      <c r="I107" s="9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9"/>
      <c r="V107" s="2"/>
      <c r="W107" s="9"/>
      <c r="X107" s="9"/>
      <c r="Y107" s="9"/>
      <c r="Z107" s="9"/>
    </row>
    <row x14ac:dyDescent="0.25" r="108" customHeight="1" ht="18.75">
      <c r="A108" s="2" t="s">
        <v>127</v>
      </c>
      <c r="B108" s="11">
        <v>23.9</v>
      </c>
      <c r="C108" s="3">
        <v>97</v>
      </c>
      <c r="D108" s="11">
        <v>14.9</v>
      </c>
      <c r="E108" s="3">
        <v>78</v>
      </c>
      <c r="F108" s="38">
        <f>IF(AND(C108&gt;100,D108&lt;13,B108&gt;32.5),"High Performance",IF(AND(C108&lt;= 100,C108&gt;=60,D108&gt;=13,D108&lt;=19,B108&gt;=17,B108&lt;=32.5),"Mid Range","Economy"))</f>
      </c>
      <c r="G108" s="2"/>
      <c r="H108" s="2"/>
      <c r="I108" s="9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9"/>
      <c r="V108" s="2"/>
      <c r="W108" s="9"/>
      <c r="X108" s="9"/>
      <c r="Y108" s="9"/>
      <c r="Z108" s="9"/>
    </row>
    <row x14ac:dyDescent="0.25" r="109" customHeight="1" ht="18.75">
      <c r="A109" s="2" t="s">
        <v>128</v>
      </c>
      <c r="B109" s="11">
        <v>21.1</v>
      </c>
      <c r="C109" s="3">
        <v>95</v>
      </c>
      <c r="D109" s="11">
        <v>14.8</v>
      </c>
      <c r="E109" s="3">
        <v>78</v>
      </c>
      <c r="F109" s="38">
        <f>IF(AND(C109&gt;100,D109&lt;13,B109&gt;32.5),"High Performance",IF(AND(C109&lt;= 100,C109&gt;=60,D109&gt;=13,D109&lt;=19,B109&gt;=17,B109&lt;=32.5),"Mid Range","Economy"))</f>
      </c>
      <c r="G109" s="2"/>
      <c r="H109" s="2"/>
      <c r="I109" s="9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9"/>
      <c r="V109" s="2"/>
      <c r="W109" s="9"/>
      <c r="X109" s="9"/>
      <c r="Y109" s="9"/>
      <c r="Z109" s="9"/>
    </row>
    <row x14ac:dyDescent="0.25" r="110" customHeight="1" ht="18.75">
      <c r="A110" s="2" t="s">
        <v>102</v>
      </c>
      <c r="B110" s="11">
        <v>27.5</v>
      </c>
      <c r="C110" s="3">
        <v>95</v>
      </c>
      <c r="D110" s="11">
        <v>14.2</v>
      </c>
      <c r="E110" s="3">
        <v>78</v>
      </c>
      <c r="F110" s="38">
        <f>IF(AND(C110&gt;100,D110&lt;13,B110&gt;32.5),"High Performance",IF(AND(C110&lt;= 100,C110&gt;=60,D110&gt;=13,D110&lt;=19,B110&gt;=17,B110&lt;=32.5),"Mid Range","Economy"))</f>
      </c>
      <c r="G110" s="2"/>
      <c r="H110" s="2"/>
      <c r="I110" s="9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9"/>
      <c r="V110" s="2"/>
      <c r="W110" s="9"/>
      <c r="X110" s="9"/>
      <c r="Y110" s="9"/>
      <c r="Z110" s="9"/>
    </row>
    <row x14ac:dyDescent="0.25" r="111" customHeight="1" ht="18.75">
      <c r="A111" s="2" t="s">
        <v>129</v>
      </c>
      <c r="B111" s="11">
        <v>39.4</v>
      </c>
      <c r="C111" s="3">
        <v>70</v>
      </c>
      <c r="D111" s="11">
        <v>18.6</v>
      </c>
      <c r="E111" s="3">
        <v>78</v>
      </c>
      <c r="F111" s="38">
        <f>IF(AND(C111&gt;100,D111&lt;13,B111&gt;32.5),"High Performance",IF(AND(C111&lt;= 100,C111&gt;=60,D111&gt;=13,D111&lt;=19,B111&gt;=17,B111&lt;=32.5),"Mid Range","Economy"))</f>
      </c>
      <c r="G111" s="2"/>
      <c r="H111" s="2"/>
      <c r="I111" s="9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9"/>
      <c r="V111" s="2"/>
      <c r="W111" s="9"/>
      <c r="X111" s="9"/>
      <c r="Y111" s="9"/>
      <c r="Z111" s="9"/>
    </row>
    <row x14ac:dyDescent="0.25" r="112" customHeight="1" ht="18.75">
      <c r="A112" s="2" t="s">
        <v>118</v>
      </c>
      <c r="B112" s="11">
        <v>36.1</v>
      </c>
      <c r="C112" s="3">
        <v>60</v>
      </c>
      <c r="D112" s="11">
        <v>16.4</v>
      </c>
      <c r="E112" s="3">
        <v>78</v>
      </c>
      <c r="F112" s="38">
        <f>IF(AND(C112&gt;100,D112&lt;13,B112&gt;32.5),"High Performance",IF(AND(C112&lt;= 100,C112&gt;=60,D112&gt;=13,D112&lt;=19,B112&gt;=17,B112&lt;=32.5),"Mid Range","Economy"))</f>
      </c>
      <c r="G112" s="2"/>
      <c r="H112" s="2"/>
      <c r="I112" s="9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9"/>
      <c r="V112" s="2"/>
      <c r="W112" s="9"/>
      <c r="X112" s="9"/>
      <c r="Y112" s="9"/>
      <c r="Z112" s="9"/>
    </row>
    <row x14ac:dyDescent="0.25" r="113" customHeight="1" ht="18.75">
      <c r="A113" s="2" t="s">
        <v>130</v>
      </c>
      <c r="B113" s="11">
        <v>29.5</v>
      </c>
      <c r="C113" s="3">
        <v>68</v>
      </c>
      <c r="D113" s="11">
        <v>16.6</v>
      </c>
      <c r="E113" s="3">
        <v>78</v>
      </c>
      <c r="F113" s="38">
        <f>IF(AND(C113&gt;100,D113&lt;13,B113&gt;32.5),"High Performance",IF(AND(C113&lt;= 100,C113&gt;=60,D113&gt;=13,D113&lt;=19,B113&gt;=17,B113&lt;=32.5),"Mid Range","Economy"))</f>
      </c>
      <c r="G113" s="2"/>
      <c r="H113" s="2"/>
      <c r="I113" s="9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9"/>
      <c r="V113" s="2"/>
      <c r="W113" s="9"/>
      <c r="X113" s="9"/>
      <c r="Y113" s="9"/>
      <c r="Z113" s="9"/>
    </row>
    <row x14ac:dyDescent="0.25" r="114" customHeight="1" ht="18.75">
      <c r="A114" s="2" t="s">
        <v>131</v>
      </c>
      <c r="B114" s="11">
        <v>32.8</v>
      </c>
      <c r="C114" s="3">
        <v>52</v>
      </c>
      <c r="D114" s="11">
        <v>19.4</v>
      </c>
      <c r="E114" s="3">
        <v>78</v>
      </c>
      <c r="F114" s="38">
        <f>IF(AND(C114&gt;100,D114&lt;13,B114&gt;32.5),"High Performance",IF(AND(C114&lt;= 100,C114&gt;=60,D114&gt;=13,D114&lt;=19,B114&gt;=17,B114&lt;=32.5),"Mid Range","Economy"))</f>
      </c>
      <c r="G114" s="2"/>
      <c r="H114" s="2"/>
      <c r="I114" s="9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9"/>
      <c r="V114" s="2"/>
      <c r="W114" s="9"/>
      <c r="X114" s="9"/>
      <c r="Y114" s="9"/>
      <c r="Z114" s="9"/>
    </row>
    <row x14ac:dyDescent="0.25" r="115" customHeight="1" ht="18.75">
      <c r="A115" s="2" t="s">
        <v>132</v>
      </c>
      <c r="B115" s="11">
        <v>34.1</v>
      </c>
      <c r="C115" s="3">
        <v>65</v>
      </c>
      <c r="D115" s="11">
        <v>15.2</v>
      </c>
      <c r="E115" s="3">
        <v>79</v>
      </c>
      <c r="F115" s="38">
        <f>IF(AND(C115&gt;100,D115&lt;13,B115&gt;32.5),"High Performance",IF(AND(C115&lt;= 100,C115&gt;=60,D115&gt;=13,D115&lt;=19,B115&gt;=17,B115&lt;=32.5),"Mid Range","Economy"))</f>
      </c>
      <c r="G115" s="2"/>
      <c r="H115" s="2"/>
      <c r="I115" s="9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9"/>
      <c r="V115" s="2"/>
      <c r="W115" s="9"/>
      <c r="X115" s="9"/>
      <c r="Y115" s="9"/>
      <c r="Z115" s="9"/>
    </row>
    <row x14ac:dyDescent="0.25" r="116" customHeight="1" ht="18.75">
      <c r="A116" s="2" t="s">
        <v>133</v>
      </c>
      <c r="B116" s="11">
        <v>31.8</v>
      </c>
      <c r="C116" s="3">
        <v>65</v>
      </c>
      <c r="D116" s="11">
        <v>19.2</v>
      </c>
      <c r="E116" s="3">
        <v>79</v>
      </c>
      <c r="F116" s="38">
        <f>IF(AND(C116&gt;100,D116&lt;13,B116&gt;32.5),"High Performance",IF(AND(C116&lt;= 100,C116&gt;=60,D116&gt;=13,D116&lt;=19,B116&gt;=17,B116&lt;=32.5),"Mid Range","Economy"))</f>
      </c>
      <c r="G116" s="2"/>
      <c r="H116" s="2"/>
      <c r="I116" s="9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9"/>
      <c r="V116" s="2"/>
      <c r="W116" s="9"/>
      <c r="X116" s="9"/>
      <c r="Y116" s="9"/>
      <c r="Z116" s="9"/>
    </row>
    <row x14ac:dyDescent="0.25" r="117" customHeight="1" ht="18.75">
      <c r="A117" s="2" t="s">
        <v>134</v>
      </c>
      <c r="B117" s="11">
        <v>23.7</v>
      </c>
      <c r="C117" s="3">
        <v>100</v>
      </c>
      <c r="D117" s="11">
        <v>12.5</v>
      </c>
      <c r="E117" s="3">
        <v>80</v>
      </c>
      <c r="F117" s="38">
        <f>IF(AND(C117&gt;100,D117&lt;13,B117&gt;32.5),"High Performance",IF(AND(C117&lt;= 100,C117&gt;=60,D117&gt;=13,D117&lt;=19,B117&gt;=17,B117&lt;=32.5),"Mid Range","Economy"))</f>
      </c>
      <c r="G117" s="2"/>
      <c r="H117" s="2"/>
      <c r="I117" s="9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9"/>
      <c r="V117" s="2"/>
      <c r="W117" s="9"/>
      <c r="X117" s="9"/>
      <c r="Y117" s="9"/>
      <c r="Z117" s="9"/>
    </row>
    <row x14ac:dyDescent="0.25" r="118" customHeight="1" ht="18.75">
      <c r="A118" s="2" t="s">
        <v>135</v>
      </c>
      <c r="B118" s="3">
        <v>37</v>
      </c>
      <c r="C118" s="3">
        <v>92</v>
      </c>
      <c r="D118" s="3">
        <v>15</v>
      </c>
      <c r="E118" s="3">
        <v>80</v>
      </c>
      <c r="F118" s="38">
        <f>IF(AND(C118&gt;100,D118&lt;13,B118&gt;32.5),"High Performance",IF(AND(C118&lt;= 100,C118&gt;=60,D118&gt;=13,D118&lt;=19,B118&gt;=17,B118&lt;=32.5),"Mid Range","Economy"))</f>
      </c>
      <c r="G118" s="2"/>
      <c r="H118" s="2"/>
      <c r="I118" s="9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9"/>
      <c r="V118" s="2"/>
      <c r="W118" s="9"/>
      <c r="X118" s="9"/>
      <c r="Y118" s="9"/>
      <c r="Z118" s="9"/>
    </row>
    <row x14ac:dyDescent="0.25" r="119" customHeight="1" ht="18.75">
      <c r="A119" s="2" t="s">
        <v>136</v>
      </c>
      <c r="B119" s="11">
        <v>44.6</v>
      </c>
      <c r="C119" s="3">
        <v>67</v>
      </c>
      <c r="D119" s="11">
        <v>13.8</v>
      </c>
      <c r="E119" s="3">
        <v>80</v>
      </c>
      <c r="F119" s="38">
        <f>IF(AND(C119&gt;100,D119&lt;13,B119&gt;32.5),"High Performance",IF(AND(C119&lt;= 100,C119&gt;=60,D119&gt;=13,D119&lt;=19,B119&gt;=17,B119&lt;=32.5),"Mid Range","Economy"))</f>
      </c>
      <c r="G119" s="2"/>
      <c r="H119" s="2"/>
      <c r="I119" s="9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9"/>
      <c r="V119" s="2"/>
      <c r="W119" s="9"/>
      <c r="X119" s="9"/>
      <c r="Y119" s="9"/>
      <c r="Z119" s="9"/>
    </row>
    <row x14ac:dyDescent="0.25" r="120" customHeight="1" ht="18.75">
      <c r="A120" s="2" t="s">
        <v>137</v>
      </c>
      <c r="B120" s="11">
        <v>29.8</v>
      </c>
      <c r="C120" s="3">
        <v>90</v>
      </c>
      <c r="D120" s="11">
        <v>15.5</v>
      </c>
      <c r="E120" s="3">
        <v>80</v>
      </c>
      <c r="F120" s="38">
        <f>IF(AND(C120&gt;100,D120&lt;13,B120&gt;32.5),"High Performance",IF(AND(C120&lt;= 100,C120&gt;=60,D120&gt;=13,D120&lt;=19,B120&gt;=17,B120&lt;=32.5),"Mid Range","Economy"))</f>
      </c>
      <c r="G120" s="2"/>
      <c r="H120" s="2"/>
      <c r="I120" s="9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9"/>
      <c r="V120" s="2"/>
      <c r="W120" s="9"/>
      <c r="X120" s="9"/>
      <c r="Y120" s="9"/>
      <c r="Z120" s="9"/>
    </row>
    <row x14ac:dyDescent="0.25" r="121" customHeight="1" ht="18.75">
      <c r="A121" s="2" t="s">
        <v>117</v>
      </c>
      <c r="B121" s="11">
        <v>32.2</v>
      </c>
      <c r="C121" s="3">
        <v>75</v>
      </c>
      <c r="D121" s="11">
        <v>15.2</v>
      </c>
      <c r="E121" s="3">
        <v>80</v>
      </c>
      <c r="F121" s="38">
        <f>IF(AND(C121&gt;100,D121&lt;13,B121&gt;32.5),"High Performance",IF(AND(C121&lt;= 100,C121&gt;=60,D121&gt;=13,D121&lt;=19,B121&gt;=17,B121&lt;=32.5),"Mid Range","Economy"))</f>
      </c>
      <c r="G121" s="2"/>
      <c r="H121" s="2"/>
      <c r="I121" s="9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9"/>
      <c r="V121" s="2"/>
      <c r="W121" s="9"/>
      <c r="X121" s="9"/>
      <c r="Y121" s="9"/>
      <c r="Z121" s="9"/>
    </row>
    <row x14ac:dyDescent="0.25" r="122" customHeight="1" ht="18.75">
      <c r="A122" s="2" t="s">
        <v>138</v>
      </c>
      <c r="B122" s="11">
        <v>37.2</v>
      </c>
      <c r="C122" s="3">
        <v>65</v>
      </c>
      <c r="D122" s="11">
        <v>16.4</v>
      </c>
      <c r="E122" s="3">
        <v>80</v>
      </c>
      <c r="F122" s="38">
        <f>IF(AND(C122&gt;100,D122&lt;13,B122&gt;32.5),"High Performance",IF(AND(C122&lt;= 100,C122&gt;=60,D122&gt;=13,D122&lt;=19,B122&gt;=17,B122&lt;=32.5),"Mid Range","Economy"))</f>
      </c>
      <c r="G122" s="2"/>
      <c r="H122" s="2"/>
      <c r="I122" s="9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9"/>
      <c r="V122" s="2"/>
      <c r="W122" s="9"/>
      <c r="X122" s="9"/>
      <c r="Y122" s="9"/>
      <c r="Z122" s="9"/>
    </row>
    <row x14ac:dyDescent="0.25" r="123" customHeight="1" ht="18.75">
      <c r="A123" s="2" t="s">
        <v>139</v>
      </c>
      <c r="B123" s="11">
        <v>32.4</v>
      </c>
      <c r="C123" s="3">
        <v>72</v>
      </c>
      <c r="D123" s="3">
        <v>17</v>
      </c>
      <c r="E123" s="3">
        <v>80</v>
      </c>
      <c r="F123" s="38">
        <f>IF(AND(C123&gt;100,D123&lt;13,B123&gt;32.5),"High Performance",IF(AND(C123&lt;= 100,C123&gt;=60,D123&gt;=13,D123&lt;=19,B123&gt;=17,B123&lt;=32.5),"Mid Range","Economy"))</f>
      </c>
      <c r="G123" s="2"/>
      <c r="H123" s="2"/>
      <c r="I123" s="9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9"/>
      <c r="V123" s="2"/>
      <c r="W123" s="9"/>
      <c r="X123" s="9"/>
      <c r="Y123" s="9"/>
      <c r="Z123" s="9"/>
    </row>
    <row x14ac:dyDescent="0.25" r="124" customHeight="1" ht="18.75">
      <c r="A124" s="2" t="s">
        <v>122</v>
      </c>
      <c r="B124" s="11">
        <v>33.8</v>
      </c>
      <c r="C124" s="3">
        <v>67</v>
      </c>
      <c r="D124" s="3">
        <v>18</v>
      </c>
      <c r="E124" s="3">
        <v>80</v>
      </c>
      <c r="F124" s="38">
        <f>IF(AND(C124&gt;100,D124&lt;13,B124&gt;32.5),"High Performance",IF(AND(C124&lt;= 100,C124&gt;=60,D124&gt;=13,D124&lt;=19,B124&gt;=17,B124&lt;=32.5),"Mid Range","Economy"))</f>
      </c>
      <c r="G124" s="2"/>
      <c r="H124" s="2"/>
      <c r="I124" s="9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9"/>
      <c r="V124" s="2"/>
      <c r="W124" s="9"/>
      <c r="X124" s="9"/>
      <c r="Y124" s="9"/>
      <c r="Z124" s="9"/>
    </row>
    <row x14ac:dyDescent="0.25" r="125" customHeight="1" ht="18.75">
      <c r="A125" s="2" t="s">
        <v>133</v>
      </c>
      <c r="B125" s="11">
        <v>40.8</v>
      </c>
      <c r="C125" s="3">
        <v>65</v>
      </c>
      <c r="D125" s="11">
        <v>19.2</v>
      </c>
      <c r="E125" s="3">
        <v>80</v>
      </c>
      <c r="F125" s="38">
        <f>IF(AND(C125&gt;100,D125&lt;13,B125&gt;32.5),"High Performance",IF(AND(C125&lt;= 100,C125&gt;=60,D125&gt;=13,D125&lt;=19,B125&gt;=17,B125&lt;=32.5),"Mid Range","Economy"))</f>
      </c>
      <c r="G125" s="2"/>
      <c r="H125" s="2"/>
      <c r="I125" s="9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9"/>
      <c r="V125" s="2"/>
      <c r="W125" s="9"/>
      <c r="X125" s="9"/>
      <c r="Y125" s="9"/>
      <c r="Z125" s="9"/>
    </row>
    <row x14ac:dyDescent="0.25" r="126" customHeight="1" ht="18.75">
      <c r="A126" s="2" t="s">
        <v>140</v>
      </c>
      <c r="B126" s="11">
        <v>46.6</v>
      </c>
      <c r="C126" s="3">
        <v>65</v>
      </c>
      <c r="D126" s="11">
        <v>17.9</v>
      </c>
      <c r="E126" s="3">
        <v>80</v>
      </c>
      <c r="F126" s="38">
        <f>IF(AND(C126&gt;100,D126&lt;13,B126&gt;32.5),"High Performance",IF(AND(C126&lt;= 100,C126&gt;=60,D126&gt;=13,D126&lt;=19,B126&gt;=17,B126&lt;=32.5),"Mid Range","Economy"))</f>
      </c>
      <c r="G126" s="2"/>
      <c r="H126" s="2"/>
      <c r="I126" s="9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9"/>
      <c r="V126" s="2"/>
      <c r="W126" s="9"/>
      <c r="X126" s="9"/>
      <c r="Y126" s="9"/>
      <c r="Z126" s="9"/>
    </row>
    <row x14ac:dyDescent="0.25" r="127" customHeight="1" ht="18.75">
      <c r="A127" s="2" t="s">
        <v>141</v>
      </c>
      <c r="B127" s="11">
        <v>38.1</v>
      </c>
      <c r="C127" s="3">
        <v>60</v>
      </c>
      <c r="D127" s="11">
        <v>18.8</v>
      </c>
      <c r="E127" s="3">
        <v>80</v>
      </c>
      <c r="F127" s="38">
        <f>IF(AND(C127&gt;100,D127&lt;13,B127&gt;32.5),"High Performance",IF(AND(C127&lt;= 100,C127&gt;=60,D127&gt;=13,D127&lt;=19,B127&gt;=17,B127&lt;=32.5),"Mid Range","Economy"))</f>
      </c>
      <c r="G127" s="2"/>
      <c r="H127" s="2"/>
      <c r="I127" s="9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9"/>
      <c r="V127" s="2"/>
      <c r="W127" s="9"/>
      <c r="X127" s="9"/>
      <c r="Y127" s="9"/>
      <c r="Z127" s="9"/>
    </row>
    <row x14ac:dyDescent="0.25" r="128" customHeight="1" ht="18.75">
      <c r="A128" s="2" t="s">
        <v>142</v>
      </c>
      <c r="B128" s="11">
        <v>31.3</v>
      </c>
      <c r="C128" s="3">
        <v>75</v>
      </c>
      <c r="D128" s="11">
        <v>17.5</v>
      </c>
      <c r="E128" s="3">
        <v>80</v>
      </c>
      <c r="F128" s="38">
        <f>IF(AND(C128&gt;100,D128&lt;13,B128&gt;32.5),"High Performance",IF(AND(C128&lt;= 100,C128&gt;=60,D128&gt;=13,D128&lt;=19,B128&gt;=17,B128&lt;=32.5),"Mid Range","Economy"))</f>
      </c>
      <c r="G128" s="2"/>
      <c r="H128" s="2"/>
      <c r="I128" s="9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9"/>
      <c r="V128" s="2"/>
      <c r="W128" s="9"/>
      <c r="X128" s="9"/>
      <c r="Y128" s="9"/>
      <c r="Z128" s="9"/>
    </row>
    <row x14ac:dyDescent="0.25" r="129" customHeight="1" ht="18.75">
      <c r="A129" s="2" t="s">
        <v>143</v>
      </c>
      <c r="B129" s="11">
        <v>32.7</v>
      </c>
      <c r="C129" s="3">
        <v>132</v>
      </c>
      <c r="D129" s="11">
        <v>11.4</v>
      </c>
      <c r="E129" s="3">
        <v>80</v>
      </c>
      <c r="F129" s="38">
        <f>IF(AND(C129&gt;100,D129&lt;13,B129&gt;32.5),"High Performance",IF(AND(C129&lt;= 100,C129&gt;=60,D129&gt;=13,D129&lt;=19,B129&gt;=17,B129&lt;=32.5),"Mid Range","Economy"))</f>
      </c>
      <c r="G129" s="2"/>
      <c r="H129" s="2"/>
      <c r="I129" s="9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9"/>
      <c r="V129" s="2"/>
      <c r="W129" s="9"/>
      <c r="X129" s="9"/>
      <c r="Y129" s="9"/>
      <c r="Z129" s="9"/>
    </row>
    <row x14ac:dyDescent="0.25" r="130" customHeight="1" ht="18.75">
      <c r="A130" s="2" t="s">
        <v>144</v>
      </c>
      <c r="B130" s="11">
        <v>32.9</v>
      </c>
      <c r="C130" s="3">
        <v>100</v>
      </c>
      <c r="D130" s="11">
        <v>14.8</v>
      </c>
      <c r="E130" s="3">
        <v>81</v>
      </c>
      <c r="F130" s="38">
        <f>IF(AND(C130&gt;100,D130&lt;13,B130&gt;32.5),"High Performance",IF(AND(C130&lt;= 100,C130&gt;=60,D130&gt;=13,D130&lt;=19,B130&gt;=17,B130&lt;=32.5),"Mid Range","Economy"))</f>
      </c>
      <c r="G130" s="2"/>
      <c r="H130" s="2"/>
      <c r="I130" s="9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9"/>
      <c r="V130" s="2"/>
      <c r="W130" s="9"/>
      <c r="X130" s="9"/>
      <c r="Y130" s="9"/>
      <c r="Z130" s="9"/>
    </row>
    <row x14ac:dyDescent="0.25" r="131" customHeight="1" ht="18.75">
      <c r="A131" s="2" t="s">
        <v>145</v>
      </c>
      <c r="B131" s="11">
        <v>34.1</v>
      </c>
      <c r="C131" s="3">
        <v>68</v>
      </c>
      <c r="D131" s="3">
        <v>16</v>
      </c>
      <c r="E131" s="3">
        <v>81</v>
      </c>
      <c r="F131" s="38">
        <f>IF(AND(C131&gt;100,D131&lt;13,B131&gt;32.5),"High Performance",IF(AND(C131&lt;= 100,C131&gt;=60,D131&gt;=13,D131&lt;=19,B131&gt;=17,B131&lt;=32.5),"Mid Range","Economy"))</f>
      </c>
      <c r="G131" s="2"/>
      <c r="H131" s="2"/>
      <c r="I131" s="9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9"/>
      <c r="V131" s="2"/>
      <c r="W131" s="9"/>
      <c r="X131" s="9"/>
      <c r="Y131" s="9"/>
      <c r="Z131" s="9"/>
    </row>
    <row x14ac:dyDescent="0.25" r="132" customHeight="1" ht="18.75">
      <c r="A132" s="2" t="s">
        <v>146</v>
      </c>
      <c r="B132" s="11">
        <v>35.1</v>
      </c>
      <c r="C132" s="3">
        <v>60</v>
      </c>
      <c r="D132" s="11">
        <v>16.1</v>
      </c>
      <c r="E132" s="3">
        <v>81</v>
      </c>
      <c r="F132" s="38">
        <f>IF(AND(C132&gt;100,D132&lt;13,B132&gt;32.5),"High Performance",IF(AND(C132&lt;= 100,C132&gt;=60,D132&gt;=13,D132&lt;=19,B132&gt;=17,B132&lt;=32.5),"Mid Range","Economy"))</f>
      </c>
      <c r="G132" s="2"/>
      <c r="H132" s="2"/>
      <c r="I132" s="9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9"/>
      <c r="V132" s="2"/>
      <c r="W132" s="9"/>
      <c r="X132" s="9"/>
      <c r="Y132" s="9"/>
      <c r="Z132" s="9"/>
    </row>
    <row x14ac:dyDescent="0.25" r="133" customHeight="1" ht="18.75">
      <c r="A133" s="2" t="s">
        <v>147</v>
      </c>
      <c r="B133" s="11">
        <v>33.7</v>
      </c>
      <c r="C133" s="3">
        <v>75</v>
      </c>
      <c r="D133" s="11">
        <v>14.4</v>
      </c>
      <c r="E133" s="3">
        <v>81</v>
      </c>
      <c r="F133" s="38">
        <f>IF(AND(C133&gt;100,D133&lt;13,B133&gt;32.5),"High Performance",IF(AND(C133&lt;= 100,C133&gt;=60,D133&gt;=13,D133&lt;=19,B133&gt;=17,B133&lt;=32.5),"Mid Range","Economy"))</f>
      </c>
      <c r="G133" s="2"/>
      <c r="H133" s="2"/>
      <c r="I133" s="9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9"/>
      <c r="V133" s="2"/>
      <c r="W133" s="9"/>
      <c r="X133" s="9"/>
      <c r="Y133" s="9"/>
      <c r="Z133" s="9"/>
    </row>
    <row x14ac:dyDescent="0.25" r="134" customHeight="1" ht="18.75">
      <c r="A134" s="2" t="s">
        <v>148</v>
      </c>
      <c r="B134" s="11">
        <v>39.1</v>
      </c>
      <c r="C134" s="3">
        <v>58</v>
      </c>
      <c r="D134" s="11">
        <v>16.9</v>
      </c>
      <c r="E134" s="3">
        <v>81</v>
      </c>
      <c r="F134" s="38">
        <f>IF(AND(C134&gt;100,D134&lt;13,B134&gt;32.5),"High Performance",IF(AND(C134&lt;= 100,C134&gt;=60,D134&gt;=13,D134&lt;=19,B134&gt;=17,B134&lt;=32.5),"Mid Range","Economy"))</f>
      </c>
      <c r="G134" s="2"/>
      <c r="H134" s="2"/>
      <c r="I134" s="9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9"/>
      <c r="V134" s="2"/>
      <c r="W134" s="9"/>
      <c r="X134" s="9"/>
      <c r="Y134" s="9"/>
      <c r="Z134" s="9"/>
    </row>
    <row x14ac:dyDescent="0.25" r="135" customHeight="1" ht="18.75">
      <c r="A135" s="2" t="s">
        <v>149</v>
      </c>
      <c r="B135" s="3">
        <v>37</v>
      </c>
      <c r="C135" s="3">
        <v>65</v>
      </c>
      <c r="D135" s="11">
        <v>19.4</v>
      </c>
      <c r="E135" s="3">
        <v>81</v>
      </c>
      <c r="F135" s="38">
        <f>IF(AND(C135&gt;100,D135&lt;13,B135&gt;32.5),"High Performance",IF(AND(C135&lt;= 100,C135&gt;=60,D135&gt;=13,D135&lt;=19,B135&gt;=17,B135&lt;=32.5),"Mid Range","Economy"))</f>
      </c>
      <c r="G135" s="2"/>
      <c r="H135" s="2"/>
      <c r="I135" s="9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9"/>
      <c r="V135" s="2"/>
      <c r="W135" s="9"/>
      <c r="X135" s="9"/>
      <c r="Y135" s="9"/>
      <c r="Z135" s="9"/>
    </row>
    <row x14ac:dyDescent="0.25" r="136" customHeight="1" ht="18.75">
      <c r="A136" s="2" t="s">
        <v>114</v>
      </c>
      <c r="B136" s="11">
        <v>32.3</v>
      </c>
      <c r="C136" s="3">
        <v>67</v>
      </c>
      <c r="D136" s="11">
        <v>17.8</v>
      </c>
      <c r="E136" s="3">
        <v>81</v>
      </c>
      <c r="F136" s="38">
        <f>IF(AND(C136&gt;100,D136&lt;13,B136&gt;32.5),"High Performance",IF(AND(C136&lt;= 100,C136&gt;=60,D136&gt;=13,D136&lt;=19,B136&gt;=17,B136&lt;=32.5),"Mid Range","Economy"))</f>
      </c>
      <c r="G136" s="2"/>
      <c r="H136" s="2"/>
      <c r="I136" s="9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9"/>
      <c r="V136" s="2"/>
      <c r="W136" s="9"/>
      <c r="X136" s="9"/>
      <c r="Y136" s="9"/>
      <c r="Z136" s="9"/>
    </row>
    <row x14ac:dyDescent="0.25" r="137" customHeight="1" ht="18.75">
      <c r="A137" s="2" t="s">
        <v>117</v>
      </c>
      <c r="B137" s="11">
        <v>32.4</v>
      </c>
      <c r="C137" s="3">
        <v>75</v>
      </c>
      <c r="D137" s="11">
        <v>16.8</v>
      </c>
      <c r="E137" s="3">
        <v>81</v>
      </c>
      <c r="F137" s="38">
        <f>IF(AND(C137&gt;100,D137&lt;13,B137&gt;32.5),"High Performance",IF(AND(C137&lt;= 100,C137&gt;=60,D137&gt;=13,D137&lt;=19,B137&gt;=17,B137&lt;=32.5),"Mid Range","Economy"))</f>
      </c>
      <c r="G137" s="2"/>
      <c r="H137" s="2"/>
      <c r="I137" s="9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9"/>
      <c r="V137" s="2"/>
      <c r="W137" s="9"/>
      <c r="X137" s="9"/>
      <c r="Y137" s="9"/>
      <c r="Z137" s="9"/>
    </row>
    <row x14ac:dyDescent="0.25" r="138" customHeight="1" ht="18.75">
      <c r="A138" s="2" t="s">
        <v>150</v>
      </c>
      <c r="B138" s="11">
        <v>37.7</v>
      </c>
      <c r="C138" s="3">
        <v>62</v>
      </c>
      <c r="D138" s="11">
        <v>17.3</v>
      </c>
      <c r="E138" s="3">
        <v>81</v>
      </c>
      <c r="F138" s="38">
        <f>IF(AND(C138&gt;100,D138&lt;13,B138&gt;32.5),"High Performance",IF(AND(C138&lt;= 100,C138&gt;=60,D138&gt;=13,D138&lt;=19,B138&gt;=17,B138&lt;=32.5),"Mid Range","Economy"))</f>
      </c>
      <c r="G138" s="2"/>
      <c r="H138" s="2"/>
      <c r="I138" s="9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9"/>
      <c r="V138" s="2"/>
      <c r="W138" s="9"/>
      <c r="X138" s="9"/>
      <c r="Y138" s="9"/>
      <c r="Z138" s="9"/>
    </row>
    <row x14ac:dyDescent="0.25" r="139" customHeight="1" ht="18.75">
      <c r="A139" s="2" t="s">
        <v>142</v>
      </c>
      <c r="B139" s="11">
        <v>31.6</v>
      </c>
      <c r="C139" s="3">
        <v>74</v>
      </c>
      <c r="D139" s="11">
        <v>18.3</v>
      </c>
      <c r="E139" s="3">
        <v>81</v>
      </c>
      <c r="F139" s="38">
        <f>IF(AND(C139&gt;100,D139&lt;13,B139&gt;32.5),"High Performance",IF(AND(C139&lt;= 100,C139&gt;=60,D139&gt;=13,D139&lt;=19,B139&gt;=17,B139&lt;=32.5),"Mid Range","Economy"))</f>
      </c>
      <c r="G139" s="2"/>
      <c r="H139" s="2"/>
      <c r="I139" s="9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9"/>
      <c r="V139" s="2"/>
      <c r="W139" s="9"/>
      <c r="X139" s="9"/>
      <c r="Y139" s="9"/>
      <c r="Z139" s="9"/>
    </row>
    <row x14ac:dyDescent="0.25" r="140" customHeight="1" ht="18.75">
      <c r="A140" s="2" t="s">
        <v>151</v>
      </c>
      <c r="B140" s="11">
        <v>24.2</v>
      </c>
      <c r="C140" s="3">
        <v>120</v>
      </c>
      <c r="D140" s="11">
        <v>13.8</v>
      </c>
      <c r="E140" s="3">
        <v>81</v>
      </c>
      <c r="F140" s="38">
        <f>IF(AND(C140&gt;100,D140&lt;13,B140&gt;32.5),"High Performance",IF(AND(C140&lt;= 100,C140&gt;=60,D140&gt;=13,D140&lt;=19,B140&gt;=17,B140&lt;=32.5),"Mid Range","Economy"))</f>
      </c>
      <c r="G140" s="2"/>
      <c r="H140" s="2"/>
      <c r="I140" s="9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9"/>
      <c r="V140" s="2"/>
      <c r="W140" s="9"/>
      <c r="X140" s="9"/>
      <c r="Y140" s="9"/>
      <c r="Z140" s="9"/>
    </row>
    <row x14ac:dyDescent="0.25" r="141" customHeight="1" ht="18.75">
      <c r="A141" s="2" t="s">
        <v>152</v>
      </c>
      <c r="B141" s="11">
        <v>25.4</v>
      </c>
      <c r="C141" s="3">
        <v>116</v>
      </c>
      <c r="D141" s="11">
        <v>12.6</v>
      </c>
      <c r="E141" s="3">
        <v>81</v>
      </c>
      <c r="F141" s="38">
        <f>IF(AND(C141&gt;100,D141&lt;13,B141&gt;32.5),"High Performance",IF(AND(C141&lt;= 100,C141&gt;=60,D141&gt;=13,D141&lt;=19,B141&gt;=17,B141&lt;=32.5),"Mid Range","Economy"))</f>
      </c>
      <c r="G141" s="2"/>
      <c r="H141" s="2"/>
      <c r="I141" s="9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9"/>
      <c r="V141" s="2"/>
      <c r="W141" s="9"/>
      <c r="X141" s="9"/>
      <c r="Y141" s="9"/>
      <c r="Z141" s="9"/>
    </row>
    <row x14ac:dyDescent="0.25" r="142" customHeight="1" ht="18.75">
      <c r="A142" s="2" t="s">
        <v>153</v>
      </c>
      <c r="B142" s="3">
        <v>36</v>
      </c>
      <c r="C142" s="3">
        <v>88</v>
      </c>
      <c r="D142" s="11">
        <v>14.5</v>
      </c>
      <c r="E142" s="3">
        <v>82</v>
      </c>
      <c r="F142" s="38">
        <f>IF(AND(C142&gt;100,D142&lt;13,B142&gt;32.5),"High Performance",IF(AND(C142&lt;= 100,C142&gt;=60,D142&gt;=13,D142&lt;=19,B142&gt;=17,B142&lt;=32.5),"Mid Range","Economy"))</f>
      </c>
      <c r="G142" s="2"/>
      <c r="H142" s="2"/>
      <c r="I142" s="9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9"/>
      <c r="V142" s="2"/>
      <c r="W142" s="9"/>
      <c r="X142" s="9"/>
      <c r="Y142" s="9"/>
      <c r="Z142" s="9"/>
    </row>
    <row x14ac:dyDescent="0.25" r="143" customHeight="1" ht="18.75">
      <c r="A143" s="2" t="s">
        <v>154</v>
      </c>
      <c r="B143" s="3">
        <v>32</v>
      </c>
      <c r="C143" s="3">
        <v>96</v>
      </c>
      <c r="D143" s="11">
        <v>13.9</v>
      </c>
      <c r="E143" s="3">
        <v>82</v>
      </c>
      <c r="F143" s="38">
        <f>IF(AND(C143&gt;100,D143&lt;13,B143&gt;32.5),"High Performance",IF(AND(C143&lt;= 100,C143&gt;=60,D143&gt;=13,D143&lt;=19,B143&gt;=17,B143&lt;=32.5),"Mid Range","Economy"))</f>
      </c>
      <c r="G143" s="2"/>
      <c r="H143" s="2"/>
      <c r="I143" s="9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9"/>
      <c r="V143" s="2"/>
      <c r="W143" s="9"/>
      <c r="X143" s="9"/>
      <c r="Y143" s="9"/>
      <c r="Z143" s="9"/>
    </row>
    <row x14ac:dyDescent="0.25" r="144" customHeight="1" ht="18.75">
      <c r="A144" s="2" t="s">
        <v>155</v>
      </c>
      <c r="B144" s="3">
        <v>31</v>
      </c>
      <c r="C144" s="3">
        <v>68</v>
      </c>
      <c r="D144" s="11">
        <v>17.6</v>
      </c>
      <c r="E144" s="3">
        <v>82</v>
      </c>
      <c r="F144" s="38">
        <f>IF(AND(C144&gt;100,D144&lt;13,B144&gt;32.5),"High Performance",IF(AND(C144&lt;= 100,C144&gt;=60,D144&gt;=13,D144&lt;=19,B144&gt;=17,B144&lt;=32.5),"Mid Range","Economy"))</f>
      </c>
      <c r="G144" s="2"/>
      <c r="H144" s="2"/>
      <c r="I144" s="9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9"/>
      <c r="V144" s="2"/>
      <c r="W144" s="9"/>
      <c r="X144" s="9"/>
      <c r="Y144" s="9"/>
      <c r="Z144" s="9"/>
    </row>
    <row x14ac:dyDescent="0.25" r="145" customHeight="1" ht="18.75">
      <c r="A145" s="2" t="s">
        <v>113</v>
      </c>
      <c r="B145" s="3">
        <v>38</v>
      </c>
      <c r="C145" s="3">
        <v>67</v>
      </c>
      <c r="D145" s="3">
        <v>15</v>
      </c>
      <c r="E145" s="3">
        <v>82</v>
      </c>
      <c r="F145" s="38">
        <f>IF(AND(C145&gt;100,D145&lt;13,B145&gt;32.5),"High Performance",IF(AND(C145&lt;= 100,C145&gt;=60,D145&gt;=13,D145&lt;=19,B145&gt;=17,B145&lt;=32.5),"Mid Range","Economy"))</f>
      </c>
      <c r="G145" s="2"/>
      <c r="H145" s="2"/>
      <c r="I145" s="9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9"/>
      <c r="V145" s="2"/>
      <c r="W145" s="9"/>
      <c r="X145" s="9"/>
      <c r="Y145" s="9"/>
      <c r="Z145" s="9"/>
    </row>
    <row x14ac:dyDescent="0.25" r="146" customHeight="1" ht="18.75">
      <c r="A146" s="2" t="s">
        <v>156</v>
      </c>
      <c r="B146" s="3">
        <v>32</v>
      </c>
      <c r="C146" s="3">
        <v>67</v>
      </c>
      <c r="D146" s="11">
        <v>15.7</v>
      </c>
      <c r="E146" s="3">
        <v>82</v>
      </c>
      <c r="F146" s="38">
        <f>IF(AND(C146&gt;100,D146&lt;13,B146&gt;32.5),"High Performance",IF(AND(C146&lt;= 100,C146&gt;=60,D146&gt;=13,D146&lt;=19,B146&gt;=17,B146&lt;=32.5),"Mid Range","Economy"))</f>
      </c>
      <c r="G146" s="2"/>
      <c r="H146" s="2"/>
      <c r="I146" s="9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9"/>
      <c r="V146" s="2"/>
      <c r="W146" s="9"/>
      <c r="X146" s="9"/>
      <c r="Y146" s="9"/>
      <c r="Z146" s="9"/>
    </row>
    <row x14ac:dyDescent="0.25" r="147" customHeight="1" ht="18.75">
      <c r="A147" s="2" t="s">
        <v>139</v>
      </c>
      <c r="B147" s="3">
        <v>36</v>
      </c>
      <c r="C147" s="3">
        <v>75</v>
      </c>
      <c r="D147" s="11">
        <v>14.5</v>
      </c>
      <c r="E147" s="3">
        <v>82</v>
      </c>
      <c r="F147" s="38">
        <f>IF(AND(C147&gt;100,D147&lt;13,B147&gt;32.5),"High Performance",IF(AND(C147&lt;= 100,C147&gt;=60,D147&gt;=13,D147&lt;=19,B147&gt;=17,B147&lt;=32.5),"Mid Range","Economy"))</f>
      </c>
      <c r="G147" s="2"/>
      <c r="H147" s="2"/>
      <c r="I147" s="9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9"/>
      <c r="V147" s="2"/>
      <c r="W147" s="9"/>
      <c r="X147" s="9"/>
      <c r="Y147" s="9"/>
      <c r="Z147" s="9"/>
    </row>
    <row x14ac:dyDescent="0.25" r="148" customHeight="1" ht="18.75">
      <c r="A148" s="2" t="s">
        <v>157</v>
      </c>
      <c r="B148" s="3">
        <v>38</v>
      </c>
      <c r="C148" s="3">
        <v>67</v>
      </c>
      <c r="D148" s="11">
        <v>16.2</v>
      </c>
      <c r="E148" s="3">
        <v>82</v>
      </c>
      <c r="F148" s="38">
        <f>IF(AND(C148&gt;100,D148&lt;13,B148&gt;32.5),"High Performance",IF(AND(C148&lt;= 100,C148&gt;=60,D148&gt;=13,D148&lt;=19,B148&gt;=17,B148&lt;=32.5),"Mid Range","Economy"))</f>
      </c>
      <c r="G148" s="2"/>
      <c r="H148" s="2"/>
      <c r="I148" s="9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9"/>
      <c r="V148" s="2"/>
      <c r="W148" s="9"/>
      <c r="X148" s="9"/>
      <c r="Y148" s="9"/>
      <c r="Z148" s="9"/>
    </row>
    <row x14ac:dyDescent="0.25" r="149" customHeight="1" ht="18.75">
      <c r="A149" s="2" t="s">
        <v>158</v>
      </c>
      <c r="B149" s="3">
        <v>37</v>
      </c>
      <c r="C149" s="3">
        <v>68</v>
      </c>
      <c r="D149" s="11">
        <v>18.2</v>
      </c>
      <c r="E149" s="3">
        <v>82</v>
      </c>
      <c r="F149" s="38">
        <f>IF(AND(C149&gt;100,D149&lt;13,B149&gt;32.5),"High Performance",IF(AND(C149&lt;= 100,C149&gt;=60,D149&gt;=13,D149&lt;=19,B149&gt;=17,B149&lt;=32.5),"Mid Range","Economy"))</f>
      </c>
      <c r="G149" s="2"/>
      <c r="H149" s="2"/>
      <c r="I149" s="9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9"/>
      <c r="V149" s="2"/>
      <c r="W149" s="9"/>
      <c r="X149" s="9"/>
      <c r="Y149" s="9"/>
      <c r="Z149" s="9"/>
    </row>
    <row x14ac:dyDescent="0.25" r="150" customHeight="1" ht="18.75">
      <c r="A150" s="2" t="s">
        <v>117</v>
      </c>
      <c r="B150" s="3">
        <v>34</v>
      </c>
      <c r="C150" s="3">
        <v>70</v>
      </c>
      <c r="D150" s="11">
        <v>16.9</v>
      </c>
      <c r="E150" s="3">
        <v>82</v>
      </c>
      <c r="F150" s="38">
        <f>IF(AND(C150&gt;100,D150&lt;13,B150&gt;32.5),"High Performance",IF(AND(C150&lt;= 100,C150&gt;=60,D150&gt;=13,D150&lt;=19,B150&gt;=17,B150&lt;=32.5),"Mid Range","Economy"))</f>
      </c>
      <c r="G150" s="2"/>
      <c r="H150" s="2"/>
      <c r="I150" s="9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9"/>
      <c r="V150" s="2"/>
      <c r="W150" s="9"/>
      <c r="X150" s="9"/>
      <c r="Y150" s="9"/>
      <c r="Z150" s="9"/>
    </row>
    <row x14ac:dyDescent="0.25" r="151" customHeight="1" ht="18.75">
      <c r="A151" s="2" t="s">
        <v>159</v>
      </c>
      <c r="B151" s="3">
        <v>18</v>
      </c>
      <c r="C151" s="3">
        <v>97</v>
      </c>
      <c r="D151" s="11">
        <v>15.5</v>
      </c>
      <c r="E151" s="3">
        <v>70</v>
      </c>
      <c r="F151" s="38">
        <f>IF(AND(C151&gt;100,D151&lt;13,B151&gt;32.5),"High Performance",IF(AND(C151&lt;= 100,C151&gt;=60,D151&gt;=13,D151&lt;=19,B151&gt;=17,B151&lt;=32.5),"Mid Range","Economy"))</f>
      </c>
      <c r="G151" s="2"/>
      <c r="H151" s="2"/>
      <c r="I151" s="9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9"/>
      <c r="V151" s="2"/>
      <c r="W151" s="9"/>
      <c r="X151" s="9"/>
      <c r="Y151" s="9"/>
      <c r="Z151" s="9"/>
    </row>
    <row x14ac:dyDescent="0.25" r="152" customHeight="1" ht="18.75">
      <c r="A152" s="2" t="s">
        <v>160</v>
      </c>
      <c r="B152" s="3">
        <v>21</v>
      </c>
      <c r="C152" s="3">
        <v>90</v>
      </c>
      <c r="D152" s="3">
        <v>15</v>
      </c>
      <c r="E152" s="3">
        <v>70</v>
      </c>
      <c r="F152" s="38">
        <f>IF(AND(C152&gt;100,D152&lt;13,B152&gt;32.5),"High Performance",IF(AND(C152&lt;= 100,C152&gt;=60,D152&gt;=13,D152&lt;=19,B152&gt;=17,B152&lt;=32.5),"Mid Range","Economy"))</f>
      </c>
      <c r="G152" s="2"/>
      <c r="H152" s="2"/>
      <c r="I152" s="9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9"/>
      <c r="V152" s="2"/>
      <c r="W152" s="9"/>
      <c r="X152" s="9"/>
      <c r="Y152" s="9"/>
      <c r="Z152" s="9"/>
    </row>
    <row x14ac:dyDescent="0.25" r="153" customHeight="1" ht="18.75">
      <c r="A153" s="2" t="s">
        <v>161</v>
      </c>
      <c r="B153" s="3">
        <v>22</v>
      </c>
      <c r="C153" s="3">
        <v>95</v>
      </c>
      <c r="D153" s="11">
        <v>15.5</v>
      </c>
      <c r="E153" s="3">
        <v>70</v>
      </c>
      <c r="F153" s="38">
        <f>IF(AND(C153&gt;100,D153&lt;13,B153&gt;32.5),"High Performance",IF(AND(C153&lt;= 100,C153&gt;=60,D153&gt;=13,D153&lt;=19,B153&gt;=17,B153&lt;=32.5),"Mid Range","Economy"))</f>
      </c>
      <c r="G153" s="2"/>
      <c r="H153" s="2"/>
      <c r="I153" s="9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9"/>
      <c r="V153" s="2"/>
      <c r="W153" s="9"/>
      <c r="X153" s="9"/>
      <c r="Y153" s="9"/>
      <c r="Z153" s="9"/>
    </row>
    <row x14ac:dyDescent="0.25" r="154" customHeight="1" ht="18.75">
      <c r="A154" s="2" t="s">
        <v>162</v>
      </c>
      <c r="B154" s="3">
        <v>21</v>
      </c>
      <c r="C154" s="3">
        <v>85</v>
      </c>
      <c r="D154" s="3">
        <v>16</v>
      </c>
      <c r="E154" s="3">
        <v>70</v>
      </c>
      <c r="F154" s="38">
        <f>IF(AND(C154&gt;100,D154&lt;13,B154&gt;32.5),"High Performance",IF(AND(C154&lt;= 100,C154&gt;=60,D154&gt;=13,D154&lt;=19,B154&gt;=17,B154&lt;=32.5),"Mid Range","Economy"))</f>
      </c>
      <c r="G154" s="2"/>
      <c r="H154" s="2"/>
      <c r="I154" s="9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9"/>
      <c r="V154" s="2"/>
      <c r="W154" s="9"/>
      <c r="X154" s="9"/>
      <c r="Y154" s="9"/>
      <c r="Z154" s="9"/>
    </row>
    <row x14ac:dyDescent="0.25" r="155" customHeight="1" ht="18.75">
      <c r="A155" s="2" t="s">
        <v>163</v>
      </c>
      <c r="B155" s="3">
        <v>14</v>
      </c>
      <c r="C155" s="3">
        <v>225</v>
      </c>
      <c r="D155" s="3">
        <v>10</v>
      </c>
      <c r="E155" s="3">
        <v>70</v>
      </c>
      <c r="F155" s="38">
        <f>IF(AND(C155&gt;100,D155&lt;13,B155&gt;32.5),"High Performance",IF(AND(C155&lt;= 100,C155&gt;=60,D155&gt;=13,D155&lt;=19,B155&gt;=17,B155&lt;=32.5),"Mid Range","Economy"))</f>
      </c>
      <c r="G155" s="2"/>
      <c r="H155" s="2"/>
      <c r="I155" s="9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9"/>
      <c r="V155" s="2"/>
      <c r="W155" s="9"/>
      <c r="X155" s="9"/>
      <c r="Y155" s="9"/>
      <c r="Z155" s="9"/>
    </row>
    <row x14ac:dyDescent="0.25" r="156" customHeight="1" ht="18.75">
      <c r="A156" s="2" t="s">
        <v>164</v>
      </c>
      <c r="B156" s="3">
        <v>14</v>
      </c>
      <c r="C156" s="3">
        <v>225</v>
      </c>
      <c r="D156" s="3">
        <v>10</v>
      </c>
      <c r="E156" s="3">
        <v>70</v>
      </c>
      <c r="F156" s="38">
        <f>IF(AND(C156&gt;100,D156&lt;13,B156&gt;32.5),"High Performance",IF(AND(C156&lt;= 100,C156&gt;=60,D156&gt;=13,D156&lt;=19,B156&gt;=17,B156&lt;=32.5),"Mid Range","Economy"))</f>
      </c>
      <c r="G156" s="2"/>
      <c r="H156" s="2"/>
      <c r="I156" s="9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9"/>
      <c r="V156" s="2"/>
      <c r="W156" s="9"/>
      <c r="X156" s="9"/>
      <c r="Y156" s="9"/>
      <c r="Z156" s="9"/>
    </row>
    <row x14ac:dyDescent="0.25" r="157" customHeight="1" ht="18.75">
      <c r="A157" s="2" t="s">
        <v>165</v>
      </c>
      <c r="B157" s="3">
        <v>14</v>
      </c>
      <c r="C157" s="3">
        <v>220</v>
      </c>
      <c r="D157" s="3">
        <v>9</v>
      </c>
      <c r="E157" s="3">
        <v>70</v>
      </c>
      <c r="F157" s="38">
        <f>IF(AND(C157&gt;100,D157&lt;13,B157&gt;32.5),"High Performance",IF(AND(C157&lt;= 100,C157&gt;=60,D157&gt;=13,D157&lt;=19,B157&gt;=17,B157&lt;=32.5),"Mid Range","Economy"))</f>
      </c>
      <c r="G157" s="2"/>
      <c r="H157" s="2"/>
      <c r="I157" s="9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9"/>
      <c r="V157" s="2"/>
      <c r="W157" s="9"/>
      <c r="X157" s="9"/>
      <c r="Y157" s="9"/>
      <c r="Z157" s="9"/>
    </row>
    <row x14ac:dyDescent="0.25" r="158" customHeight="1" ht="18.75">
      <c r="A158" s="2" t="s">
        <v>166</v>
      </c>
      <c r="B158" s="3">
        <v>14</v>
      </c>
      <c r="C158" s="3">
        <v>215</v>
      </c>
      <c r="D158" s="11">
        <v>8.5</v>
      </c>
      <c r="E158" s="3">
        <v>70</v>
      </c>
      <c r="F158" s="38">
        <f>IF(AND(C158&gt;100,D158&lt;13,B158&gt;32.5),"High Performance",IF(AND(C158&lt;= 100,C158&gt;=60,D158&gt;=13,D158&lt;=19,B158&gt;=17,B158&lt;=32.5),"Mid Range","Economy"))</f>
      </c>
      <c r="G158" s="2"/>
      <c r="H158" s="2"/>
      <c r="I158" s="9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9"/>
      <c r="V158" s="2"/>
      <c r="W158" s="9"/>
      <c r="X158" s="9"/>
      <c r="Y158" s="9"/>
      <c r="Z158" s="9"/>
    </row>
    <row x14ac:dyDescent="0.25" r="159" customHeight="1" ht="18.75">
      <c r="A159" s="2" t="s">
        <v>167</v>
      </c>
      <c r="B159" s="3">
        <v>15</v>
      </c>
      <c r="C159" s="3">
        <v>190</v>
      </c>
      <c r="D159" s="11">
        <v>8.5</v>
      </c>
      <c r="E159" s="3">
        <v>70</v>
      </c>
      <c r="F159" s="38">
        <f>IF(AND(C159&gt;100,D159&lt;13,B159&gt;32.5),"High Performance",IF(AND(C159&lt;= 100,C159&gt;=60,D159&gt;=13,D159&lt;=19,B159&gt;=17,B159&lt;=32.5),"Mid Range","Economy"))</f>
      </c>
      <c r="G159" s="2"/>
      <c r="H159" s="2"/>
      <c r="I159" s="9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9"/>
      <c r="V159" s="2"/>
      <c r="W159" s="9"/>
      <c r="X159" s="9"/>
      <c r="Y159" s="9"/>
      <c r="Z159" s="9"/>
    </row>
    <row x14ac:dyDescent="0.25" r="160" customHeight="1" ht="18.75">
      <c r="A160" s="2" t="s">
        <v>168</v>
      </c>
      <c r="B160" s="3">
        <v>11</v>
      </c>
      <c r="C160" s="3">
        <v>210</v>
      </c>
      <c r="D160" s="11">
        <v>13.5</v>
      </c>
      <c r="E160" s="3">
        <v>70</v>
      </c>
      <c r="F160" s="38">
        <f>IF(AND(C160&gt;100,D160&lt;13,B160&gt;32.5),"High Performance",IF(AND(C160&lt;= 100,C160&gt;=60,D160&gt;=13,D160&lt;=19,B160&gt;=17,B160&lt;=32.5),"Mid Range","Economy"))</f>
      </c>
      <c r="G160" s="2"/>
      <c r="H160" s="2"/>
      <c r="I160" s="9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9"/>
      <c r="V160" s="2"/>
      <c r="W160" s="9"/>
      <c r="X160" s="9"/>
      <c r="Y160" s="9"/>
      <c r="Z160" s="9"/>
    </row>
    <row x14ac:dyDescent="0.25" r="161" customHeight="1" ht="18.75">
      <c r="A161" s="2" t="s">
        <v>169</v>
      </c>
      <c r="B161" s="3">
        <v>15</v>
      </c>
      <c r="C161" s="3">
        <v>170</v>
      </c>
      <c r="D161" s="3">
        <v>10</v>
      </c>
      <c r="E161" s="3">
        <v>70</v>
      </c>
      <c r="F161" s="38">
        <f>IF(AND(C161&gt;100,D161&lt;13,B161&gt;32.5),"High Performance",IF(AND(C161&lt;= 100,C161&gt;=60,D161&gt;=13,D161&lt;=19,B161&gt;=17,B161&lt;=32.5),"Mid Range","Economy"))</f>
      </c>
      <c r="G161" s="2"/>
      <c r="H161" s="2"/>
      <c r="I161" s="9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9"/>
      <c r="V161" s="2"/>
      <c r="W161" s="9"/>
      <c r="X161" s="9"/>
      <c r="Y161" s="9"/>
      <c r="Z161" s="9"/>
    </row>
    <row x14ac:dyDescent="0.25" r="162" customHeight="1" ht="18.75">
      <c r="A162" s="2" t="s">
        <v>170</v>
      </c>
      <c r="B162" s="3">
        <v>10</v>
      </c>
      <c r="C162" s="3">
        <v>215</v>
      </c>
      <c r="D162" s="3">
        <v>14</v>
      </c>
      <c r="E162" s="3">
        <v>70</v>
      </c>
      <c r="F162" s="38">
        <f>IF(AND(C162&gt;100,D162&lt;13,B162&gt;32.5),"High Performance",IF(AND(C162&lt;= 100,C162&gt;=60,D162&gt;=13,D162&lt;=19,B162&gt;=17,B162&lt;=32.5),"Mid Range","Economy"))</f>
      </c>
      <c r="G162" s="2"/>
      <c r="H162" s="2"/>
      <c r="I162" s="9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9"/>
      <c r="V162" s="2"/>
      <c r="W162" s="9"/>
      <c r="X162" s="9"/>
      <c r="Y162" s="9"/>
      <c r="Z162" s="9"/>
    </row>
    <row x14ac:dyDescent="0.25" r="163" customHeight="1" ht="18.75">
      <c r="A163" s="2" t="s">
        <v>171</v>
      </c>
      <c r="B163" s="3">
        <v>10</v>
      </c>
      <c r="C163" s="3">
        <v>200</v>
      </c>
      <c r="D163" s="3">
        <v>15</v>
      </c>
      <c r="E163" s="3">
        <v>70</v>
      </c>
      <c r="F163" s="38">
        <f>IF(AND(C163&gt;100,D163&lt;13,B163&gt;32.5),"High Performance",IF(AND(C163&lt;= 100,C163&gt;=60,D163&gt;=13,D163&lt;=19,B163&gt;=17,B163&lt;=32.5),"Mid Range","Economy"))</f>
      </c>
      <c r="G163" s="2"/>
      <c r="H163" s="2"/>
      <c r="I163" s="9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9"/>
      <c r="V163" s="2"/>
      <c r="W163" s="9"/>
      <c r="X163" s="9"/>
      <c r="Y163" s="9"/>
      <c r="Z163" s="9"/>
    </row>
    <row x14ac:dyDescent="0.25" r="164" customHeight="1" ht="18.75">
      <c r="A164" s="2" t="s">
        <v>172</v>
      </c>
      <c r="B164" s="3">
        <v>15</v>
      </c>
      <c r="C164" s="3">
        <v>198</v>
      </c>
      <c r="D164" s="3">
        <v>10</v>
      </c>
      <c r="E164" s="3">
        <v>70</v>
      </c>
      <c r="F164" s="38">
        <f>IF(AND(C164&gt;100,D164&lt;13,B164&gt;32.5),"High Performance",IF(AND(C164&lt;= 100,C164&gt;=60,D164&gt;=13,D164&lt;=19,B164&gt;=17,B164&lt;=32.5),"Mid Range","Economy"))</f>
      </c>
      <c r="G164" s="2"/>
      <c r="H164" s="2"/>
      <c r="I164" s="9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9"/>
      <c r="V164" s="2"/>
      <c r="W164" s="9"/>
      <c r="X164" s="9"/>
      <c r="Y164" s="9"/>
      <c r="Z164" s="9"/>
    </row>
    <row x14ac:dyDescent="0.25" r="165" customHeight="1" ht="18.75">
      <c r="A165" s="2" t="s">
        <v>173</v>
      </c>
      <c r="B165" s="3">
        <v>15</v>
      </c>
      <c r="C165" s="3">
        <v>165</v>
      </c>
      <c r="D165" s="11">
        <v>11.5</v>
      </c>
      <c r="E165" s="3">
        <v>70</v>
      </c>
      <c r="F165" s="38">
        <f>IF(AND(C165&gt;100,D165&lt;13,B165&gt;32.5),"High Performance",IF(AND(C165&lt;= 100,C165&gt;=60,D165&gt;=13,D165&lt;=19,B165&gt;=17,B165&lt;=32.5),"Mid Range","Economy"))</f>
      </c>
      <c r="G165" s="2"/>
      <c r="H165" s="2"/>
      <c r="I165" s="9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9"/>
      <c r="V165" s="2"/>
      <c r="W165" s="9"/>
      <c r="X165" s="9"/>
      <c r="Y165" s="9"/>
      <c r="Z165" s="9"/>
    </row>
    <row x14ac:dyDescent="0.25" r="166" customHeight="1" ht="18.75">
      <c r="A166" s="2" t="s">
        <v>174</v>
      </c>
      <c r="B166" s="3">
        <v>14</v>
      </c>
      <c r="C166" s="3">
        <v>160</v>
      </c>
      <c r="D166" s="3">
        <v>8</v>
      </c>
      <c r="E166" s="3">
        <v>70</v>
      </c>
      <c r="F166" s="38">
        <f>IF(AND(C166&gt;100,D166&lt;13,B166&gt;32.5),"High Performance",IF(AND(C166&lt;= 100,C166&gt;=60,D166&gt;=13,D166&lt;=19,B166&gt;=17,B166&lt;=32.5),"Mid Range","Economy"))</f>
      </c>
      <c r="G166" s="2"/>
      <c r="H166" s="2"/>
      <c r="I166" s="9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9"/>
      <c r="V166" s="2"/>
      <c r="W166" s="9"/>
      <c r="X166" s="9"/>
      <c r="Y166" s="9"/>
      <c r="Z166" s="9"/>
    </row>
    <row x14ac:dyDescent="0.25" r="167" customHeight="1" ht="18.75">
      <c r="A167" s="2" t="s">
        <v>175</v>
      </c>
      <c r="B167" s="3">
        <v>16</v>
      </c>
      <c r="C167" s="3">
        <v>150</v>
      </c>
      <c r="D167" s="3">
        <v>12</v>
      </c>
      <c r="E167" s="3">
        <v>70</v>
      </c>
      <c r="F167" s="38">
        <f>IF(AND(C167&gt;100,D167&lt;13,B167&gt;32.5),"High Performance",IF(AND(C167&lt;= 100,C167&gt;=60,D167&gt;=13,D167&lt;=19,B167&gt;=17,B167&lt;=32.5),"Mid Range","Economy"))</f>
      </c>
      <c r="G167" s="2"/>
      <c r="H167" s="2"/>
      <c r="I167" s="9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9"/>
      <c r="V167" s="2"/>
      <c r="W167" s="9"/>
      <c r="X167" s="9"/>
      <c r="Y167" s="9"/>
      <c r="Z167" s="9"/>
    </row>
    <row x14ac:dyDescent="0.25" r="168" customHeight="1" ht="18.75">
      <c r="A168" s="2" t="s">
        <v>176</v>
      </c>
      <c r="B168" s="3">
        <v>18</v>
      </c>
      <c r="C168" s="3">
        <v>150</v>
      </c>
      <c r="D168" s="3">
        <v>11</v>
      </c>
      <c r="E168" s="3">
        <v>70</v>
      </c>
      <c r="F168" s="38">
        <f>IF(AND(C168&gt;100,D168&lt;13,B168&gt;32.5),"High Performance",IF(AND(C168&lt;= 100,C168&gt;=60,D168&gt;=13,D168&lt;=19,B168&gt;=17,B168&lt;=32.5),"Mid Range","Economy"))</f>
      </c>
      <c r="G168" s="2"/>
      <c r="H168" s="2"/>
      <c r="I168" s="9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9"/>
      <c r="V168" s="2"/>
      <c r="W168" s="9"/>
      <c r="X168" s="9"/>
      <c r="Y168" s="9"/>
      <c r="Z168" s="9"/>
    </row>
    <row x14ac:dyDescent="0.25" r="169" customHeight="1" ht="18.75">
      <c r="A169" s="2" t="s">
        <v>177</v>
      </c>
      <c r="B169" s="3">
        <v>9</v>
      </c>
      <c r="C169" s="3">
        <v>193</v>
      </c>
      <c r="D169" s="11">
        <v>18.5</v>
      </c>
      <c r="E169" s="3">
        <v>70</v>
      </c>
      <c r="F169" s="38">
        <f>IF(AND(C169&gt;100,D169&lt;13,B169&gt;32.5),"High Performance",IF(AND(C169&lt;= 100,C169&gt;=60,D169&gt;=13,D169&lt;=19,B169&gt;=17,B169&lt;=32.5),"Mid Range","Economy"))</f>
      </c>
      <c r="G169" s="2"/>
      <c r="H169" s="2"/>
      <c r="I169" s="9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9"/>
      <c r="V169" s="2"/>
      <c r="W169" s="9"/>
      <c r="X169" s="9"/>
      <c r="Y169" s="9"/>
      <c r="Z169" s="9"/>
    </row>
    <row x14ac:dyDescent="0.25" r="170" customHeight="1" ht="18.75">
      <c r="A170" s="2" t="s">
        <v>178</v>
      </c>
      <c r="B170" s="3">
        <v>17</v>
      </c>
      <c r="C170" s="3">
        <v>140</v>
      </c>
      <c r="D170" s="11">
        <v>10.5</v>
      </c>
      <c r="E170" s="3">
        <v>70</v>
      </c>
      <c r="F170" s="38">
        <f>IF(AND(C170&gt;100,D170&lt;13,B170&gt;32.5),"High Performance",IF(AND(C170&lt;= 100,C170&gt;=60,D170&gt;=13,D170&lt;=19,B170&gt;=17,B170&lt;=32.5),"Mid Range","Economy"))</f>
      </c>
      <c r="G170" s="2"/>
      <c r="H170" s="2"/>
      <c r="I170" s="9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9"/>
      <c r="V170" s="2"/>
      <c r="W170" s="9"/>
      <c r="X170" s="9"/>
      <c r="Y170" s="9"/>
      <c r="Z170" s="9"/>
    </row>
    <row x14ac:dyDescent="0.25" r="171" customHeight="1" ht="18.75">
      <c r="A171" s="2" t="s">
        <v>179</v>
      </c>
      <c r="B171" s="3">
        <v>15</v>
      </c>
      <c r="C171" s="3">
        <v>150</v>
      </c>
      <c r="D171" s="11">
        <v>9.5</v>
      </c>
      <c r="E171" s="3">
        <v>70</v>
      </c>
      <c r="F171" s="38">
        <f>IF(AND(C171&gt;100,D171&lt;13,B171&gt;32.5),"High Performance",IF(AND(C171&lt;= 100,C171&gt;=60,D171&gt;=13,D171&lt;=19,B171&gt;=17,B171&lt;=32.5),"Mid Range","Economy"))</f>
      </c>
      <c r="G171" s="2"/>
      <c r="H171" s="2"/>
      <c r="I171" s="9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9"/>
      <c r="V171" s="2"/>
      <c r="W171" s="9"/>
      <c r="X171" s="9"/>
      <c r="Y171" s="9"/>
      <c r="Z171" s="9"/>
    </row>
    <row x14ac:dyDescent="0.25" r="172" customHeight="1" ht="18.75">
      <c r="A172" s="2" t="s">
        <v>180</v>
      </c>
      <c r="B172" s="3">
        <v>18</v>
      </c>
      <c r="C172" s="3">
        <v>130</v>
      </c>
      <c r="D172" s="3">
        <v>12</v>
      </c>
      <c r="E172" s="3">
        <v>70</v>
      </c>
      <c r="F172" s="38">
        <f>IF(AND(C172&gt;100,D172&lt;13,B172&gt;32.5),"High Performance",IF(AND(C172&lt;= 100,C172&gt;=60,D172&gt;=13,D172&lt;=19,B172&gt;=17,B172&lt;=32.5),"Mid Range","Economy"))</f>
      </c>
      <c r="G172" s="2"/>
      <c r="H172" s="2"/>
      <c r="I172" s="9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9"/>
      <c r="V172" s="2"/>
      <c r="W172" s="9"/>
      <c r="X172" s="9"/>
      <c r="Y172" s="9"/>
      <c r="Z172" s="9"/>
    </row>
    <row x14ac:dyDescent="0.25" r="173" customHeight="1" ht="18.75">
      <c r="A173" s="2" t="s">
        <v>181</v>
      </c>
      <c r="B173" s="3">
        <v>28</v>
      </c>
      <c r="C173" s="3">
        <v>90</v>
      </c>
      <c r="D173" s="11">
        <v>15.5</v>
      </c>
      <c r="E173" s="3">
        <v>71</v>
      </c>
      <c r="F173" s="38">
        <f>IF(AND(C173&gt;100,D173&lt;13,B173&gt;32.5),"High Performance",IF(AND(C173&lt;= 100,C173&gt;=60,D173&gt;=13,D173&lt;=19,B173&gt;=17,B173&lt;=32.5),"Mid Range","Economy"))</f>
      </c>
      <c r="G173" s="2"/>
      <c r="H173" s="2"/>
      <c r="I173" s="9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9"/>
      <c r="V173" s="2"/>
      <c r="W173" s="9"/>
      <c r="X173" s="9"/>
      <c r="Y173" s="9"/>
      <c r="Z173" s="9"/>
    </row>
    <row x14ac:dyDescent="0.25" r="174" customHeight="1" ht="18.75">
      <c r="A174" s="2" t="s">
        <v>182</v>
      </c>
      <c r="B174" s="3">
        <v>23</v>
      </c>
      <c r="C174" s="3">
        <v>86</v>
      </c>
      <c r="D174" s="3">
        <v>14</v>
      </c>
      <c r="E174" s="3">
        <v>71</v>
      </c>
      <c r="F174" s="38">
        <f>IF(AND(C174&gt;100,D174&lt;13,B174&gt;32.5),"High Performance",IF(AND(C174&lt;= 100,C174&gt;=60,D174&gt;=13,D174&lt;=19,B174&gt;=17,B174&lt;=32.5),"Mid Range","Economy"))</f>
      </c>
      <c r="G174" s="2"/>
      <c r="H174" s="2"/>
      <c r="I174" s="9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9"/>
      <c r="V174" s="2"/>
      <c r="W174" s="9"/>
      <c r="X174" s="9"/>
      <c r="Y174" s="9"/>
      <c r="Z174" s="9"/>
    </row>
    <row x14ac:dyDescent="0.25" r="175" customHeight="1" ht="18.75">
      <c r="A175" s="2" t="s">
        <v>183</v>
      </c>
      <c r="B175" s="3">
        <v>26</v>
      </c>
      <c r="C175" s="3">
        <v>70</v>
      </c>
      <c r="D175" s="11">
        <v>20.5</v>
      </c>
      <c r="E175" s="3">
        <v>71</v>
      </c>
      <c r="F175" s="38">
        <f>IF(AND(C175&gt;100,D175&lt;13,B175&gt;32.5),"High Performance",IF(AND(C175&lt;= 100,C175&gt;=60,D175&gt;=13,D175&lt;=19,B175&gt;=17,B175&lt;=32.5),"Mid Range","Economy"))</f>
      </c>
      <c r="G175" s="2"/>
      <c r="H175" s="2"/>
      <c r="I175" s="9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9"/>
      <c r="V175" s="2"/>
      <c r="W175" s="9"/>
      <c r="X175" s="9"/>
      <c r="Y175" s="9"/>
      <c r="Z175" s="9"/>
    </row>
    <row x14ac:dyDescent="0.25" r="176" customHeight="1" ht="18.75">
      <c r="A176" s="2" t="s">
        <v>184</v>
      </c>
      <c r="B176" s="3">
        <v>22</v>
      </c>
      <c r="C176" s="3">
        <v>72</v>
      </c>
      <c r="D176" s="3">
        <v>19</v>
      </c>
      <c r="E176" s="3">
        <v>71</v>
      </c>
      <c r="F176" s="38">
        <f>IF(AND(C176&gt;100,D176&lt;13,B176&gt;32.5),"High Performance",IF(AND(C176&lt;= 100,C176&gt;=60,D176&gt;=13,D176&lt;=19,B176&gt;=17,B176&lt;=32.5),"Mid Range","Economy"))</f>
      </c>
      <c r="G176" s="2"/>
      <c r="H176" s="2"/>
      <c r="I176" s="9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9"/>
      <c r="V176" s="2"/>
      <c r="W176" s="9"/>
      <c r="X176" s="9"/>
      <c r="Y176" s="9"/>
      <c r="Z176" s="9"/>
    </row>
    <row x14ac:dyDescent="0.25" r="177" customHeight="1" ht="18.75">
      <c r="A177" s="2" t="s">
        <v>185</v>
      </c>
      <c r="B177" s="3">
        <v>25</v>
      </c>
      <c r="C177" s="1"/>
      <c r="D177" s="3">
        <v>19</v>
      </c>
      <c r="E177" s="3">
        <v>71</v>
      </c>
      <c r="F177" s="38">
        <f>IF(AND(C177&gt;100,D177&lt;13,B177&gt;32.5),"High Performance",IF(AND(C177&lt;= 100,C177&gt;=60,D177&gt;=13,D177&lt;=19,B177&gt;=17,B177&lt;=32.5),"Mid Range","Economy"))</f>
      </c>
      <c r="G177" s="2"/>
      <c r="H177" s="2"/>
      <c r="I177" s="9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9"/>
      <c r="V177" s="2"/>
      <c r="W177" s="9"/>
      <c r="X177" s="9"/>
      <c r="Y177" s="9"/>
      <c r="Z177" s="9"/>
    </row>
    <row x14ac:dyDescent="0.25" r="178" customHeight="1" ht="18.75">
      <c r="A178" s="2" t="s">
        <v>160</v>
      </c>
      <c r="B178" s="3">
        <v>19</v>
      </c>
      <c r="C178" s="3">
        <v>100</v>
      </c>
      <c r="D178" s="3">
        <v>13</v>
      </c>
      <c r="E178" s="3">
        <v>71</v>
      </c>
      <c r="F178" s="38">
        <f>IF(AND(C178&gt;100,D178&lt;13,B178&gt;32.5),"High Performance",IF(AND(C178&lt;= 100,C178&gt;=60,D178&gt;=13,D178&lt;=19,B178&gt;=17,B178&lt;=32.5),"Mid Range","Economy"))</f>
      </c>
      <c r="G178" s="2"/>
      <c r="H178" s="2"/>
      <c r="I178" s="9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9"/>
      <c r="V178" s="2"/>
      <c r="W178" s="9"/>
      <c r="X178" s="9"/>
      <c r="Y178" s="9"/>
      <c r="Z178" s="9"/>
    </row>
    <row x14ac:dyDescent="0.25" r="179" customHeight="1" ht="18.75">
      <c r="A179" s="2" t="s">
        <v>186</v>
      </c>
      <c r="B179" s="3">
        <v>18</v>
      </c>
      <c r="C179" s="3">
        <v>110</v>
      </c>
      <c r="D179" s="11">
        <v>13.5</v>
      </c>
      <c r="E179" s="3">
        <v>71</v>
      </c>
      <c r="F179" s="38">
        <f>IF(AND(C179&gt;100,D179&lt;13,B179&gt;32.5),"High Performance",IF(AND(C179&lt;= 100,C179&gt;=60,D179&gt;=13,D179&lt;=19,B179&gt;=17,B179&lt;=32.5),"Mid Range","Economy"))</f>
      </c>
      <c r="G179" s="2"/>
      <c r="H179" s="2"/>
      <c r="I179" s="9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9"/>
      <c r="V179" s="2"/>
      <c r="W179" s="9"/>
      <c r="X179" s="9"/>
      <c r="Y179" s="9"/>
      <c r="Z179" s="9"/>
    </row>
    <row x14ac:dyDescent="0.25" r="180" customHeight="1" ht="18.75">
      <c r="A180" s="2" t="s">
        <v>187</v>
      </c>
      <c r="B180" s="3">
        <v>16</v>
      </c>
      <c r="C180" s="3">
        <v>105</v>
      </c>
      <c r="D180" s="11">
        <v>15.5</v>
      </c>
      <c r="E180" s="3">
        <v>71</v>
      </c>
      <c r="F180" s="38">
        <f>IF(AND(C180&gt;100,D180&lt;13,B180&gt;32.5),"High Performance",IF(AND(C180&lt;= 100,C180&gt;=60,D180&gt;=13,D180&lt;=19,B180&gt;=17,B180&lt;=32.5),"Mid Range","Economy"))</f>
      </c>
      <c r="G180" s="2"/>
      <c r="H180" s="2"/>
      <c r="I180" s="9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9"/>
      <c r="V180" s="2"/>
      <c r="W180" s="9"/>
      <c r="X180" s="9"/>
      <c r="Y180" s="9"/>
      <c r="Z180" s="9"/>
    </row>
    <row x14ac:dyDescent="0.25" r="181" customHeight="1" ht="18.75">
      <c r="A181" s="2" t="s">
        <v>188</v>
      </c>
      <c r="B181" s="3">
        <v>19</v>
      </c>
      <c r="C181" s="3">
        <v>100</v>
      </c>
      <c r="D181" s="3">
        <v>15</v>
      </c>
      <c r="E181" s="3">
        <v>71</v>
      </c>
      <c r="F181" s="38">
        <f>IF(AND(C181&gt;100,D181&lt;13,B181&gt;32.5),"High Performance",IF(AND(C181&lt;= 100,C181&gt;=60,D181&gt;=13,D181&lt;=19,B181&gt;=17,B181&lt;=32.5),"Mid Range","Economy"))</f>
      </c>
      <c r="G181" s="2"/>
      <c r="H181" s="2"/>
      <c r="I181" s="9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9"/>
      <c r="V181" s="2"/>
      <c r="W181" s="9"/>
      <c r="X181" s="9"/>
      <c r="Y181" s="9"/>
      <c r="Z181" s="9"/>
    </row>
    <row x14ac:dyDescent="0.25" r="182" customHeight="1" ht="18.75">
      <c r="A182" s="2" t="s">
        <v>189</v>
      </c>
      <c r="B182" s="3">
        <v>18</v>
      </c>
      <c r="C182" s="3">
        <v>100</v>
      </c>
      <c r="D182" s="11">
        <v>15.5</v>
      </c>
      <c r="E182" s="3">
        <v>71</v>
      </c>
      <c r="F182" s="38">
        <f>IF(AND(C182&gt;100,D182&lt;13,B182&gt;32.5),"High Performance",IF(AND(C182&lt;= 100,C182&gt;=60,D182&gt;=13,D182&lt;=19,B182&gt;=17,B182&lt;=32.5),"Mid Range","Economy"))</f>
      </c>
      <c r="G182" s="2"/>
      <c r="H182" s="2"/>
      <c r="I182" s="9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9"/>
      <c r="V182" s="2"/>
      <c r="W182" s="9"/>
      <c r="X182" s="9"/>
      <c r="Y182" s="9"/>
      <c r="Z182" s="9"/>
    </row>
    <row x14ac:dyDescent="0.25" r="183" customHeight="1" ht="18.75">
      <c r="A183" s="2" t="s">
        <v>180</v>
      </c>
      <c r="B183" s="3">
        <v>17</v>
      </c>
      <c r="C183" s="3">
        <v>100</v>
      </c>
      <c r="D183" s="11">
        <v>15.5</v>
      </c>
      <c r="E183" s="3">
        <v>71</v>
      </c>
      <c r="F183" s="38">
        <f>IF(AND(C183&gt;100,D183&lt;13,B183&gt;32.5),"High Performance",IF(AND(C183&lt;= 100,C183&gt;=60,D183&gt;=13,D183&lt;=19,B183&gt;=17,B183&lt;=32.5),"Mid Range","Economy"))</f>
      </c>
      <c r="G183" s="2"/>
      <c r="H183" s="2"/>
      <c r="I183" s="9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9"/>
      <c r="V183" s="2"/>
      <c r="W183" s="9"/>
      <c r="X183" s="9"/>
      <c r="Y183" s="9"/>
      <c r="Z183" s="9"/>
    </row>
    <row x14ac:dyDescent="0.25" r="184" customHeight="1" ht="18.75">
      <c r="A184" s="2" t="s">
        <v>190</v>
      </c>
      <c r="B184" s="3">
        <v>18</v>
      </c>
      <c r="C184" s="3">
        <v>88</v>
      </c>
      <c r="D184" s="11">
        <v>14.5</v>
      </c>
      <c r="E184" s="3">
        <v>71</v>
      </c>
      <c r="F184" s="38">
        <f>IF(AND(C184&gt;100,D184&lt;13,B184&gt;32.5),"High Performance",IF(AND(C184&lt;= 100,C184&gt;=60,D184&gt;=13,D184&lt;=19,B184&gt;=17,B184&lt;=32.5),"Mid Range","Economy"))</f>
      </c>
      <c r="G184" s="2"/>
      <c r="H184" s="2"/>
      <c r="I184" s="9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9"/>
      <c r="V184" s="2"/>
      <c r="W184" s="9"/>
      <c r="X184" s="9"/>
      <c r="Y184" s="9"/>
      <c r="Z184" s="9"/>
    </row>
    <row x14ac:dyDescent="0.25" r="185" customHeight="1" ht="18.75">
      <c r="A185" s="2" t="s">
        <v>191</v>
      </c>
      <c r="B185" s="3">
        <v>19</v>
      </c>
      <c r="C185" s="3">
        <v>88</v>
      </c>
      <c r="D185" s="11">
        <v>15.5</v>
      </c>
      <c r="E185" s="3">
        <v>71</v>
      </c>
      <c r="F185" s="38">
        <f>IF(AND(C185&gt;100,D185&lt;13,B185&gt;32.5),"High Performance",IF(AND(C185&lt;= 100,C185&gt;=60,D185&gt;=13,D185&lt;=19,B185&gt;=17,B185&lt;=32.5),"Mid Range","Economy"))</f>
      </c>
      <c r="G185" s="2"/>
      <c r="H185" s="2"/>
      <c r="I185" s="9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9"/>
      <c r="V185" s="2"/>
      <c r="W185" s="9"/>
      <c r="X185" s="9"/>
      <c r="Y185" s="9"/>
      <c r="Z185" s="9"/>
    </row>
    <row x14ac:dyDescent="0.25" r="186" customHeight="1" ht="18.75">
      <c r="A186" s="2" t="s">
        <v>165</v>
      </c>
      <c r="B186" s="3">
        <v>14</v>
      </c>
      <c r="C186" s="3">
        <v>165</v>
      </c>
      <c r="D186" s="3">
        <v>12</v>
      </c>
      <c r="E186" s="3">
        <v>71</v>
      </c>
      <c r="F186" s="38">
        <f>IF(AND(C186&gt;100,D186&lt;13,B186&gt;32.5),"High Performance",IF(AND(C186&lt;= 100,C186&gt;=60,D186&gt;=13,D186&lt;=19,B186&gt;=17,B186&lt;=32.5),"Mid Range","Economy"))</f>
      </c>
      <c r="G186" s="2"/>
      <c r="H186" s="2"/>
      <c r="I186" s="9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9"/>
      <c r="V186" s="2"/>
      <c r="W186" s="9"/>
      <c r="X186" s="9"/>
      <c r="Y186" s="9"/>
      <c r="Z186" s="9"/>
    </row>
    <row x14ac:dyDescent="0.25" r="187" customHeight="1" ht="18.75">
      <c r="A187" s="2" t="s">
        <v>192</v>
      </c>
      <c r="B187" s="3">
        <v>14</v>
      </c>
      <c r="C187" s="3">
        <v>175</v>
      </c>
      <c r="D187" s="11">
        <v>11.5</v>
      </c>
      <c r="E187" s="3">
        <v>71</v>
      </c>
      <c r="F187" s="38">
        <f>IF(AND(C187&gt;100,D187&lt;13,B187&gt;32.5),"High Performance",IF(AND(C187&lt;= 100,C187&gt;=60,D187&gt;=13,D187&lt;=19,B187&gt;=17,B187&lt;=32.5),"Mid Range","Economy"))</f>
      </c>
      <c r="G187" s="2"/>
      <c r="H187" s="2"/>
      <c r="I187" s="9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9"/>
      <c r="V187" s="2"/>
      <c r="W187" s="9"/>
      <c r="X187" s="9"/>
      <c r="Y187" s="9"/>
      <c r="Z187" s="9"/>
    </row>
    <row x14ac:dyDescent="0.25" r="188" customHeight="1" ht="18.75">
      <c r="A188" s="2" t="s">
        <v>172</v>
      </c>
      <c r="B188" s="3">
        <v>14</v>
      </c>
      <c r="C188" s="3">
        <v>153</v>
      </c>
      <c r="D188" s="11">
        <v>13.5</v>
      </c>
      <c r="E188" s="3">
        <v>71</v>
      </c>
      <c r="F188" s="38">
        <f>IF(AND(C188&gt;100,D188&lt;13,B188&gt;32.5),"High Performance",IF(AND(C188&lt;= 100,C188&gt;=60,D188&gt;=13,D188&lt;=19,B188&gt;=17,B188&lt;=32.5),"Mid Range","Economy"))</f>
      </c>
      <c r="G188" s="2"/>
      <c r="H188" s="2"/>
      <c r="I188" s="9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9"/>
      <c r="V188" s="2"/>
      <c r="W188" s="9"/>
      <c r="X188" s="9"/>
      <c r="Y188" s="9"/>
      <c r="Z188" s="9"/>
    </row>
    <row x14ac:dyDescent="0.25" r="189" customHeight="1" ht="18.75">
      <c r="A189" s="2" t="s">
        <v>166</v>
      </c>
      <c r="B189" s="3">
        <v>14</v>
      </c>
      <c r="C189" s="3">
        <v>150</v>
      </c>
      <c r="D189" s="3">
        <v>13</v>
      </c>
      <c r="E189" s="3">
        <v>71</v>
      </c>
      <c r="F189" s="38">
        <f>IF(AND(C189&gt;100,D189&lt;13,B189&gt;32.5),"High Performance",IF(AND(C189&lt;= 100,C189&gt;=60,D189&gt;=13,D189&lt;=19,B189&gt;=17,B189&lt;=32.5),"Mid Range","Economy"))</f>
      </c>
      <c r="G189" s="2"/>
      <c r="H189" s="2"/>
      <c r="I189" s="9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9"/>
      <c r="V189" s="2"/>
      <c r="W189" s="9"/>
      <c r="X189" s="9"/>
      <c r="Y189" s="9"/>
      <c r="Z189" s="9"/>
    </row>
    <row x14ac:dyDescent="0.25" r="190" customHeight="1" ht="18.75">
      <c r="A190" s="2" t="s">
        <v>193</v>
      </c>
      <c r="B190" s="3">
        <v>12</v>
      </c>
      <c r="C190" s="3">
        <v>180</v>
      </c>
      <c r="D190" s="11">
        <v>11.5</v>
      </c>
      <c r="E190" s="3">
        <v>71</v>
      </c>
      <c r="F190" s="38">
        <f>IF(AND(C190&gt;100,D190&lt;13,B190&gt;32.5),"High Performance",IF(AND(C190&lt;= 100,C190&gt;=60,D190&gt;=13,D190&lt;=19,B190&gt;=17,B190&lt;=32.5),"Mid Range","Economy"))</f>
      </c>
      <c r="G190" s="2"/>
      <c r="H190" s="2"/>
      <c r="I190" s="9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9"/>
      <c r="V190" s="2"/>
      <c r="W190" s="9"/>
      <c r="X190" s="9"/>
      <c r="Y190" s="9"/>
      <c r="Z190" s="9"/>
    </row>
    <row x14ac:dyDescent="0.25" r="191" customHeight="1" ht="18.75">
      <c r="A191" s="2" t="s">
        <v>194</v>
      </c>
      <c r="B191" s="3">
        <v>13</v>
      </c>
      <c r="C191" s="3">
        <v>170</v>
      </c>
      <c r="D191" s="3">
        <v>12</v>
      </c>
      <c r="E191" s="3">
        <v>71</v>
      </c>
      <c r="F191" s="38">
        <f>IF(AND(C191&gt;100,D191&lt;13,B191&gt;32.5),"High Performance",IF(AND(C191&lt;= 100,C191&gt;=60,D191&gt;=13,D191&lt;=19,B191&gt;=17,B191&lt;=32.5),"Mid Range","Economy"))</f>
      </c>
      <c r="G191" s="2"/>
      <c r="H191" s="2"/>
      <c r="I191" s="9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9"/>
      <c r="V191" s="2"/>
      <c r="W191" s="9"/>
      <c r="X191" s="9"/>
      <c r="Y191" s="9"/>
      <c r="Z191" s="9"/>
    </row>
    <row x14ac:dyDescent="0.25" r="192" customHeight="1" ht="18.75">
      <c r="A192" s="2" t="s">
        <v>195</v>
      </c>
      <c r="B192" s="3">
        <v>13</v>
      </c>
      <c r="C192" s="3">
        <v>175</v>
      </c>
      <c r="D192" s="3">
        <v>12</v>
      </c>
      <c r="E192" s="3">
        <v>71</v>
      </c>
      <c r="F192" s="38">
        <f>IF(AND(C192&gt;100,D192&lt;13,B192&gt;32.5),"High Performance",IF(AND(C192&lt;= 100,C192&gt;=60,D192&gt;=13,D192&lt;=19,B192&gt;=17,B192&lt;=32.5),"Mid Range","Economy"))</f>
      </c>
      <c r="G192" s="2"/>
      <c r="H192" s="2"/>
      <c r="I192" s="9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9"/>
      <c r="V192" s="2"/>
      <c r="W192" s="9"/>
      <c r="X192" s="9"/>
      <c r="Y192" s="9"/>
      <c r="Z192" s="9"/>
    </row>
    <row x14ac:dyDescent="0.25" r="193" customHeight="1" ht="18.75">
      <c r="A193" s="2" t="s">
        <v>196</v>
      </c>
      <c r="B193" s="3">
        <v>21</v>
      </c>
      <c r="C193" s="3">
        <v>86</v>
      </c>
      <c r="D193" s="11">
        <v>16.5</v>
      </c>
      <c r="E193" s="3">
        <v>72</v>
      </c>
      <c r="F193" s="38">
        <f>IF(AND(C193&gt;100,D193&lt;13,B193&gt;32.5),"High Performance",IF(AND(C193&lt;= 100,C193&gt;=60,D193&gt;=13,D193&lt;=19,B193&gt;=17,B193&lt;=32.5),"Mid Range","Economy"))</f>
      </c>
      <c r="G193" s="2"/>
      <c r="H193" s="2"/>
      <c r="I193" s="9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9"/>
      <c r="V193" s="2"/>
      <c r="W193" s="9"/>
      <c r="X193" s="9"/>
      <c r="Y193" s="9"/>
      <c r="Z193" s="9"/>
    </row>
    <row x14ac:dyDescent="0.25" r="194" customHeight="1" ht="18.75">
      <c r="A194" s="2" t="s">
        <v>197</v>
      </c>
      <c r="B194" s="3">
        <v>25</v>
      </c>
      <c r="C194" s="3">
        <v>80</v>
      </c>
      <c r="D194" s="3">
        <v>17</v>
      </c>
      <c r="E194" s="3">
        <v>72</v>
      </c>
      <c r="F194" s="38">
        <f>IF(AND(C194&gt;100,D194&lt;13,B194&gt;32.5),"High Performance",IF(AND(C194&lt;= 100,C194&gt;=60,D194&gt;=13,D194&lt;=19,B194&gt;=17,B194&lt;=32.5),"Mid Range","Economy"))</f>
      </c>
      <c r="G194" s="2"/>
      <c r="H194" s="2"/>
      <c r="I194" s="9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9"/>
      <c r="V194" s="2"/>
      <c r="W194" s="9"/>
      <c r="X194" s="9"/>
      <c r="Y194" s="9"/>
      <c r="Z194" s="9"/>
    </row>
    <row x14ac:dyDescent="0.25" r="195" customHeight="1" ht="18.75">
      <c r="A195" s="2" t="s">
        <v>198</v>
      </c>
      <c r="B195" s="3">
        <v>20</v>
      </c>
      <c r="C195" s="3">
        <v>90</v>
      </c>
      <c r="D195" s="11">
        <v>19.5</v>
      </c>
      <c r="E195" s="3">
        <v>72</v>
      </c>
      <c r="F195" s="38">
        <f>IF(AND(C195&gt;100,D195&lt;13,B195&gt;32.5),"High Performance",IF(AND(C195&lt;= 100,C195&gt;=60,D195&gt;=13,D195&lt;=19,B195&gt;=17,B195&lt;=32.5),"Mid Range","Economy"))</f>
      </c>
      <c r="G195" s="2"/>
      <c r="H195" s="2"/>
      <c r="I195" s="9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9"/>
      <c r="V195" s="2"/>
      <c r="W195" s="9"/>
      <c r="X195" s="9"/>
      <c r="Y195" s="9"/>
      <c r="Z195" s="9"/>
    </row>
    <row x14ac:dyDescent="0.25" r="196" customHeight="1" ht="18.75">
      <c r="A196" s="2" t="s">
        <v>199</v>
      </c>
      <c r="B196" s="3">
        <v>28</v>
      </c>
      <c r="C196" s="3">
        <v>80</v>
      </c>
      <c r="D196" s="3">
        <v>15</v>
      </c>
      <c r="E196" s="3">
        <v>72</v>
      </c>
      <c r="F196" s="38">
        <f>IF(AND(C196&gt;100,D196&lt;13,B196&gt;32.5),"High Performance",IF(AND(C196&lt;= 100,C196&gt;=60,D196&gt;=13,D196&lt;=19,B196&gt;=17,B196&lt;=32.5),"Mid Range","Economy"))</f>
      </c>
      <c r="G196" s="2"/>
      <c r="H196" s="2"/>
      <c r="I196" s="9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9"/>
      <c r="V196" s="2"/>
      <c r="W196" s="9"/>
      <c r="X196" s="9"/>
      <c r="Y196" s="9"/>
      <c r="Z196" s="9"/>
    </row>
    <row x14ac:dyDescent="0.25" r="197" customHeight="1" ht="18.75">
      <c r="A197" s="2" t="s">
        <v>200</v>
      </c>
      <c r="B197" s="3">
        <v>22</v>
      </c>
      <c r="C197" s="3">
        <v>86</v>
      </c>
      <c r="D197" s="3">
        <v>16</v>
      </c>
      <c r="E197" s="3">
        <v>72</v>
      </c>
      <c r="F197" s="38">
        <f>IF(AND(C197&gt;100,D197&lt;13,B197&gt;32.5),"High Performance",IF(AND(C197&lt;= 100,C197&gt;=60,D197&gt;=13,D197&lt;=19,B197&gt;=17,B197&lt;=32.5),"Mid Range","Economy"))</f>
      </c>
      <c r="G197" s="2"/>
      <c r="H197" s="2"/>
      <c r="I197" s="9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9"/>
      <c r="V197" s="2"/>
      <c r="W197" s="9"/>
      <c r="X197" s="9"/>
      <c r="Y197" s="9"/>
      <c r="Z197" s="9"/>
    </row>
    <row x14ac:dyDescent="0.25" r="198" customHeight="1" ht="18.75">
      <c r="A198" s="2" t="s">
        <v>201</v>
      </c>
      <c r="B198" s="3">
        <v>11</v>
      </c>
      <c r="C198" s="3">
        <v>208</v>
      </c>
      <c r="D198" s="3">
        <v>11</v>
      </c>
      <c r="E198" s="3">
        <v>72</v>
      </c>
      <c r="F198" s="38">
        <f>IF(AND(C198&gt;100,D198&lt;13,B198&gt;32.5),"High Performance",IF(AND(C198&lt;= 100,C198&gt;=60,D198&gt;=13,D198&lt;=19,B198&gt;=17,B198&lt;=32.5),"Mid Range","Economy"))</f>
      </c>
      <c r="G198" s="2"/>
      <c r="H198" s="2"/>
      <c r="I198" s="9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9"/>
      <c r="V198" s="2"/>
      <c r="W198" s="9"/>
      <c r="X198" s="9"/>
      <c r="Y198" s="9"/>
      <c r="Z198" s="9"/>
    </row>
    <row x14ac:dyDescent="0.25" r="199" customHeight="1" ht="18.75">
      <c r="A199" s="2" t="s">
        <v>202</v>
      </c>
      <c r="B199" s="3">
        <v>13</v>
      </c>
      <c r="C199" s="3">
        <v>190</v>
      </c>
      <c r="D199" s="11">
        <v>12.5</v>
      </c>
      <c r="E199" s="3">
        <v>72</v>
      </c>
      <c r="F199" s="38">
        <f>IF(AND(C199&gt;100,D199&lt;13,B199&gt;32.5),"High Performance",IF(AND(C199&lt;= 100,C199&gt;=60,D199&gt;=13,D199&lt;=19,B199&gt;=17,B199&lt;=32.5),"Mid Range","Economy"))</f>
      </c>
      <c r="G199" s="2"/>
      <c r="H199" s="2"/>
      <c r="I199" s="9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9"/>
      <c r="V199" s="2"/>
      <c r="W199" s="9"/>
      <c r="X199" s="9"/>
      <c r="Y199" s="9"/>
      <c r="Z199" s="9"/>
    </row>
    <row x14ac:dyDescent="0.25" r="200" customHeight="1" ht="18.75">
      <c r="A200" s="2" t="s">
        <v>203</v>
      </c>
      <c r="B200" s="3">
        <v>17</v>
      </c>
      <c r="C200" s="3">
        <v>150</v>
      </c>
      <c r="D200" s="11">
        <v>11.5</v>
      </c>
      <c r="E200" s="3">
        <v>72</v>
      </c>
      <c r="F200" s="38">
        <f>IF(AND(C200&gt;100,D200&lt;13,B200&gt;32.5),"High Performance",IF(AND(C200&lt;= 100,C200&gt;=60,D200&gt;=13,D200&lt;=19,B200&gt;=17,B200&lt;=32.5),"Mid Range","Economy"))</f>
      </c>
      <c r="G200" s="2"/>
      <c r="H200" s="2"/>
      <c r="I200" s="9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9"/>
      <c r="V200" s="2"/>
      <c r="W200" s="9"/>
      <c r="X200" s="9"/>
      <c r="Y200" s="9"/>
      <c r="Z200" s="9"/>
    </row>
    <row x14ac:dyDescent="0.25" r="201" customHeight="1" ht="18.75">
      <c r="A201" s="2" t="s">
        <v>164</v>
      </c>
      <c r="B201" s="3">
        <v>14</v>
      </c>
      <c r="C201" s="3">
        <v>175</v>
      </c>
      <c r="D201" s="3">
        <v>12</v>
      </c>
      <c r="E201" s="3">
        <v>72</v>
      </c>
      <c r="F201" s="38">
        <f>IF(AND(C201&gt;100,D201&lt;13,B201&gt;32.5),"High Performance",IF(AND(C201&lt;= 100,C201&gt;=60,D201&gt;=13,D201&lt;=19,B201&gt;=17,B201&lt;=32.5),"Mid Range","Economy"))</f>
      </c>
      <c r="G201" s="2"/>
      <c r="H201" s="2"/>
      <c r="I201" s="9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9"/>
      <c r="V201" s="2"/>
      <c r="W201" s="9"/>
      <c r="X201" s="9"/>
      <c r="Y201" s="9"/>
      <c r="Z201" s="9"/>
    </row>
    <row x14ac:dyDescent="0.25" r="202" customHeight="1" ht="18.75">
      <c r="A202" s="2" t="s">
        <v>165</v>
      </c>
      <c r="B202" s="3">
        <v>13</v>
      </c>
      <c r="C202" s="3">
        <v>165</v>
      </c>
      <c r="D202" s="3">
        <v>12</v>
      </c>
      <c r="E202" s="3">
        <v>72</v>
      </c>
      <c r="F202" s="38">
        <f>IF(AND(C202&gt;100,D202&lt;13,B202&gt;32.5),"High Performance",IF(AND(C202&lt;= 100,C202&gt;=60,D202&gt;=13,D202&lt;=19,B202&gt;=17,B202&lt;=32.5),"Mid Range","Economy"))</f>
      </c>
      <c r="G202" s="2"/>
      <c r="H202" s="2"/>
      <c r="I202" s="9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9"/>
      <c r="V202" s="2"/>
      <c r="W202" s="9"/>
      <c r="X202" s="9"/>
      <c r="Y202" s="9"/>
      <c r="Z202" s="9"/>
    </row>
    <row x14ac:dyDescent="0.25" r="203" customHeight="1" ht="18.75">
      <c r="A203" s="2" t="s">
        <v>204</v>
      </c>
      <c r="B203" s="3">
        <v>15</v>
      </c>
      <c r="C203" s="3">
        <v>150</v>
      </c>
      <c r="D203" s="11">
        <v>12.5</v>
      </c>
      <c r="E203" s="3">
        <v>72</v>
      </c>
      <c r="F203" s="38">
        <f>IF(AND(C203&gt;100,D203&lt;13,B203&gt;32.5),"High Performance",IF(AND(C203&lt;= 100,C203&gt;=60,D203&gt;=13,D203&lt;=19,B203&gt;=17,B203&lt;=32.5),"Mid Range","Economy"))</f>
      </c>
      <c r="G203" s="2"/>
      <c r="H203" s="2"/>
      <c r="I203" s="9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9"/>
      <c r="V203" s="2"/>
      <c r="W203" s="9"/>
      <c r="X203" s="9"/>
      <c r="Y203" s="9"/>
      <c r="Z203" s="9"/>
    </row>
    <row x14ac:dyDescent="0.25" r="204" customHeight="1" ht="18.75">
      <c r="A204" s="2" t="s">
        <v>172</v>
      </c>
      <c r="B204" s="3">
        <v>14</v>
      </c>
      <c r="C204" s="3">
        <v>153</v>
      </c>
      <c r="D204" s="3">
        <v>13</v>
      </c>
      <c r="E204" s="3">
        <v>72</v>
      </c>
      <c r="F204" s="38">
        <f>IF(AND(C204&gt;100,D204&lt;13,B204&gt;32.5),"High Performance",IF(AND(C204&lt;= 100,C204&gt;=60,D204&gt;=13,D204&lt;=19,B204&gt;=17,B204&lt;=32.5),"Mid Range","Economy"))</f>
      </c>
      <c r="G204" s="2"/>
      <c r="H204" s="2"/>
      <c r="I204" s="9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9"/>
      <c r="V204" s="2"/>
      <c r="W204" s="9"/>
      <c r="X204" s="9"/>
      <c r="Y204" s="9"/>
      <c r="Z204" s="9"/>
    </row>
    <row x14ac:dyDescent="0.25" r="205" customHeight="1" ht="18.75">
      <c r="A205" s="2" t="s">
        <v>205</v>
      </c>
      <c r="B205" s="3">
        <v>14</v>
      </c>
      <c r="C205" s="3">
        <v>150</v>
      </c>
      <c r="D205" s="3">
        <v>14</v>
      </c>
      <c r="E205" s="3">
        <v>72</v>
      </c>
      <c r="F205" s="38">
        <f>IF(AND(C205&gt;100,D205&lt;13,B205&gt;32.5),"High Performance",IF(AND(C205&lt;= 100,C205&gt;=60,D205&gt;=13,D205&lt;=19,B205&gt;=17,B205&lt;=32.5),"Mid Range","Economy"))</f>
      </c>
      <c r="G205" s="2"/>
      <c r="H205" s="2"/>
      <c r="I205" s="9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9"/>
      <c r="V205" s="2"/>
      <c r="W205" s="9"/>
      <c r="X205" s="9"/>
      <c r="Y205" s="9"/>
      <c r="Z205" s="9"/>
    </row>
    <row x14ac:dyDescent="0.25" r="206" customHeight="1" ht="18.75">
      <c r="A206" s="2" t="s">
        <v>166</v>
      </c>
      <c r="B206" s="3">
        <v>15</v>
      </c>
      <c r="C206" s="3">
        <v>150</v>
      </c>
      <c r="D206" s="11">
        <v>13.5</v>
      </c>
      <c r="E206" s="3">
        <v>72</v>
      </c>
      <c r="F206" s="38">
        <f>IF(AND(C206&gt;100,D206&lt;13,B206&gt;32.5),"High Performance",IF(AND(C206&lt;= 100,C206&gt;=60,D206&gt;=13,D206&lt;=19,B206&gt;=17,B206&lt;=32.5),"Mid Range","Economy"))</f>
      </c>
      <c r="G206" s="2"/>
      <c r="H206" s="2"/>
      <c r="I206" s="9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9"/>
      <c r="V206" s="2"/>
      <c r="W206" s="9"/>
      <c r="X206" s="9"/>
      <c r="Y206" s="9"/>
      <c r="Z206" s="9"/>
    </row>
    <row x14ac:dyDescent="0.25" r="207" customHeight="1" ht="18.75">
      <c r="A207" s="2" t="s">
        <v>206</v>
      </c>
      <c r="B207" s="3">
        <v>12</v>
      </c>
      <c r="C207" s="3">
        <v>160</v>
      </c>
      <c r="D207" s="11">
        <v>13.5</v>
      </c>
      <c r="E207" s="3">
        <v>72</v>
      </c>
      <c r="F207" s="38">
        <f>IF(AND(C207&gt;100,D207&lt;13,B207&gt;32.5),"High Performance",IF(AND(C207&lt;= 100,C207&gt;=60,D207&gt;=13,D207&lt;=19,B207&gt;=17,B207&lt;=32.5),"Mid Range","Economy"))</f>
      </c>
      <c r="G207" s="2"/>
      <c r="H207" s="2"/>
      <c r="I207" s="9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9"/>
      <c r="V207" s="2"/>
      <c r="W207" s="9"/>
      <c r="X207" s="9"/>
      <c r="Y207" s="9"/>
      <c r="Z207" s="9"/>
    </row>
    <row x14ac:dyDescent="0.25" r="208" customHeight="1" ht="18.75">
      <c r="A208" s="2" t="s">
        <v>207</v>
      </c>
      <c r="B208" s="3">
        <v>13</v>
      </c>
      <c r="C208" s="3">
        <v>155</v>
      </c>
      <c r="D208" s="11">
        <v>13.5</v>
      </c>
      <c r="E208" s="3">
        <v>72</v>
      </c>
      <c r="F208" s="38">
        <f>IF(AND(C208&gt;100,D208&lt;13,B208&gt;32.5),"High Performance",IF(AND(C208&lt;= 100,C208&gt;=60,D208&gt;=13,D208&lt;=19,B208&gt;=17,B208&lt;=32.5),"Mid Range","Economy"))</f>
      </c>
      <c r="G208" s="2"/>
      <c r="H208" s="2"/>
      <c r="I208" s="9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9"/>
      <c r="V208" s="2"/>
      <c r="W208" s="9"/>
      <c r="X208" s="9"/>
      <c r="Y208" s="9"/>
      <c r="Z208" s="9"/>
    </row>
    <row x14ac:dyDescent="0.25" r="209" customHeight="1" ht="18.75">
      <c r="A209" s="2" t="s">
        <v>208</v>
      </c>
      <c r="B209" s="3">
        <v>13</v>
      </c>
      <c r="C209" s="3">
        <v>140</v>
      </c>
      <c r="D209" s="3">
        <v>16</v>
      </c>
      <c r="E209" s="3">
        <v>72</v>
      </c>
      <c r="F209" s="38">
        <f>IF(AND(C209&gt;100,D209&lt;13,B209&gt;32.5),"High Performance",IF(AND(C209&lt;= 100,C209&gt;=60,D209&gt;=13,D209&lt;=19,B209&gt;=17,B209&lt;=32.5),"Mid Range","Economy"))</f>
      </c>
      <c r="G209" s="2"/>
      <c r="H209" s="2"/>
      <c r="I209" s="9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9"/>
      <c r="V209" s="2"/>
      <c r="W209" s="9"/>
      <c r="X209" s="9"/>
      <c r="Y209" s="9"/>
      <c r="Z209" s="9"/>
    </row>
    <row x14ac:dyDescent="0.25" r="210" customHeight="1" ht="18.75">
      <c r="A210" s="2" t="s">
        <v>209</v>
      </c>
      <c r="B210" s="3">
        <v>13</v>
      </c>
      <c r="C210" s="3">
        <v>130</v>
      </c>
      <c r="D210" s="3">
        <v>14</v>
      </c>
      <c r="E210" s="3">
        <v>72</v>
      </c>
      <c r="F210" s="38">
        <f>IF(AND(C210&gt;100,D210&lt;13,B210&gt;32.5),"High Performance",IF(AND(C210&lt;= 100,C210&gt;=60,D210&gt;=13,D210&lt;=19,B210&gt;=17,B210&lt;=32.5),"Mid Range","Economy"))</f>
      </c>
      <c r="G210" s="2"/>
      <c r="H210" s="2"/>
      <c r="I210" s="9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9"/>
      <c r="V210" s="2"/>
      <c r="W210" s="9"/>
      <c r="X210" s="9"/>
      <c r="Y210" s="9"/>
      <c r="Z210" s="9"/>
    </row>
    <row x14ac:dyDescent="0.25" r="211" customHeight="1" ht="18.75">
      <c r="A211" s="2" t="s">
        <v>185</v>
      </c>
      <c r="B211" s="3">
        <v>19</v>
      </c>
      <c r="C211" s="3">
        <v>85</v>
      </c>
      <c r="D211" s="11">
        <v>18.5</v>
      </c>
      <c r="E211" s="3">
        <v>73</v>
      </c>
      <c r="F211" s="38">
        <f>IF(AND(C211&gt;100,D211&lt;13,B211&gt;32.5),"High Performance",IF(AND(C211&lt;= 100,C211&gt;=60,D211&gt;=13,D211&lt;=19,B211&gt;=17,B211&lt;=32.5),"Mid Range","Economy"))</f>
      </c>
      <c r="G211" s="2"/>
      <c r="H211" s="2"/>
      <c r="I211" s="9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9"/>
      <c r="V211" s="2"/>
      <c r="W211" s="9"/>
      <c r="X211" s="9"/>
      <c r="Y211" s="9"/>
      <c r="Z211" s="9"/>
    </row>
    <row x14ac:dyDescent="0.25" r="212" customHeight="1" ht="18.75">
      <c r="A212" s="2" t="s">
        <v>198</v>
      </c>
      <c r="B212" s="3">
        <v>21</v>
      </c>
      <c r="C212" s="3">
        <v>72</v>
      </c>
      <c r="D212" s="11">
        <v>19.5</v>
      </c>
      <c r="E212" s="3">
        <v>73</v>
      </c>
      <c r="F212" s="38">
        <f>IF(AND(C212&gt;100,D212&lt;13,B212&gt;32.5),"High Performance",IF(AND(C212&lt;= 100,C212&gt;=60,D212&gt;=13,D212&lt;=19,B212&gt;=17,B212&lt;=32.5),"Mid Range","Economy"))</f>
      </c>
      <c r="G212" s="2"/>
      <c r="H212" s="2"/>
      <c r="I212" s="9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9"/>
      <c r="V212" s="2"/>
      <c r="W212" s="9"/>
      <c r="X212" s="9"/>
      <c r="Y212" s="9"/>
      <c r="Z212" s="9"/>
    </row>
    <row x14ac:dyDescent="0.25" r="213" customHeight="1" ht="18.75">
      <c r="A213" s="2" t="s">
        <v>210</v>
      </c>
      <c r="B213" s="3">
        <v>21</v>
      </c>
      <c r="C213" s="3">
        <v>107</v>
      </c>
      <c r="D213" s="3">
        <v>14</v>
      </c>
      <c r="E213" s="3">
        <v>73</v>
      </c>
      <c r="F213" s="38">
        <f>IF(AND(C213&gt;100,D213&lt;13,B213&gt;32.5),"High Performance",IF(AND(C213&lt;= 100,C213&gt;=60,D213&gt;=13,D213&lt;=19,B213&gt;=17,B213&lt;=32.5),"Mid Range","Economy"))</f>
      </c>
      <c r="G213" s="2"/>
      <c r="H213" s="2"/>
      <c r="I213" s="9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9"/>
      <c r="V213" s="2"/>
      <c r="W213" s="9"/>
      <c r="X213" s="9"/>
      <c r="Y213" s="9"/>
      <c r="Z213" s="9"/>
    </row>
    <row x14ac:dyDescent="0.25" r="214" customHeight="1" ht="18.75">
      <c r="A214" s="2" t="s">
        <v>160</v>
      </c>
      <c r="B214" s="3">
        <v>18</v>
      </c>
      <c r="C214" s="3">
        <v>100</v>
      </c>
      <c r="D214" s="3">
        <v>15</v>
      </c>
      <c r="E214" s="3">
        <v>73</v>
      </c>
      <c r="F214" s="38">
        <f>IF(AND(C214&gt;100,D214&lt;13,B214&gt;32.5),"High Performance",IF(AND(C214&lt;= 100,C214&gt;=60,D214&gt;=13,D214&lt;=19,B214&gt;=17,B214&lt;=32.5),"Mid Range","Economy"))</f>
      </c>
      <c r="G214" s="2"/>
      <c r="H214" s="2"/>
      <c r="I214" s="9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9"/>
      <c r="V214" s="2"/>
      <c r="W214" s="9"/>
      <c r="X214" s="9"/>
      <c r="Y214" s="9"/>
      <c r="Z214" s="9"/>
    </row>
    <row x14ac:dyDescent="0.25" r="215" customHeight="1" ht="18.75">
      <c r="A215" s="2" t="s">
        <v>159</v>
      </c>
      <c r="B215" s="3">
        <v>18</v>
      </c>
      <c r="C215" s="3">
        <v>100</v>
      </c>
      <c r="D215" s="3">
        <v>16</v>
      </c>
      <c r="E215" s="3">
        <v>73</v>
      </c>
      <c r="F215" s="38">
        <f>IF(AND(C215&gt;100,D215&lt;13,B215&gt;32.5),"High Performance",IF(AND(C215&lt;= 100,C215&gt;=60,D215&gt;=13,D215&lt;=19,B215&gt;=17,B215&lt;=32.5),"Mid Range","Economy"))</f>
      </c>
      <c r="G215" s="2"/>
      <c r="H215" s="2"/>
      <c r="I215" s="9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9"/>
      <c r="V215" s="2"/>
      <c r="W215" s="9"/>
      <c r="X215" s="9"/>
      <c r="Y215" s="9"/>
      <c r="Z215" s="9"/>
    </row>
    <row x14ac:dyDescent="0.25" r="216" customHeight="1" ht="18.75">
      <c r="A216" s="2" t="s">
        <v>211</v>
      </c>
      <c r="B216" s="3">
        <v>18</v>
      </c>
      <c r="C216" s="3">
        <v>105</v>
      </c>
      <c r="D216" s="11">
        <v>16.5</v>
      </c>
      <c r="E216" s="3">
        <v>73</v>
      </c>
      <c r="F216" s="38">
        <f>IF(AND(C216&gt;100,D216&lt;13,B216&gt;32.5),"High Performance",IF(AND(C216&lt;= 100,C216&gt;=60,D216&gt;=13,D216&lt;=19,B216&gt;=17,B216&lt;=32.5),"Mid Range","Economy"))</f>
      </c>
      <c r="G216" s="2"/>
      <c r="H216" s="2"/>
      <c r="I216" s="9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9"/>
      <c r="V216" s="2"/>
      <c r="W216" s="9"/>
      <c r="X216" s="9"/>
      <c r="Y216" s="9"/>
      <c r="Z216" s="9"/>
    </row>
    <row x14ac:dyDescent="0.25" r="217" customHeight="1" ht="18.75">
      <c r="A217" s="2" t="s">
        <v>161</v>
      </c>
      <c r="B217" s="3">
        <v>23</v>
      </c>
      <c r="C217" s="3">
        <v>95</v>
      </c>
      <c r="D217" s="3">
        <v>16</v>
      </c>
      <c r="E217" s="3">
        <v>73</v>
      </c>
      <c r="F217" s="38">
        <f>IF(AND(C217&gt;100,D217&lt;13,B217&gt;32.5),"High Performance",IF(AND(C217&lt;= 100,C217&gt;=60,D217&gt;=13,D217&lt;=19,B217&gt;=17,B217&lt;=32.5),"Mid Range","Economy"))</f>
      </c>
      <c r="G217" s="2"/>
      <c r="H217" s="2"/>
      <c r="I217" s="9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9"/>
      <c r="V217" s="2"/>
      <c r="W217" s="9"/>
      <c r="X217" s="9"/>
      <c r="Y217" s="9"/>
      <c r="Z217" s="9"/>
    </row>
    <row x14ac:dyDescent="0.25" r="218" customHeight="1" ht="18.75">
      <c r="A218" s="2" t="s">
        <v>212</v>
      </c>
      <c r="B218" s="3">
        <v>16</v>
      </c>
      <c r="C218" s="3">
        <v>100</v>
      </c>
      <c r="D218" s="3">
        <v>18</v>
      </c>
      <c r="E218" s="3">
        <v>73</v>
      </c>
      <c r="F218" s="38">
        <f>IF(AND(C218&gt;100,D218&lt;13,B218&gt;32.5),"High Performance",IF(AND(C218&lt;= 100,C218&gt;=60,D218&gt;=13,D218&lt;=19,B218&gt;=17,B218&lt;=32.5),"Mid Range","Economy"))</f>
      </c>
      <c r="G218" s="2"/>
      <c r="H218" s="2"/>
      <c r="I218" s="9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9"/>
      <c r="V218" s="2"/>
      <c r="W218" s="9"/>
      <c r="X218" s="9"/>
      <c r="Y218" s="9"/>
      <c r="Z218" s="9"/>
    </row>
    <row x14ac:dyDescent="0.25" r="219" customHeight="1" ht="18.75">
      <c r="A219" s="2" t="s">
        <v>162</v>
      </c>
      <c r="B219" s="3">
        <v>18</v>
      </c>
      <c r="C219" s="3">
        <v>88</v>
      </c>
      <c r="D219" s="11">
        <v>16.5</v>
      </c>
      <c r="E219" s="3">
        <v>73</v>
      </c>
      <c r="F219" s="38">
        <f>IF(AND(C219&gt;100,D219&lt;13,B219&gt;32.5),"High Performance",IF(AND(C219&lt;= 100,C219&gt;=60,D219&gt;=13,D219&lt;=19,B219&gt;=17,B219&lt;=32.5),"Mid Range","Economy"))</f>
      </c>
      <c r="G219" s="2"/>
      <c r="H219" s="2"/>
      <c r="I219" s="9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9"/>
      <c r="V219" s="2"/>
      <c r="W219" s="9"/>
      <c r="X219" s="9"/>
      <c r="Y219" s="9"/>
      <c r="Z219" s="9"/>
    </row>
    <row x14ac:dyDescent="0.25" r="220" customHeight="1" ht="18.75">
      <c r="A220" s="2" t="s">
        <v>213</v>
      </c>
      <c r="B220" s="3">
        <v>16</v>
      </c>
      <c r="C220" s="3">
        <v>230</v>
      </c>
      <c r="D220" s="11">
        <v>9.5</v>
      </c>
      <c r="E220" s="3">
        <v>73</v>
      </c>
      <c r="F220" s="38">
        <f>IF(AND(C220&gt;100,D220&lt;13,B220&gt;32.5),"High Performance",IF(AND(C220&lt;= 100,C220&gt;=60,D220&gt;=13,D220&lt;=19,B220&gt;=17,B220&lt;=32.5),"Mid Range","Economy"))</f>
      </c>
      <c r="G220" s="2"/>
      <c r="H220" s="2"/>
      <c r="I220" s="9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9"/>
      <c r="V220" s="2"/>
      <c r="W220" s="9"/>
      <c r="X220" s="9"/>
      <c r="Y220" s="9"/>
      <c r="Z220" s="9"/>
    </row>
    <row x14ac:dyDescent="0.25" r="221" customHeight="1" ht="18.75">
      <c r="A221" s="2" t="s">
        <v>214</v>
      </c>
      <c r="B221" s="3">
        <v>11</v>
      </c>
      <c r="C221" s="3">
        <v>180</v>
      </c>
      <c r="D221" s="3">
        <v>11</v>
      </c>
      <c r="E221" s="3">
        <v>73</v>
      </c>
      <c r="F221" s="38">
        <f>IF(AND(C221&gt;100,D221&lt;13,B221&gt;32.5),"High Performance",IF(AND(C221&lt;= 100,C221&gt;=60,D221&gt;=13,D221&lt;=19,B221&gt;=17,B221&lt;=32.5),"Mid Range","Economy"))</f>
      </c>
      <c r="G221" s="2"/>
      <c r="H221" s="2"/>
      <c r="I221" s="9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9"/>
      <c r="V221" s="2"/>
      <c r="W221" s="9"/>
      <c r="X221" s="9"/>
      <c r="Y221" s="9"/>
      <c r="Z221" s="9"/>
    </row>
    <row x14ac:dyDescent="0.25" r="222" customHeight="1" ht="18.75">
      <c r="A222" s="2" t="s">
        <v>215</v>
      </c>
      <c r="B222" s="3">
        <v>13</v>
      </c>
      <c r="C222" s="3">
        <v>175</v>
      </c>
      <c r="D222" s="3">
        <v>11</v>
      </c>
      <c r="E222" s="3">
        <v>73</v>
      </c>
      <c r="F222" s="38">
        <f>IF(AND(C222&gt;100,D222&lt;13,B222&gt;32.5),"High Performance",IF(AND(C222&lt;= 100,C222&gt;=60,D222&gt;=13,D222&lt;=19,B222&gt;=17,B222&lt;=32.5),"Mid Range","Economy"))</f>
      </c>
      <c r="G222" s="2"/>
      <c r="H222" s="2"/>
      <c r="I222" s="9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9"/>
      <c r="V222" s="2"/>
      <c r="W222" s="9"/>
      <c r="X222" s="9"/>
      <c r="Y222" s="9"/>
      <c r="Z222" s="9"/>
    </row>
    <row x14ac:dyDescent="0.25" r="223" customHeight="1" ht="18.75">
      <c r="A223" s="2" t="s">
        <v>216</v>
      </c>
      <c r="B223" s="3">
        <v>12</v>
      </c>
      <c r="C223" s="3">
        <v>225</v>
      </c>
      <c r="D223" s="3">
        <v>11</v>
      </c>
      <c r="E223" s="3">
        <v>73</v>
      </c>
      <c r="F223" s="38">
        <f>IF(AND(C223&gt;100,D223&lt;13,B223&gt;32.5),"High Performance",IF(AND(C223&lt;= 100,C223&gt;=60,D223&gt;=13,D223&lt;=19,B223&gt;=17,B223&lt;=32.5),"Mid Range","Economy"))</f>
      </c>
      <c r="G223" s="2"/>
      <c r="H223" s="2"/>
      <c r="I223" s="9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9"/>
      <c r="V223" s="2"/>
      <c r="W223" s="9"/>
      <c r="X223" s="9"/>
      <c r="Y223" s="9"/>
      <c r="Z223" s="9"/>
    </row>
    <row x14ac:dyDescent="0.25" r="224" customHeight="1" ht="18.75">
      <c r="A224" s="2" t="s">
        <v>217</v>
      </c>
      <c r="B224" s="3">
        <v>13</v>
      </c>
      <c r="C224" s="3">
        <v>215</v>
      </c>
      <c r="D224" s="3">
        <v>11</v>
      </c>
      <c r="E224" s="3">
        <v>73</v>
      </c>
      <c r="F224" s="38">
        <f>IF(AND(C224&gt;100,D224&lt;13,B224&gt;32.5),"High Performance",IF(AND(C224&lt;= 100,C224&gt;=60,D224&gt;=13,D224&lt;=19,B224&gt;=17,B224&lt;=32.5),"Mid Range","Economy"))</f>
      </c>
      <c r="G224" s="2"/>
      <c r="H224" s="2"/>
      <c r="I224" s="9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9"/>
      <c r="V224" s="2"/>
      <c r="W224" s="9"/>
      <c r="X224" s="9"/>
      <c r="Y224" s="9"/>
      <c r="Z224" s="9"/>
    </row>
    <row x14ac:dyDescent="0.25" r="225" customHeight="1" ht="18.75">
      <c r="A225" s="2" t="s">
        <v>218</v>
      </c>
      <c r="B225" s="3">
        <v>15</v>
      </c>
      <c r="C225" s="3">
        <v>150</v>
      </c>
      <c r="D225" s="3">
        <v>11</v>
      </c>
      <c r="E225" s="3">
        <v>73</v>
      </c>
      <c r="F225" s="38">
        <f>IF(AND(C225&gt;100,D225&lt;13,B225&gt;32.5),"High Performance",IF(AND(C225&lt;= 100,C225&gt;=60,D225&gt;=13,D225&lt;=19,B225&gt;=17,B225&lt;=32.5),"Mid Range","Economy"))</f>
      </c>
      <c r="G225" s="2"/>
      <c r="H225" s="2"/>
      <c r="I225" s="9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9"/>
      <c r="V225" s="2"/>
      <c r="W225" s="9"/>
      <c r="X225" s="9"/>
      <c r="Y225" s="9"/>
      <c r="Z225" s="9"/>
    </row>
    <row x14ac:dyDescent="0.25" r="226" customHeight="1" ht="18.75">
      <c r="A226" s="2" t="s">
        <v>219</v>
      </c>
      <c r="B226" s="3">
        <v>13</v>
      </c>
      <c r="C226" s="3">
        <v>175</v>
      </c>
      <c r="D226" s="3">
        <v>13</v>
      </c>
      <c r="E226" s="3">
        <v>73</v>
      </c>
      <c r="F226" s="38">
        <f>IF(AND(C226&gt;100,D226&lt;13,B226&gt;32.5),"High Performance",IF(AND(C226&lt;= 100,C226&gt;=60,D226&gt;=13,D226&lt;=19,B226&gt;=17,B226&lt;=32.5),"Mid Range","Economy"))</f>
      </c>
      <c r="G226" s="2"/>
      <c r="H226" s="2"/>
      <c r="I226" s="9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9"/>
      <c r="V226" s="2"/>
      <c r="W226" s="9"/>
      <c r="X226" s="9"/>
      <c r="Y226" s="9"/>
      <c r="Z226" s="9"/>
    </row>
    <row x14ac:dyDescent="0.25" r="227" customHeight="1" ht="18.75">
      <c r="A227" s="2" t="s">
        <v>189</v>
      </c>
      <c r="B227" s="3">
        <v>14</v>
      </c>
      <c r="C227" s="3">
        <v>150</v>
      </c>
      <c r="D227" s="11">
        <v>11.5</v>
      </c>
      <c r="E227" s="3">
        <v>73</v>
      </c>
      <c r="F227" s="38">
        <f>IF(AND(C227&gt;100,D227&lt;13,B227&gt;32.5),"High Performance",IF(AND(C227&lt;= 100,C227&gt;=60,D227&gt;=13,D227&lt;=19,B227&gt;=17,B227&lt;=32.5),"Mid Range","Economy"))</f>
      </c>
      <c r="G227" s="2"/>
      <c r="H227" s="2"/>
      <c r="I227" s="9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9"/>
      <c r="V227" s="2"/>
      <c r="W227" s="9"/>
      <c r="X227" s="9"/>
      <c r="Y227" s="9"/>
      <c r="Z227" s="9"/>
    </row>
    <row x14ac:dyDescent="0.25" r="228" customHeight="1" ht="18.75">
      <c r="A228" s="2" t="s">
        <v>220</v>
      </c>
      <c r="B228" s="3">
        <v>12</v>
      </c>
      <c r="C228" s="3">
        <v>198</v>
      </c>
      <c r="D228" s="11">
        <v>11.5</v>
      </c>
      <c r="E228" s="3">
        <v>73</v>
      </c>
      <c r="F228" s="38">
        <f>IF(AND(C228&gt;100,D228&lt;13,B228&gt;32.5),"High Performance",IF(AND(C228&lt;= 100,C228&gt;=60,D228&gt;=13,D228&lt;=19,B228&gt;=17,B228&lt;=32.5),"Mid Range","Economy"))</f>
      </c>
      <c r="G228" s="2"/>
      <c r="H228" s="2"/>
      <c r="I228" s="9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9"/>
      <c r="V228" s="2"/>
      <c r="W228" s="9"/>
      <c r="X228" s="9"/>
      <c r="Y228" s="9"/>
      <c r="Z228" s="9"/>
    </row>
    <row x14ac:dyDescent="0.25" r="229" customHeight="1" ht="18.75">
      <c r="A229" s="2" t="s">
        <v>221</v>
      </c>
      <c r="B229" s="3">
        <v>12</v>
      </c>
      <c r="C229" s="3">
        <v>180</v>
      </c>
      <c r="D229" s="11">
        <v>12.5</v>
      </c>
      <c r="E229" s="3">
        <v>73</v>
      </c>
      <c r="F229" s="38">
        <f>IF(AND(C229&gt;100,D229&lt;13,B229&gt;32.5),"High Performance",IF(AND(C229&lt;= 100,C229&gt;=60,D229&gt;=13,D229&lt;=19,B229&gt;=17,B229&lt;=32.5),"Mid Range","Economy"))</f>
      </c>
      <c r="G229" s="2"/>
      <c r="H229" s="2"/>
      <c r="I229" s="9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9"/>
      <c r="V229" s="2"/>
      <c r="W229" s="9"/>
      <c r="X229" s="9"/>
      <c r="Y229" s="9"/>
      <c r="Z229" s="9"/>
    </row>
    <row x14ac:dyDescent="0.25" r="230" customHeight="1" ht="18.75">
      <c r="A230" s="2" t="s">
        <v>222</v>
      </c>
      <c r="B230" s="3">
        <v>15</v>
      </c>
      <c r="C230" s="3">
        <v>150</v>
      </c>
      <c r="D230" s="11">
        <v>12.5</v>
      </c>
      <c r="E230" s="3">
        <v>73</v>
      </c>
      <c r="F230" s="38">
        <f>IF(AND(C230&gt;100,D230&lt;13,B230&gt;32.5),"High Performance",IF(AND(C230&lt;= 100,C230&gt;=60,D230&gt;=13,D230&lt;=19,B230&gt;=17,B230&lt;=32.5),"Mid Range","Economy"))</f>
      </c>
      <c r="G230" s="2"/>
      <c r="H230" s="2"/>
      <c r="I230" s="9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9"/>
      <c r="V230" s="2"/>
      <c r="W230" s="9"/>
      <c r="X230" s="9"/>
      <c r="Y230" s="9"/>
      <c r="Z230" s="9"/>
    </row>
    <row x14ac:dyDescent="0.25" r="231" customHeight="1" ht="18.75">
      <c r="A231" s="2" t="s">
        <v>223</v>
      </c>
      <c r="B231" s="3">
        <v>13</v>
      </c>
      <c r="C231" s="3">
        <v>170</v>
      </c>
      <c r="D231" s="3">
        <v>13</v>
      </c>
      <c r="E231" s="3">
        <v>73</v>
      </c>
      <c r="F231" s="38">
        <f>IF(AND(C231&gt;100,D231&lt;13,B231&gt;32.5),"High Performance",IF(AND(C231&lt;= 100,C231&gt;=60,D231&gt;=13,D231&lt;=19,B231&gt;=17,B231&lt;=32.5),"Mid Range","Economy"))</f>
      </c>
      <c r="G231" s="2"/>
      <c r="H231" s="2"/>
      <c r="I231" s="9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9"/>
      <c r="V231" s="2"/>
      <c r="W231" s="9"/>
      <c r="X231" s="9"/>
      <c r="Y231" s="9"/>
      <c r="Z231" s="9"/>
    </row>
    <row x14ac:dyDescent="0.25" r="232" customHeight="1" ht="18.75">
      <c r="A232" s="2" t="s">
        <v>224</v>
      </c>
      <c r="B232" s="3">
        <v>13</v>
      </c>
      <c r="C232" s="3">
        <v>145</v>
      </c>
      <c r="D232" s="3">
        <v>13</v>
      </c>
      <c r="E232" s="3">
        <v>73</v>
      </c>
      <c r="F232" s="38">
        <f>IF(AND(C232&gt;100,D232&lt;13,B232&gt;32.5),"High Performance",IF(AND(C232&lt;= 100,C232&gt;=60,D232&gt;=13,D232&lt;=19,B232&gt;=17,B232&lt;=32.5),"Mid Range","Economy"))</f>
      </c>
      <c r="G232" s="2"/>
      <c r="H232" s="2"/>
      <c r="I232" s="9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9"/>
      <c r="V232" s="2"/>
      <c r="W232" s="9"/>
      <c r="X232" s="9"/>
      <c r="Y232" s="9"/>
      <c r="Z232" s="9"/>
    </row>
    <row x14ac:dyDescent="0.25" r="233" customHeight="1" ht="18.75">
      <c r="A233" s="2" t="s">
        <v>225</v>
      </c>
      <c r="B233" s="3">
        <v>13</v>
      </c>
      <c r="C233" s="3">
        <v>158</v>
      </c>
      <c r="D233" s="3">
        <v>13</v>
      </c>
      <c r="E233" s="3">
        <v>73</v>
      </c>
      <c r="F233" s="38">
        <f>IF(AND(C233&gt;100,D233&lt;13,B233&gt;32.5),"High Performance",IF(AND(C233&lt;= 100,C233&gt;=60,D233&gt;=13,D233&lt;=19,B233&gt;=17,B233&lt;=32.5),"Mid Range","Economy"))</f>
      </c>
      <c r="G233" s="2"/>
      <c r="H233" s="2"/>
      <c r="I233" s="9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9"/>
      <c r="V233" s="2"/>
      <c r="W233" s="9"/>
      <c r="X233" s="9"/>
      <c r="Y233" s="9"/>
      <c r="Z233" s="9"/>
    </row>
    <row x14ac:dyDescent="0.25" r="234" customHeight="1" ht="18.75">
      <c r="A234" s="2" t="s">
        <v>226</v>
      </c>
      <c r="B234" s="3">
        <v>15</v>
      </c>
      <c r="C234" s="3">
        <v>145</v>
      </c>
      <c r="D234" s="3">
        <v>13</v>
      </c>
      <c r="E234" s="3">
        <v>73</v>
      </c>
      <c r="F234" s="38">
        <f>IF(AND(C234&gt;100,D234&lt;13,B234&gt;32.5),"High Performance",IF(AND(C234&lt;= 100,C234&gt;=60,D234&gt;=13,D234&lt;=19,B234&gt;=17,B234&lt;=32.5),"Mid Range","Economy"))</f>
      </c>
      <c r="G234" s="2"/>
      <c r="H234" s="2"/>
      <c r="I234" s="9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9"/>
      <c r="V234" s="2"/>
      <c r="W234" s="9"/>
      <c r="X234" s="9"/>
      <c r="Y234" s="9"/>
      <c r="Z234" s="9"/>
    </row>
    <row x14ac:dyDescent="0.25" r="235" customHeight="1" ht="18.75">
      <c r="A235" s="2" t="s">
        <v>227</v>
      </c>
      <c r="B235" s="3">
        <v>14</v>
      </c>
      <c r="C235" s="3">
        <v>150</v>
      </c>
      <c r="D235" s="11">
        <v>14.5</v>
      </c>
      <c r="E235" s="3">
        <v>73</v>
      </c>
      <c r="F235" s="38">
        <f>IF(AND(C235&gt;100,D235&lt;13,B235&gt;32.5),"High Performance",IF(AND(C235&lt;= 100,C235&gt;=60,D235&gt;=13,D235&lt;=19,B235&gt;=17,B235&lt;=32.5),"Mid Range","Economy"))</f>
      </c>
      <c r="G235" s="2"/>
      <c r="H235" s="2"/>
      <c r="I235" s="9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9"/>
      <c r="V235" s="2"/>
      <c r="W235" s="9"/>
      <c r="X235" s="9"/>
      <c r="Y235" s="9"/>
      <c r="Z235" s="9"/>
    </row>
    <row x14ac:dyDescent="0.25" r="236" customHeight="1" ht="18.75">
      <c r="A236" s="2" t="s">
        <v>228</v>
      </c>
      <c r="B236" s="3">
        <v>12</v>
      </c>
      <c r="C236" s="3">
        <v>167</v>
      </c>
      <c r="D236" s="11">
        <v>12.5</v>
      </c>
      <c r="E236" s="3">
        <v>73</v>
      </c>
      <c r="F236" s="38">
        <f>IF(AND(C236&gt;100,D236&lt;13,B236&gt;32.5),"High Performance",IF(AND(C236&lt;= 100,C236&gt;=60,D236&gt;=13,D236&lt;=19,B236&gt;=17,B236&lt;=32.5),"Mid Range","Economy"))</f>
      </c>
      <c r="G236" s="2"/>
      <c r="H236" s="2"/>
      <c r="I236" s="9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9"/>
      <c r="V236" s="2"/>
      <c r="W236" s="9"/>
      <c r="X236" s="9"/>
      <c r="Y236" s="9"/>
      <c r="Z236" s="9"/>
    </row>
    <row x14ac:dyDescent="0.25" r="237" customHeight="1" ht="18.75">
      <c r="A237" s="2" t="s">
        <v>229</v>
      </c>
      <c r="B237" s="3">
        <v>14</v>
      </c>
      <c r="C237" s="3">
        <v>137</v>
      </c>
      <c r="D237" s="11">
        <v>14.5</v>
      </c>
      <c r="E237" s="3">
        <v>73</v>
      </c>
      <c r="F237" s="38">
        <f>IF(AND(C237&gt;100,D237&lt;13,B237&gt;32.5),"High Performance",IF(AND(C237&lt;= 100,C237&gt;=60,D237&gt;=13,D237&lt;=19,B237&gt;=17,B237&lt;=32.5),"Mid Range","Economy"))</f>
      </c>
      <c r="G237" s="2"/>
      <c r="H237" s="2"/>
      <c r="I237" s="9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9"/>
      <c r="V237" s="2"/>
      <c r="W237" s="9"/>
      <c r="X237" s="9"/>
      <c r="Y237" s="9"/>
      <c r="Z237" s="9"/>
    </row>
    <row x14ac:dyDescent="0.25" r="238" customHeight="1" ht="18.75">
      <c r="A238" s="2" t="s">
        <v>230</v>
      </c>
      <c r="B238" s="3">
        <v>13</v>
      </c>
      <c r="C238" s="3">
        <v>150</v>
      </c>
      <c r="D238" s="3">
        <v>12</v>
      </c>
      <c r="E238" s="3">
        <v>73</v>
      </c>
      <c r="F238" s="38">
        <f>IF(AND(C238&gt;100,D238&lt;13,B238&gt;32.5),"High Performance",IF(AND(C238&lt;= 100,C238&gt;=60,D238&gt;=13,D238&lt;=19,B238&gt;=17,B238&lt;=32.5),"Mid Range","Economy"))</f>
      </c>
      <c r="G238" s="2"/>
      <c r="H238" s="2"/>
      <c r="I238" s="9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9"/>
      <c r="V238" s="2"/>
      <c r="W238" s="9"/>
      <c r="X238" s="9"/>
      <c r="Y238" s="9"/>
      <c r="Z238" s="9"/>
    </row>
    <row x14ac:dyDescent="0.25" r="239" customHeight="1" ht="18.75">
      <c r="A239" s="2" t="s">
        <v>165</v>
      </c>
      <c r="B239" s="3">
        <v>11</v>
      </c>
      <c r="C239" s="3">
        <v>150</v>
      </c>
      <c r="D239" s="3">
        <v>14</v>
      </c>
      <c r="E239" s="3">
        <v>73</v>
      </c>
      <c r="F239" s="38">
        <f>IF(AND(C239&gt;100,D239&lt;13,B239&gt;32.5),"High Performance",IF(AND(C239&lt;= 100,C239&gt;=60,D239&gt;=13,D239&lt;=19,B239&gt;=17,B239&lt;=32.5),"Mid Range","Economy"))</f>
      </c>
      <c r="G239" s="2"/>
      <c r="H239" s="2"/>
      <c r="I239" s="9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9"/>
      <c r="V239" s="2"/>
      <c r="W239" s="9"/>
      <c r="X239" s="9"/>
      <c r="Y239" s="9"/>
      <c r="Z239" s="9"/>
    </row>
    <row x14ac:dyDescent="0.25" r="240" customHeight="1" ht="18.75">
      <c r="A240" s="2" t="s">
        <v>231</v>
      </c>
      <c r="B240" s="3">
        <v>28</v>
      </c>
      <c r="C240" s="3">
        <v>75</v>
      </c>
      <c r="D240" s="11">
        <v>14.5</v>
      </c>
      <c r="E240" s="3">
        <v>74</v>
      </c>
      <c r="F240" s="38">
        <f>IF(AND(C240&gt;100,D240&lt;13,B240&gt;32.5),"High Performance",IF(AND(C240&lt;= 100,C240&gt;=60,D240&gt;=13,D240&lt;=19,B240&gt;=17,B240&lt;=32.5),"Mid Range","Economy"))</f>
      </c>
      <c r="G240" s="2"/>
      <c r="H240" s="2"/>
      <c r="I240" s="9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9"/>
      <c r="V240" s="2"/>
      <c r="W240" s="9"/>
      <c r="X240" s="9"/>
      <c r="Y240" s="9"/>
      <c r="Z240" s="9"/>
    </row>
    <row x14ac:dyDescent="0.25" r="241" customHeight="1" ht="18.75">
      <c r="A241" s="2" t="s">
        <v>185</v>
      </c>
      <c r="B241" s="3">
        <v>26</v>
      </c>
      <c r="C241" s="3">
        <v>80</v>
      </c>
      <c r="D241" s="11">
        <v>16.5</v>
      </c>
      <c r="E241" s="3">
        <v>74</v>
      </c>
      <c r="F241" s="38">
        <f>IF(AND(C241&gt;100,D241&lt;13,B241&gt;32.5),"High Performance",IF(AND(C241&lt;= 100,C241&gt;=60,D241&gt;=13,D241&lt;=19,B241&gt;=17,B241&lt;=32.5),"Mid Range","Economy"))</f>
      </c>
      <c r="G241" s="2"/>
      <c r="H241" s="2"/>
      <c r="I241" s="9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9"/>
      <c r="V241" s="2"/>
      <c r="W241" s="9"/>
      <c r="X241" s="9"/>
      <c r="Y241" s="9"/>
      <c r="Z241" s="9"/>
    </row>
    <row x14ac:dyDescent="0.25" r="242" customHeight="1" ht="18.75">
      <c r="A242" s="2" t="s">
        <v>198</v>
      </c>
      <c r="B242" s="3">
        <v>25</v>
      </c>
      <c r="C242" s="3">
        <v>75</v>
      </c>
      <c r="D242" s="3">
        <v>17</v>
      </c>
      <c r="E242" s="3">
        <v>74</v>
      </c>
      <c r="F242" s="38">
        <f>IF(AND(C242&gt;100,D242&lt;13,B242&gt;32.5),"High Performance",IF(AND(C242&lt;= 100,C242&gt;=60,D242&gt;=13,D242&lt;=19,B242&gt;=17,B242&lt;=32.5),"Mid Range","Economy"))</f>
      </c>
      <c r="G242" s="2"/>
      <c r="H242" s="2"/>
      <c r="I242" s="9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9"/>
      <c r="V242" s="2"/>
      <c r="W242" s="9"/>
      <c r="X242" s="9"/>
      <c r="Y242" s="9"/>
      <c r="Z242" s="9"/>
    </row>
    <row x14ac:dyDescent="0.25" r="243" customHeight="1" ht="18.75">
      <c r="A243" s="2" t="s">
        <v>159</v>
      </c>
      <c r="B243" s="3">
        <v>19</v>
      </c>
      <c r="C243" s="3">
        <v>100</v>
      </c>
      <c r="D243" s="3">
        <v>16</v>
      </c>
      <c r="E243" s="3">
        <v>74</v>
      </c>
      <c r="F243" s="38">
        <f>IF(AND(C243&gt;100,D243&lt;13,B243&gt;32.5),"High Performance",IF(AND(C243&lt;= 100,C243&gt;=60,D243&gt;=13,D243&lt;=19,B243&gt;=17,B243&lt;=32.5),"Mid Range","Economy"))</f>
      </c>
      <c r="G243" s="2"/>
      <c r="H243" s="2"/>
      <c r="I243" s="9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9"/>
      <c r="V243" s="2"/>
      <c r="W243" s="9"/>
      <c r="X243" s="9"/>
      <c r="Y243" s="9"/>
      <c r="Z243" s="9"/>
    </row>
    <row x14ac:dyDescent="0.25" r="244" customHeight="1" ht="18.75">
      <c r="A244" s="2" t="s">
        <v>161</v>
      </c>
      <c r="B244" s="3">
        <v>20</v>
      </c>
      <c r="C244" s="3">
        <v>95</v>
      </c>
      <c r="D244" s="11">
        <v>16.5</v>
      </c>
      <c r="E244" s="3">
        <v>74</v>
      </c>
      <c r="F244" s="38">
        <f>IF(AND(C244&gt;100,D244&lt;13,B244&gt;32.5),"High Performance",IF(AND(C244&lt;= 100,C244&gt;=60,D244&gt;=13,D244&lt;=19,B244&gt;=17,B244&lt;=32.5),"Mid Range","Economy"))</f>
      </c>
      <c r="G244" s="2"/>
      <c r="H244" s="2"/>
      <c r="I244" s="9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9"/>
      <c r="V244" s="2"/>
      <c r="W244" s="9"/>
      <c r="X244" s="9"/>
      <c r="Y244" s="9"/>
      <c r="Z244" s="9"/>
    </row>
    <row x14ac:dyDescent="0.25" r="245" customHeight="1" ht="18.75">
      <c r="A245" s="2" t="s">
        <v>189</v>
      </c>
      <c r="B245" s="3">
        <v>16</v>
      </c>
      <c r="C245" s="3">
        <v>110</v>
      </c>
      <c r="D245" s="3">
        <v>18</v>
      </c>
      <c r="E245" s="3">
        <v>74</v>
      </c>
      <c r="F245" s="38">
        <f>IF(AND(C245&gt;100,D245&lt;13,B245&gt;32.5),"High Performance",IF(AND(C245&lt;= 100,C245&gt;=60,D245&gt;=13,D245&lt;=19,B245&gt;=17,B245&lt;=32.5),"Mid Range","Economy"))</f>
      </c>
      <c r="G245" s="2"/>
      <c r="H245" s="2"/>
      <c r="I245" s="9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9"/>
      <c r="V245" s="2"/>
      <c r="W245" s="9"/>
      <c r="X245" s="9"/>
      <c r="Y245" s="9"/>
      <c r="Z245" s="9"/>
    </row>
    <row x14ac:dyDescent="0.25" r="246" customHeight="1" ht="18.75">
      <c r="A246" s="2" t="s">
        <v>232</v>
      </c>
      <c r="B246" s="3">
        <v>15</v>
      </c>
      <c r="C246" s="3">
        <v>100</v>
      </c>
      <c r="D246" s="3">
        <v>17</v>
      </c>
      <c r="E246" s="3">
        <v>74</v>
      </c>
      <c r="F246" s="38">
        <f>IF(AND(C246&gt;100,D246&lt;13,B246&gt;32.5),"High Performance",IF(AND(C246&lt;= 100,C246&gt;=60,D246&gt;=13,D246&lt;=19,B246&gt;=17,B246&lt;=32.5),"Mid Range","Economy"))</f>
      </c>
      <c r="G246" s="2"/>
      <c r="H246" s="2"/>
      <c r="I246" s="9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9"/>
      <c r="V246" s="2"/>
      <c r="W246" s="9"/>
      <c r="X246" s="9"/>
      <c r="Y246" s="9"/>
      <c r="Z246" s="9"/>
    </row>
    <row x14ac:dyDescent="0.25" r="247" customHeight="1" ht="18.75">
      <c r="A247" s="2" t="s">
        <v>233</v>
      </c>
      <c r="B247" s="3">
        <v>18</v>
      </c>
      <c r="C247" s="3">
        <v>105</v>
      </c>
      <c r="D247" s="11">
        <v>16.5</v>
      </c>
      <c r="E247" s="3">
        <v>74</v>
      </c>
      <c r="F247" s="38">
        <f>IF(AND(C247&gt;100,D247&lt;13,B247&gt;32.5),"High Performance",IF(AND(C247&lt;= 100,C247&gt;=60,D247&gt;=13,D247&lt;=19,B247&gt;=17,B247&lt;=32.5),"Mid Range","Economy"))</f>
      </c>
      <c r="G247" s="2"/>
      <c r="H247" s="2"/>
      <c r="I247" s="9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9"/>
      <c r="V247" s="2"/>
      <c r="W247" s="9"/>
      <c r="X247" s="9"/>
      <c r="Y247" s="9"/>
      <c r="Z247" s="9"/>
    </row>
    <row x14ac:dyDescent="0.25" r="248" customHeight="1" ht="18.75">
      <c r="A248" s="2" t="s">
        <v>234</v>
      </c>
      <c r="B248" s="3">
        <v>16</v>
      </c>
      <c r="C248" s="3">
        <v>100</v>
      </c>
      <c r="D248" s="3">
        <v>17</v>
      </c>
      <c r="E248" s="3">
        <v>74</v>
      </c>
      <c r="F248" s="38">
        <f>IF(AND(C248&gt;100,D248&lt;13,B248&gt;32.5),"High Performance",IF(AND(C248&lt;= 100,C248&gt;=60,D248&gt;=13,D248&lt;=19,B248&gt;=17,B248&lt;=32.5),"Mid Range","Economy"))</f>
      </c>
      <c r="G248" s="2"/>
      <c r="H248" s="2"/>
      <c r="I248" s="9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9"/>
      <c r="V248" s="2"/>
      <c r="W248" s="9"/>
      <c r="X248" s="9"/>
      <c r="Y248" s="9"/>
      <c r="Z248" s="9"/>
    </row>
    <row x14ac:dyDescent="0.25" r="249" customHeight="1" ht="18.75">
      <c r="A249" s="2" t="s">
        <v>162</v>
      </c>
      <c r="B249" s="3">
        <v>21</v>
      </c>
      <c r="C249" s="1"/>
      <c r="D249" s="3">
        <v>17</v>
      </c>
      <c r="E249" s="3">
        <v>74</v>
      </c>
      <c r="F249" s="38">
        <f>IF(AND(C249&gt;100,D249&lt;13,B249&gt;32.5),"High Performance",IF(AND(C249&lt;= 100,C249&gt;=60,D249&gt;=13,D249&lt;=19,B249&gt;=17,B249&lt;=32.5),"Mid Range","Economy"))</f>
      </c>
      <c r="G249" s="2"/>
      <c r="H249" s="2"/>
      <c r="I249" s="9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9"/>
      <c r="V249" s="2"/>
      <c r="W249" s="9"/>
      <c r="X249" s="9"/>
      <c r="Y249" s="9"/>
      <c r="Z249" s="9"/>
    </row>
    <row x14ac:dyDescent="0.25" r="250" customHeight="1" ht="18.75">
      <c r="A250" s="2" t="s">
        <v>204</v>
      </c>
      <c r="B250" s="3">
        <v>14</v>
      </c>
      <c r="C250" s="3">
        <v>150</v>
      </c>
      <c r="D250" s="11">
        <v>15.5</v>
      </c>
      <c r="E250" s="3">
        <v>74</v>
      </c>
      <c r="F250" s="38">
        <f>IF(AND(C250&gt;100,D250&lt;13,B250&gt;32.5),"High Performance",IF(AND(C250&lt;= 100,C250&gt;=60,D250&gt;=13,D250&lt;=19,B250&gt;=17,B250&lt;=32.5),"Mid Range","Economy"))</f>
      </c>
      <c r="G250" s="2"/>
      <c r="H250" s="2"/>
      <c r="I250" s="9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9"/>
      <c r="V250" s="2"/>
      <c r="W250" s="9"/>
      <c r="X250" s="9"/>
      <c r="Y250" s="9"/>
      <c r="Z250" s="9"/>
    </row>
    <row x14ac:dyDescent="0.25" r="251" customHeight="1" ht="18.75">
      <c r="A251" s="2" t="s">
        <v>229</v>
      </c>
      <c r="B251" s="3">
        <v>16</v>
      </c>
      <c r="C251" s="3">
        <v>140</v>
      </c>
      <c r="D251" s="3">
        <v>14</v>
      </c>
      <c r="E251" s="3">
        <v>74</v>
      </c>
      <c r="F251" s="38">
        <f>IF(AND(C251&gt;100,D251&lt;13,B251&gt;32.5),"High Performance",IF(AND(C251&lt;= 100,C251&gt;=60,D251&gt;=13,D251&lt;=19,B251&gt;=17,B251&lt;=32.5),"Mid Range","Economy"))</f>
      </c>
      <c r="G251" s="2"/>
      <c r="H251" s="2"/>
      <c r="I251" s="9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9"/>
      <c r="V251" s="2"/>
      <c r="W251" s="9"/>
      <c r="X251" s="9"/>
      <c r="Y251" s="9"/>
      <c r="Z251" s="9"/>
    </row>
    <row x14ac:dyDescent="0.25" r="252" customHeight="1" ht="18.75">
      <c r="A252" s="2" t="s">
        <v>235</v>
      </c>
      <c r="B252" s="3">
        <v>14</v>
      </c>
      <c r="C252" s="3">
        <v>150</v>
      </c>
      <c r="D252" s="11">
        <v>13.5</v>
      </c>
      <c r="E252" s="3">
        <v>74</v>
      </c>
      <c r="F252" s="38">
        <f>IF(AND(C252&gt;100,D252&lt;13,B252&gt;32.5),"High Performance",IF(AND(C252&lt;= 100,C252&gt;=60,D252&gt;=13,D252&lt;=19,B252&gt;=17,B252&lt;=32.5),"Mid Range","Economy"))</f>
      </c>
      <c r="G252" s="2"/>
      <c r="H252" s="2"/>
      <c r="I252" s="9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9"/>
      <c r="V252" s="2"/>
      <c r="W252" s="9"/>
      <c r="X252" s="9"/>
      <c r="Y252" s="9"/>
      <c r="Z252" s="9"/>
    </row>
    <row x14ac:dyDescent="0.25" r="253" customHeight="1" ht="18.75">
      <c r="A253" s="2" t="s">
        <v>236</v>
      </c>
      <c r="B253" s="3">
        <v>13</v>
      </c>
      <c r="C253" s="3">
        <v>150</v>
      </c>
      <c r="D253" s="11">
        <v>14.5</v>
      </c>
      <c r="E253" s="3">
        <v>74</v>
      </c>
      <c r="F253" s="38">
        <f>IF(AND(C253&gt;100,D253&lt;13,B253&gt;32.5),"High Performance",IF(AND(C253&lt;= 100,C253&gt;=60,D253&gt;=13,D253&lt;=19,B253&gt;=17,B253&lt;=32.5),"Mid Range","Economy"))</f>
      </c>
      <c r="G253" s="2"/>
      <c r="H253" s="2"/>
      <c r="I253" s="9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9"/>
      <c r="V253" s="2"/>
      <c r="W253" s="9"/>
      <c r="X253" s="9"/>
      <c r="Y253" s="9"/>
      <c r="Z253" s="9"/>
    </row>
    <row x14ac:dyDescent="0.25" r="254" customHeight="1" ht="18.75">
      <c r="A254" s="2" t="s">
        <v>208</v>
      </c>
      <c r="B254" s="3">
        <v>14</v>
      </c>
      <c r="C254" s="3">
        <v>140</v>
      </c>
      <c r="D254" s="3">
        <v>16</v>
      </c>
      <c r="E254" s="3">
        <v>74</v>
      </c>
      <c r="F254" s="38">
        <f>IF(AND(C254&gt;100,D254&lt;13,B254&gt;32.5),"High Performance",IF(AND(C254&lt;= 100,C254&gt;=60,D254&gt;=13,D254&lt;=19,B254&gt;=17,B254&lt;=32.5),"Mid Range","Economy"))</f>
      </c>
      <c r="G254" s="2"/>
      <c r="H254" s="2"/>
      <c r="I254" s="9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9"/>
      <c r="V254" s="2"/>
      <c r="W254" s="9"/>
      <c r="X254" s="9"/>
      <c r="Y254" s="9"/>
      <c r="Z254" s="9"/>
    </row>
    <row x14ac:dyDescent="0.25" r="255" customHeight="1" ht="18.75">
      <c r="A255" s="2" t="s">
        <v>185</v>
      </c>
      <c r="B255" s="3">
        <v>23</v>
      </c>
      <c r="C255" s="3">
        <v>83</v>
      </c>
      <c r="D255" s="3">
        <v>17</v>
      </c>
      <c r="E255" s="3">
        <v>75</v>
      </c>
      <c r="F255" s="38">
        <f>IF(AND(C255&gt;100,D255&lt;13,B255&gt;32.5),"High Performance",IF(AND(C255&lt;= 100,C255&gt;=60,D255&gt;=13,D255&lt;=19,B255&gt;=17,B255&lt;=32.5),"Mid Range","Economy"))</f>
      </c>
      <c r="G255" s="2"/>
      <c r="H255" s="2"/>
      <c r="I255" s="9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9"/>
      <c r="V255" s="2"/>
      <c r="W255" s="9"/>
      <c r="X255" s="9"/>
      <c r="Y255" s="9"/>
      <c r="Z255" s="9"/>
    </row>
    <row x14ac:dyDescent="0.25" r="256" customHeight="1" ht="18.75">
      <c r="A256" s="2" t="s">
        <v>237</v>
      </c>
      <c r="B256" s="3">
        <v>23</v>
      </c>
      <c r="C256" s="3">
        <v>78</v>
      </c>
      <c r="D256" s="11">
        <v>18.5</v>
      </c>
      <c r="E256" s="3">
        <v>75</v>
      </c>
      <c r="F256" s="38">
        <f>IF(AND(C256&gt;100,D256&lt;13,B256&gt;32.5),"High Performance",IF(AND(C256&lt;= 100,C256&gt;=60,D256&gt;=13,D256&lt;=19,B256&gt;=17,B256&lt;=32.5),"Mid Range","Economy"))</f>
      </c>
      <c r="G256" s="2"/>
      <c r="H256" s="2"/>
      <c r="I256" s="9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9"/>
      <c r="V256" s="2"/>
      <c r="W256" s="9"/>
      <c r="X256" s="9"/>
      <c r="Y256" s="9"/>
      <c r="Z256" s="9"/>
    </row>
    <row x14ac:dyDescent="0.25" r="257" customHeight="1" ht="18.75">
      <c r="A257" s="2" t="s">
        <v>238</v>
      </c>
      <c r="B257" s="3">
        <v>21</v>
      </c>
      <c r="C257" s="3">
        <v>110</v>
      </c>
      <c r="D257" s="3">
        <v>15</v>
      </c>
      <c r="E257" s="3">
        <v>75</v>
      </c>
      <c r="F257" s="38">
        <f>IF(AND(C257&gt;100,D257&lt;13,B257&gt;32.5),"High Performance",IF(AND(C257&lt;= 100,C257&gt;=60,D257&gt;=13,D257&lt;=19,B257&gt;=17,B257&lt;=32.5),"Mid Range","Economy"))</f>
      </c>
      <c r="G257" s="2"/>
      <c r="H257" s="2"/>
      <c r="I257" s="9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9"/>
      <c r="V257" s="2"/>
      <c r="W257" s="9"/>
      <c r="X257" s="9"/>
      <c r="Y257" s="9"/>
      <c r="Z257" s="9"/>
    </row>
    <row x14ac:dyDescent="0.25" r="258" customHeight="1" ht="18.75">
      <c r="A258" s="2" t="s">
        <v>160</v>
      </c>
      <c r="B258" s="3">
        <v>20</v>
      </c>
      <c r="C258" s="3">
        <v>100</v>
      </c>
      <c r="D258" s="3">
        <v>16</v>
      </c>
      <c r="E258" s="3">
        <v>75</v>
      </c>
      <c r="F258" s="38">
        <f>IF(AND(C258&gt;100,D258&lt;13,B258&gt;32.5),"High Performance",IF(AND(C258&lt;= 100,C258&gt;=60,D258&gt;=13,D258&lt;=19,B258&gt;=17,B258&lt;=32.5),"Mid Range","Economy"))</f>
      </c>
      <c r="G258" s="2"/>
      <c r="H258" s="2"/>
      <c r="I258" s="9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9"/>
      <c r="V258" s="2"/>
      <c r="W258" s="9"/>
      <c r="X258" s="9"/>
      <c r="Y258" s="9"/>
      <c r="Z258" s="9"/>
    </row>
    <row x14ac:dyDescent="0.25" r="259" customHeight="1" ht="18.75">
      <c r="A259" s="2" t="s">
        <v>185</v>
      </c>
      <c r="B259" s="3">
        <v>18</v>
      </c>
      <c r="C259" s="3">
        <v>97</v>
      </c>
      <c r="D259" s="11">
        <v>14.5</v>
      </c>
      <c r="E259" s="3">
        <v>75</v>
      </c>
      <c r="F259" s="38">
        <f>IF(AND(C259&gt;100,D259&lt;13,B259&gt;32.5),"High Performance",IF(AND(C259&lt;= 100,C259&gt;=60,D259&gt;=13,D259&lt;=19,B259&gt;=17,B259&lt;=32.5),"Mid Range","Economy"))</f>
      </c>
      <c r="G259" s="2"/>
      <c r="H259" s="2"/>
      <c r="I259" s="9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9"/>
      <c r="V259" s="2"/>
      <c r="W259" s="9"/>
      <c r="X259" s="9"/>
      <c r="Y259" s="9"/>
      <c r="Z259" s="9"/>
    </row>
    <row x14ac:dyDescent="0.25" r="260" customHeight="1" ht="18.75">
      <c r="A260" s="2" t="s">
        <v>232</v>
      </c>
      <c r="B260" s="3">
        <v>18</v>
      </c>
      <c r="C260" s="3">
        <v>105</v>
      </c>
      <c r="D260" s="3">
        <v>16</v>
      </c>
      <c r="E260" s="3">
        <v>75</v>
      </c>
      <c r="F260" s="38">
        <f>IF(AND(C260&gt;100,D260&lt;13,B260&gt;32.5),"High Performance",IF(AND(C260&lt;= 100,C260&gt;=60,D260&gt;=13,D260&lt;=19,B260&gt;=17,B260&lt;=32.5),"Mid Range","Economy"))</f>
      </c>
      <c r="G260" s="2"/>
      <c r="H260" s="2"/>
      <c r="I260" s="9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9"/>
      <c r="V260" s="2"/>
      <c r="W260" s="9"/>
      <c r="X260" s="9"/>
      <c r="Y260" s="9"/>
      <c r="Z260" s="9"/>
    </row>
    <row x14ac:dyDescent="0.25" r="261" customHeight="1" ht="18.75">
      <c r="A261" s="2" t="s">
        <v>189</v>
      </c>
      <c r="B261" s="3">
        <v>15</v>
      </c>
      <c r="C261" s="3">
        <v>110</v>
      </c>
      <c r="D261" s="3">
        <v>19</v>
      </c>
      <c r="E261" s="3">
        <v>75</v>
      </c>
      <c r="F261" s="38">
        <f>IF(AND(C261&gt;100,D261&lt;13,B261&gt;32.5),"High Performance",IF(AND(C261&lt;= 100,C261&gt;=60,D261&gt;=13,D261&lt;=19,B261&gt;=17,B261&lt;=32.5),"Mid Range","Economy"))</f>
      </c>
      <c r="G261" s="2"/>
      <c r="H261" s="2"/>
      <c r="I261" s="9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9"/>
      <c r="V261" s="2"/>
      <c r="W261" s="9"/>
      <c r="X261" s="9"/>
      <c r="Y261" s="9"/>
      <c r="Z261" s="9"/>
    </row>
    <row x14ac:dyDescent="0.25" r="262" customHeight="1" ht="18.75">
      <c r="A262" s="2" t="s">
        <v>239</v>
      </c>
      <c r="B262" s="3">
        <v>19</v>
      </c>
      <c r="C262" s="3">
        <v>95</v>
      </c>
      <c r="D262" s="3">
        <v>16</v>
      </c>
      <c r="E262" s="3">
        <v>75</v>
      </c>
      <c r="F262" s="38">
        <f>IF(AND(C262&gt;100,D262&lt;13,B262&gt;32.5),"High Performance",IF(AND(C262&lt;= 100,C262&gt;=60,D262&gt;=13,D262&lt;=19,B262&gt;=17,B262&lt;=32.5),"Mid Range","Economy"))</f>
      </c>
      <c r="G262" s="2"/>
      <c r="H262" s="2"/>
      <c r="I262" s="9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9"/>
      <c r="V262" s="2"/>
      <c r="W262" s="9"/>
      <c r="X262" s="9"/>
      <c r="Y262" s="9"/>
      <c r="Z262" s="9"/>
    </row>
    <row x14ac:dyDescent="0.25" r="263" customHeight="1" ht="18.75">
      <c r="A263" s="2" t="s">
        <v>240</v>
      </c>
      <c r="B263" s="3">
        <v>17</v>
      </c>
      <c r="C263" s="3">
        <v>110</v>
      </c>
      <c r="D263" s="3">
        <v>21</v>
      </c>
      <c r="E263" s="3">
        <v>75</v>
      </c>
      <c r="F263" s="38">
        <f>IF(AND(C263&gt;100,D263&lt;13,B263&gt;32.5),"High Performance",IF(AND(C263&lt;= 100,C263&gt;=60,D263&gt;=13,D263&lt;=19,B263&gt;=17,B263&lt;=32.5),"Mid Range","Economy"))</f>
      </c>
      <c r="G263" s="2"/>
      <c r="H263" s="2"/>
      <c r="I263" s="9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9"/>
      <c r="V263" s="2"/>
      <c r="W263" s="9"/>
      <c r="X263" s="9"/>
      <c r="Y263" s="9"/>
      <c r="Z263" s="9"/>
    </row>
    <row x14ac:dyDescent="0.25" r="264" customHeight="1" ht="18.75">
      <c r="A264" s="2" t="s">
        <v>241</v>
      </c>
      <c r="B264" s="3">
        <v>19</v>
      </c>
      <c r="C264" s="3">
        <v>90</v>
      </c>
      <c r="D264" s="3">
        <v>17</v>
      </c>
      <c r="E264" s="3">
        <v>75</v>
      </c>
      <c r="F264" s="38">
        <f>IF(AND(C264&gt;100,D264&lt;13,B264&gt;32.5),"High Performance",IF(AND(C264&lt;= 100,C264&gt;=60,D264&gt;=13,D264&lt;=19,B264&gt;=17,B264&lt;=32.5),"Mid Range","Economy"))</f>
      </c>
      <c r="G264" s="2"/>
      <c r="H264" s="2"/>
      <c r="I264" s="9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9"/>
      <c r="V264" s="2"/>
      <c r="W264" s="9"/>
      <c r="X264" s="9"/>
      <c r="Y264" s="9"/>
      <c r="Z264" s="9"/>
    </row>
    <row x14ac:dyDescent="0.25" r="265" customHeight="1" ht="18.75">
      <c r="A265" s="2" t="s">
        <v>242</v>
      </c>
      <c r="B265" s="3">
        <v>16</v>
      </c>
      <c r="C265" s="3">
        <v>105</v>
      </c>
      <c r="D265" s="11">
        <v>18.5</v>
      </c>
      <c r="E265" s="3">
        <v>75</v>
      </c>
      <c r="F265" s="38">
        <f>IF(AND(C265&gt;100,D265&lt;13,B265&gt;32.5),"High Performance",IF(AND(C265&lt;= 100,C265&gt;=60,D265&gt;=13,D265&lt;=19,B265&gt;=17,B265&lt;=32.5),"Mid Range","Economy"))</f>
      </c>
      <c r="G265" s="2"/>
      <c r="H265" s="2"/>
      <c r="I265" s="9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9"/>
      <c r="V265" s="2"/>
      <c r="W265" s="9"/>
      <c r="X265" s="9"/>
      <c r="Y265" s="9"/>
      <c r="Z265" s="9"/>
    </row>
    <row x14ac:dyDescent="0.25" r="266" customHeight="1" ht="18.75">
      <c r="A266" s="2" t="s">
        <v>243</v>
      </c>
      <c r="B266" s="3">
        <v>18</v>
      </c>
      <c r="C266" s="3">
        <v>95</v>
      </c>
      <c r="D266" s="3">
        <v>19</v>
      </c>
      <c r="E266" s="3">
        <v>75</v>
      </c>
      <c r="F266" s="38">
        <f>IF(AND(C266&gt;100,D266&lt;13,B266&gt;32.5),"High Performance",IF(AND(C266&lt;= 100,C266&gt;=60,D266&gt;=13,D266&lt;=19,B266&gt;=17,B266&lt;=32.5),"Mid Range","Economy"))</f>
      </c>
      <c r="G266" s="2"/>
      <c r="H266" s="2"/>
      <c r="I266" s="9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9"/>
      <c r="V266" s="2"/>
      <c r="W266" s="9"/>
      <c r="X266" s="9"/>
      <c r="Y266" s="9"/>
      <c r="Z266" s="9"/>
    </row>
    <row x14ac:dyDescent="0.25" r="267" customHeight="1" ht="18.75">
      <c r="A267" s="2" t="s">
        <v>162</v>
      </c>
      <c r="B267" s="3">
        <v>15</v>
      </c>
      <c r="C267" s="3">
        <v>72</v>
      </c>
      <c r="D267" s="11">
        <v>19.5</v>
      </c>
      <c r="E267" s="3">
        <v>75</v>
      </c>
      <c r="F267" s="38">
        <f>IF(AND(C267&gt;100,D267&lt;13,B267&gt;32.5),"High Performance",IF(AND(C267&lt;= 100,C267&gt;=60,D267&gt;=13,D267&lt;=19,B267&gt;=17,B267&lt;=32.5),"Mid Range","Economy"))</f>
      </c>
      <c r="G267" s="2"/>
      <c r="H267" s="2"/>
      <c r="I267" s="9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9"/>
      <c r="V267" s="2"/>
      <c r="W267" s="9"/>
      <c r="X267" s="9"/>
      <c r="Y267" s="9"/>
      <c r="Z267" s="9"/>
    </row>
    <row x14ac:dyDescent="0.25" r="268" customHeight="1" ht="18.75">
      <c r="A268" s="2" t="s">
        <v>244</v>
      </c>
      <c r="B268" s="3">
        <v>15</v>
      </c>
      <c r="C268" s="3">
        <v>72</v>
      </c>
      <c r="D268" s="3">
        <v>21</v>
      </c>
      <c r="E268" s="3">
        <v>75</v>
      </c>
      <c r="F268" s="38">
        <f>IF(AND(C268&gt;100,D268&lt;13,B268&gt;32.5),"High Performance",IF(AND(C268&lt;= 100,C268&gt;=60,D268&gt;=13,D268&lt;=19,B268&gt;=17,B268&lt;=32.5),"Mid Range","Economy"))</f>
      </c>
      <c r="G268" s="2"/>
      <c r="H268" s="2"/>
      <c r="I268" s="9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9"/>
      <c r="V268" s="2"/>
      <c r="W268" s="9"/>
      <c r="X268" s="9"/>
      <c r="Y268" s="9"/>
      <c r="Z268" s="9"/>
    </row>
    <row x14ac:dyDescent="0.25" r="269" customHeight="1" ht="18.75">
      <c r="A269" s="2" t="s">
        <v>245</v>
      </c>
      <c r="B269" s="3">
        <v>13</v>
      </c>
      <c r="C269" s="3">
        <v>129</v>
      </c>
      <c r="D269" s="3">
        <v>12</v>
      </c>
      <c r="E269" s="3">
        <v>75</v>
      </c>
      <c r="F269" s="38">
        <f>IF(AND(C269&gt;100,D269&lt;13,B269&gt;32.5),"High Performance",IF(AND(C269&lt;= 100,C269&gt;=60,D269&gt;=13,D269&lt;=19,B269&gt;=17,B269&lt;=32.5),"Mid Range","Economy"))</f>
      </c>
      <c r="G269" s="2"/>
      <c r="H269" s="2"/>
      <c r="I269" s="9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9"/>
      <c r="V269" s="2"/>
      <c r="W269" s="9"/>
      <c r="X269" s="9"/>
      <c r="Y269" s="9"/>
      <c r="Z269" s="9"/>
    </row>
    <row x14ac:dyDescent="0.25" r="270" customHeight="1" ht="18.75">
      <c r="A270" s="2" t="s">
        <v>164</v>
      </c>
      <c r="B270" s="3">
        <v>16</v>
      </c>
      <c r="C270" s="3">
        <v>170</v>
      </c>
      <c r="D270" s="11">
        <v>11.5</v>
      </c>
      <c r="E270" s="3">
        <v>75</v>
      </c>
      <c r="F270" s="38">
        <f>IF(AND(C270&gt;100,D270&lt;13,B270&gt;32.5),"High Performance",IF(AND(C270&lt;= 100,C270&gt;=60,D270&gt;=13,D270&lt;=19,B270&gt;=17,B270&lt;=32.5),"Mid Range","Economy"))</f>
      </c>
      <c r="G270" s="2"/>
      <c r="H270" s="2"/>
      <c r="I270" s="9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9"/>
      <c r="V270" s="2"/>
      <c r="W270" s="9"/>
      <c r="X270" s="9"/>
      <c r="Y270" s="9"/>
      <c r="Z270" s="9"/>
    </row>
    <row x14ac:dyDescent="0.25" r="271" customHeight="1" ht="18.75">
      <c r="A271" s="2" t="s">
        <v>246</v>
      </c>
      <c r="B271" s="3">
        <v>20</v>
      </c>
      <c r="C271" s="3">
        <v>110</v>
      </c>
      <c r="D271" s="11">
        <v>13.5</v>
      </c>
      <c r="E271" s="3">
        <v>75</v>
      </c>
      <c r="F271" s="38">
        <f>IF(AND(C271&gt;100,D271&lt;13,B271&gt;32.5),"High Performance",IF(AND(C271&lt;= 100,C271&gt;=60,D271&gt;=13,D271&lt;=19,B271&gt;=17,B271&lt;=32.5),"Mid Range","Economy"))</f>
      </c>
      <c r="G271" s="2"/>
      <c r="H271" s="2"/>
      <c r="I271" s="9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9"/>
      <c r="V271" s="2"/>
      <c r="W271" s="9"/>
      <c r="X271" s="9"/>
      <c r="Y271" s="9"/>
      <c r="Z271" s="9"/>
    </row>
    <row x14ac:dyDescent="0.25" r="272" customHeight="1" ht="18.75">
      <c r="A272" s="2" t="s">
        <v>247</v>
      </c>
      <c r="B272" s="3">
        <v>16</v>
      </c>
      <c r="C272" s="3">
        <v>150</v>
      </c>
      <c r="D272" s="11">
        <v>14.5</v>
      </c>
      <c r="E272" s="3">
        <v>75</v>
      </c>
      <c r="F272" s="38">
        <f>IF(AND(C272&gt;100,D272&lt;13,B272&gt;32.5),"High Performance",IF(AND(C272&lt;= 100,C272&gt;=60,D272&gt;=13,D272&lt;=19,B272&gt;=17,B272&lt;=32.5),"Mid Range","Economy"))</f>
      </c>
      <c r="G272" s="2"/>
      <c r="H272" s="2"/>
      <c r="I272" s="9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9"/>
      <c r="V272" s="2"/>
      <c r="W272" s="9"/>
      <c r="X272" s="9"/>
      <c r="Y272" s="9"/>
      <c r="Z272" s="9"/>
    </row>
    <row x14ac:dyDescent="0.25" r="273" customHeight="1" ht="18.75">
      <c r="A273" s="2" t="s">
        <v>248</v>
      </c>
      <c r="B273" s="3">
        <v>15</v>
      </c>
      <c r="C273" s="3">
        <v>145</v>
      </c>
      <c r="D273" s="3">
        <v>14</v>
      </c>
      <c r="E273" s="3">
        <v>75</v>
      </c>
      <c r="F273" s="38">
        <f>IF(AND(C273&gt;100,D273&lt;13,B273&gt;32.5),"High Performance",IF(AND(C273&lt;= 100,C273&gt;=60,D273&gt;=13,D273&lt;=19,B273&gt;=17,B273&lt;=32.5),"Mid Range","Economy"))</f>
      </c>
      <c r="G273" s="2"/>
      <c r="H273" s="2"/>
      <c r="I273" s="9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9"/>
      <c r="V273" s="2"/>
      <c r="W273" s="9"/>
      <c r="X273" s="9"/>
      <c r="Y273" s="9"/>
      <c r="Z273" s="9"/>
    </row>
    <row x14ac:dyDescent="0.25" r="274" customHeight="1" ht="18.75">
      <c r="A274" s="2" t="s">
        <v>225</v>
      </c>
      <c r="B274" s="3">
        <v>14</v>
      </c>
      <c r="C274" s="3">
        <v>148</v>
      </c>
      <c r="D274" s="11">
        <v>13.5</v>
      </c>
      <c r="E274" s="3">
        <v>75</v>
      </c>
      <c r="F274" s="38">
        <f>IF(AND(C274&gt;100,D274&lt;13,B274&gt;32.5),"High Performance",IF(AND(C274&lt;= 100,C274&gt;=60,D274&gt;=13,D274&lt;=19,B274&gt;=17,B274&lt;=32.5),"Mid Range","Economy"))</f>
      </c>
      <c r="G274" s="2"/>
      <c r="H274" s="2"/>
      <c r="I274" s="9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9"/>
      <c r="V274" s="2"/>
      <c r="W274" s="9"/>
      <c r="X274" s="9"/>
      <c r="Y274" s="9"/>
      <c r="Z274" s="9"/>
    </row>
    <row x14ac:dyDescent="0.25" r="275" customHeight="1" ht="18.75">
      <c r="A275" s="2" t="s">
        <v>249</v>
      </c>
      <c r="B275" s="3">
        <v>25</v>
      </c>
      <c r="C275" s="3">
        <v>92</v>
      </c>
      <c r="D275" s="11">
        <v>14.9</v>
      </c>
      <c r="E275" s="3">
        <v>76</v>
      </c>
      <c r="F275" s="38">
        <f>IF(AND(C275&gt;100,D275&lt;13,B275&gt;32.5),"High Performance",IF(AND(C275&lt;= 100,C275&gt;=60,D275&gt;=13,D275&lt;=19,B275&gt;=17,B275&lt;=32.5),"Mid Range","Economy"))</f>
      </c>
      <c r="G275" s="2"/>
      <c r="H275" s="2"/>
      <c r="I275" s="9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9"/>
      <c r="V275" s="2"/>
      <c r="W275" s="9"/>
      <c r="X275" s="9"/>
      <c r="Y275" s="9"/>
      <c r="Z275" s="9"/>
    </row>
    <row x14ac:dyDescent="0.25" r="276" customHeight="1" ht="18.75">
      <c r="A276" s="2" t="s">
        <v>231</v>
      </c>
      <c r="B276" s="3">
        <v>26</v>
      </c>
      <c r="C276" s="3">
        <v>79</v>
      </c>
      <c r="D276" s="11">
        <v>17.7</v>
      </c>
      <c r="E276" s="3">
        <v>76</v>
      </c>
      <c r="F276" s="38">
        <f>IF(AND(C276&gt;100,D276&lt;13,B276&gt;32.5),"High Performance",IF(AND(C276&lt;= 100,C276&gt;=60,D276&gt;=13,D276&lt;=19,B276&gt;=17,B276&lt;=32.5),"Mid Range","Economy"))</f>
      </c>
      <c r="G276" s="2"/>
      <c r="H276" s="2"/>
      <c r="I276" s="9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9"/>
      <c r="V276" s="2"/>
      <c r="W276" s="9"/>
      <c r="X276" s="9"/>
      <c r="Y276" s="9"/>
      <c r="Z276" s="9"/>
    </row>
    <row x14ac:dyDescent="0.25" r="277" customHeight="1" ht="18.75">
      <c r="A277" s="2" t="s">
        <v>185</v>
      </c>
      <c r="B277" s="11">
        <v>26.5</v>
      </c>
      <c r="C277" s="3">
        <v>72</v>
      </c>
      <c r="D277" s="11">
        <v>13.6</v>
      </c>
      <c r="E277" s="3">
        <v>76</v>
      </c>
      <c r="F277" s="38">
        <f>IF(AND(C277&gt;100,D277&lt;13,B277&gt;32.5),"High Performance",IF(AND(C277&lt;= 100,C277&gt;=60,D277&gt;=13,D277&lt;=19,B277&gt;=17,B277&lt;=32.5),"Mid Range","Economy"))</f>
      </c>
      <c r="G277" s="2"/>
      <c r="H277" s="2"/>
      <c r="I277" s="9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9"/>
      <c r="V277" s="2"/>
      <c r="W277" s="9"/>
      <c r="X277" s="9"/>
      <c r="Y277" s="9"/>
      <c r="Z277" s="9"/>
    </row>
    <row x14ac:dyDescent="0.25" r="278" customHeight="1" ht="18.75">
      <c r="A278" s="2" t="s">
        <v>250</v>
      </c>
      <c r="B278" s="11">
        <v>24.5</v>
      </c>
      <c r="C278" s="3">
        <v>60</v>
      </c>
      <c r="D278" s="11">
        <v>22.1</v>
      </c>
      <c r="E278" s="3">
        <v>76</v>
      </c>
      <c r="F278" s="38">
        <f>IF(AND(C278&gt;100,D278&lt;13,B278&gt;32.5),"High Performance",IF(AND(C278&lt;= 100,C278&gt;=60,D278&gt;=13,D278&lt;=19,B278&gt;=17,B278&lt;=32.5),"Mid Range","Economy"))</f>
      </c>
      <c r="G278" s="2"/>
      <c r="H278" s="2"/>
      <c r="I278" s="9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9"/>
      <c r="V278" s="2"/>
      <c r="W278" s="9"/>
      <c r="X278" s="9"/>
      <c r="Y278" s="9"/>
      <c r="Z278" s="9"/>
    </row>
    <row x14ac:dyDescent="0.25" r="279" customHeight="1" ht="18.75">
      <c r="A279" s="2" t="s">
        <v>251</v>
      </c>
      <c r="B279" s="3">
        <v>29</v>
      </c>
      <c r="C279" s="3">
        <v>52</v>
      </c>
      <c r="D279" s="11">
        <v>22.2</v>
      </c>
      <c r="E279" s="3">
        <v>76</v>
      </c>
      <c r="F279" s="38">
        <f>IF(AND(C279&gt;100,D279&lt;13,B279&gt;32.5),"High Performance",IF(AND(C279&lt;= 100,C279&gt;=60,D279&gt;=13,D279&lt;=19,B279&gt;=17,B279&lt;=32.5),"Mid Range","Economy"))</f>
      </c>
      <c r="G279" s="2"/>
      <c r="H279" s="2"/>
      <c r="I279" s="9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9"/>
      <c r="V279" s="2"/>
      <c r="W279" s="9"/>
      <c r="X279" s="9"/>
      <c r="Y279" s="9"/>
      <c r="Z279" s="9"/>
    </row>
    <row x14ac:dyDescent="0.25" r="280" customHeight="1" ht="18.75">
      <c r="A280" s="2" t="s">
        <v>232</v>
      </c>
      <c r="B280" s="3">
        <v>22</v>
      </c>
      <c r="C280" s="3">
        <v>105</v>
      </c>
      <c r="D280" s="11">
        <v>14.5</v>
      </c>
      <c r="E280" s="3">
        <v>76</v>
      </c>
      <c r="F280" s="38">
        <f>IF(AND(C280&gt;100,D280&lt;13,B280&gt;32.5),"High Performance",IF(AND(C280&lt;= 100,C280&gt;=60,D280&gt;=13,D280&lt;=19,B280&gt;=17,B280&lt;=32.5),"Mid Range","Economy"))</f>
      </c>
      <c r="G280" s="2"/>
      <c r="H280" s="2"/>
      <c r="I280" s="9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9"/>
      <c r="V280" s="2"/>
      <c r="W280" s="9"/>
      <c r="X280" s="9"/>
      <c r="Y280" s="9"/>
      <c r="Z280" s="9"/>
    </row>
    <row x14ac:dyDescent="0.25" r="281" customHeight="1" ht="18.75">
      <c r="A281" s="2" t="s">
        <v>211</v>
      </c>
      <c r="B281" s="3">
        <v>22</v>
      </c>
      <c r="C281" s="3">
        <v>100</v>
      </c>
      <c r="D281" s="11">
        <v>15.4</v>
      </c>
      <c r="E281" s="3">
        <v>76</v>
      </c>
      <c r="F281" s="38">
        <f>IF(AND(C281&gt;100,D281&lt;13,B281&gt;32.5),"High Performance",IF(AND(C281&lt;= 100,C281&gt;=60,D281&gt;=13,D281&lt;=19,B281&gt;=17,B281&lt;=32.5),"Mid Range","Economy"))</f>
      </c>
      <c r="G281" s="2"/>
      <c r="H281" s="2"/>
      <c r="I281" s="9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9"/>
      <c r="V281" s="2"/>
      <c r="W281" s="9"/>
      <c r="X281" s="9"/>
      <c r="Y281" s="9"/>
      <c r="Z281" s="9"/>
    </row>
    <row x14ac:dyDescent="0.25" r="282" customHeight="1" ht="18.75">
      <c r="A282" s="2" t="s">
        <v>252</v>
      </c>
      <c r="B282" s="11">
        <v>18.5</v>
      </c>
      <c r="C282" s="3">
        <v>110</v>
      </c>
      <c r="D282" s="11">
        <v>16.2</v>
      </c>
      <c r="E282" s="3">
        <v>76</v>
      </c>
      <c r="F282" s="38">
        <f>IF(AND(C282&gt;100,D282&lt;13,B282&gt;32.5),"High Performance",IF(AND(C282&lt;= 100,C282&gt;=60,D282&gt;=13,D282&lt;=19,B282&gt;=17,B282&lt;=32.5),"Mid Range","Economy"))</f>
      </c>
      <c r="G282" s="2"/>
      <c r="H282" s="2"/>
      <c r="I282" s="9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9"/>
      <c r="V282" s="2"/>
      <c r="W282" s="9"/>
      <c r="X282" s="9"/>
      <c r="Y282" s="9"/>
      <c r="Z282" s="9"/>
    </row>
    <row x14ac:dyDescent="0.25" r="283" customHeight="1" ht="18.75">
      <c r="A283" s="2" t="s">
        <v>253</v>
      </c>
      <c r="B283" s="11">
        <v>17.5</v>
      </c>
      <c r="C283" s="3">
        <v>95</v>
      </c>
      <c r="D283" s="11">
        <v>17.8</v>
      </c>
      <c r="E283" s="3">
        <v>76</v>
      </c>
      <c r="F283" s="38">
        <f>IF(AND(C283&gt;100,D283&lt;13,B283&gt;32.5),"High Performance",IF(AND(C283&lt;= 100,C283&gt;=60,D283&gt;=13,D283&lt;=19,B283&gt;=17,B283&lt;=32.5),"Mid Range","Economy"))</f>
      </c>
      <c r="G283" s="2"/>
      <c r="H283" s="2"/>
      <c r="I283" s="9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9"/>
      <c r="V283" s="2"/>
      <c r="W283" s="9"/>
      <c r="X283" s="9"/>
      <c r="Y283" s="9"/>
      <c r="Z283" s="9"/>
    </row>
    <row x14ac:dyDescent="0.25" r="284" customHeight="1" ht="18.75">
      <c r="A284" s="2" t="s">
        <v>159</v>
      </c>
      <c r="B284" s="11">
        <v>22.5</v>
      </c>
      <c r="C284" s="3">
        <v>90</v>
      </c>
      <c r="D284" s="11">
        <v>17.6</v>
      </c>
      <c r="E284" s="3">
        <v>76</v>
      </c>
      <c r="F284" s="38">
        <f>IF(AND(C284&gt;100,D284&lt;13,B284&gt;32.5),"High Performance",IF(AND(C284&lt;= 100,C284&gt;=60,D284&gt;=13,D284&lt;=19,B284&gt;=17,B284&lt;=32.5),"Mid Range","Economy"))</f>
      </c>
      <c r="G284" s="2"/>
      <c r="H284" s="2"/>
      <c r="I284" s="9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9"/>
      <c r="V284" s="2"/>
      <c r="W284" s="9"/>
      <c r="X284" s="9"/>
      <c r="Y284" s="9"/>
      <c r="Z284" s="9"/>
    </row>
    <row x14ac:dyDescent="0.25" r="285" customHeight="1" ht="18.75">
      <c r="A285" s="2" t="s">
        <v>254</v>
      </c>
      <c r="B285" s="3">
        <v>20</v>
      </c>
      <c r="C285" s="3">
        <v>100</v>
      </c>
      <c r="D285" s="11">
        <v>17.7</v>
      </c>
      <c r="E285" s="3">
        <v>76</v>
      </c>
      <c r="F285" s="38">
        <f>IF(AND(C285&gt;100,D285&lt;13,B285&gt;32.5),"High Performance",IF(AND(C285&lt;= 100,C285&gt;=60,D285&gt;=13,D285&lt;=19,B285&gt;=17,B285&lt;=32.5),"Mid Range","Economy"))</f>
      </c>
      <c r="G285" s="2"/>
      <c r="H285" s="2"/>
      <c r="I285" s="9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9"/>
      <c r="V285" s="2"/>
      <c r="W285" s="9"/>
      <c r="X285" s="9"/>
      <c r="Y285" s="9"/>
      <c r="Z285" s="9"/>
    </row>
    <row x14ac:dyDescent="0.25" r="286" customHeight="1" ht="18.75">
      <c r="A286" s="2" t="s">
        <v>162</v>
      </c>
      <c r="B286" s="3">
        <v>24</v>
      </c>
      <c r="C286" s="3">
        <v>81</v>
      </c>
      <c r="D286" s="11">
        <v>17.6</v>
      </c>
      <c r="E286" s="3">
        <v>76</v>
      </c>
      <c r="F286" s="38">
        <f>IF(AND(C286&gt;100,D286&lt;13,B286&gt;32.5),"High Performance",IF(AND(C286&lt;= 100,C286&gt;=60,D286&gt;=13,D286&lt;=19,B286&gt;=17,B286&lt;=32.5),"Mid Range","Economy"))</f>
      </c>
      <c r="G286" s="2"/>
      <c r="H286" s="2"/>
      <c r="I286" s="9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9"/>
      <c r="V286" s="2"/>
      <c r="W286" s="9"/>
      <c r="X286" s="9"/>
      <c r="Y286" s="9"/>
      <c r="Z286" s="9"/>
    </row>
    <row x14ac:dyDescent="0.25" r="287" customHeight="1" ht="18.75">
      <c r="A287" s="2" t="s">
        <v>255</v>
      </c>
      <c r="B287" s="3">
        <v>18</v>
      </c>
      <c r="C287" s="3">
        <v>78</v>
      </c>
      <c r="D287" s="3">
        <v>21</v>
      </c>
      <c r="E287" s="3">
        <v>76</v>
      </c>
      <c r="F287" s="38">
        <f>IF(AND(C287&gt;100,D287&lt;13,B287&gt;32.5),"High Performance",IF(AND(C287&lt;= 100,C287&gt;=60,D287&gt;=13,D287&lt;=19,B287&gt;=17,B287&lt;=32.5),"Mid Range","Economy"))</f>
      </c>
      <c r="G287" s="2"/>
      <c r="H287" s="2"/>
      <c r="I287" s="9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9"/>
      <c r="V287" s="2"/>
      <c r="W287" s="9"/>
      <c r="X287" s="9"/>
      <c r="Y287" s="9"/>
      <c r="Z287" s="9"/>
    </row>
    <row x14ac:dyDescent="0.25" r="288" customHeight="1" ht="18.75">
      <c r="A288" s="2" t="s">
        <v>256</v>
      </c>
      <c r="B288" s="11">
        <v>16.5</v>
      </c>
      <c r="C288" s="3">
        <v>180</v>
      </c>
      <c r="D288" s="11">
        <v>12.1</v>
      </c>
      <c r="E288" s="3">
        <v>76</v>
      </c>
      <c r="F288" s="38">
        <f>IF(AND(C288&gt;100,D288&lt;13,B288&gt;32.5),"High Performance",IF(AND(C288&lt;= 100,C288&gt;=60,D288&gt;=13,D288&lt;=19,B288&gt;=17,B288&lt;=32.5),"Mid Range","Economy"))</f>
      </c>
      <c r="G288" s="2"/>
      <c r="H288" s="2"/>
      <c r="I288" s="9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9"/>
      <c r="V288" s="2"/>
      <c r="W288" s="9"/>
      <c r="X288" s="9"/>
      <c r="Y288" s="9"/>
      <c r="Z288" s="9"/>
    </row>
    <row x14ac:dyDescent="0.25" r="289" customHeight="1" ht="18.75">
      <c r="A289" s="2" t="s">
        <v>257</v>
      </c>
      <c r="B289" s="3">
        <v>13</v>
      </c>
      <c r="C289" s="3">
        <v>150</v>
      </c>
      <c r="D289" s="3">
        <v>14</v>
      </c>
      <c r="E289" s="3">
        <v>76</v>
      </c>
      <c r="F289" s="38">
        <f>IF(AND(C289&gt;100,D289&lt;13,B289&gt;32.5),"High Performance",IF(AND(C289&lt;= 100,C289&gt;=60,D289&gt;=13,D289&lt;=19,B289&gt;=17,B289&lt;=32.5),"Mid Range","Economy"))</f>
      </c>
      <c r="G289" s="2"/>
      <c r="H289" s="2"/>
      <c r="I289" s="9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9"/>
      <c r="V289" s="2"/>
      <c r="W289" s="9"/>
      <c r="X289" s="9"/>
      <c r="Y289" s="9"/>
      <c r="Z289" s="9"/>
    </row>
    <row x14ac:dyDescent="0.25" r="290" customHeight="1" ht="18.75">
      <c r="A290" s="2" t="s">
        <v>258</v>
      </c>
      <c r="B290" s="3">
        <v>13</v>
      </c>
      <c r="C290" s="3">
        <v>150</v>
      </c>
      <c r="D290" s="11">
        <v>13.2</v>
      </c>
      <c r="E290" s="3">
        <v>76</v>
      </c>
      <c r="F290" s="38">
        <f>IF(AND(C290&gt;100,D290&lt;13,B290&gt;32.5),"High Performance",IF(AND(C290&lt;= 100,C290&gt;=60,D290&gt;=13,D290&lt;=19,B290&gt;=17,B290&lt;=32.5),"Mid Range","Economy"))</f>
      </c>
      <c r="G290" s="2"/>
      <c r="H290" s="2"/>
      <c r="I290" s="9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9"/>
      <c r="V290" s="2"/>
      <c r="W290" s="9"/>
      <c r="X290" s="9"/>
      <c r="Y290" s="9"/>
      <c r="Z290" s="9"/>
    </row>
    <row x14ac:dyDescent="0.25" r="291" customHeight="1" ht="18.75">
      <c r="A291" s="2" t="s">
        <v>229</v>
      </c>
      <c r="B291" s="11">
        <v>14.5</v>
      </c>
      <c r="C291" s="3">
        <v>152</v>
      </c>
      <c r="D291" s="11">
        <v>12.8</v>
      </c>
      <c r="E291" s="3">
        <v>76</v>
      </c>
      <c r="F291" s="38">
        <f>IF(AND(C291&gt;100,D291&lt;13,B291&gt;32.5),"High Performance",IF(AND(C291&lt;= 100,C291&gt;=60,D291&gt;=13,D291&lt;=19,B291&gt;=17,B291&lt;=32.5),"Mid Range","Economy"))</f>
      </c>
      <c r="G291" s="2"/>
      <c r="H291" s="2"/>
      <c r="I291" s="9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9"/>
      <c r="V291" s="2"/>
      <c r="W291" s="9"/>
      <c r="X291" s="9"/>
      <c r="Y291" s="9"/>
      <c r="Z291" s="9"/>
    </row>
    <row x14ac:dyDescent="0.25" r="292" customHeight="1" ht="18.75">
      <c r="A292" s="2" t="s">
        <v>259</v>
      </c>
      <c r="B292" s="3">
        <v>13</v>
      </c>
      <c r="C292" s="3">
        <v>145</v>
      </c>
      <c r="D292" s="3">
        <v>12</v>
      </c>
      <c r="E292" s="3">
        <v>76</v>
      </c>
      <c r="F292" s="38">
        <f>IF(AND(C292&gt;100,D292&lt;13,B292&gt;32.5),"High Performance",IF(AND(C292&lt;= 100,C292&gt;=60,D292&gt;=13,D292&lt;=19,B292&gt;=17,B292&lt;=32.5),"Mid Range","Economy"))</f>
      </c>
      <c r="G292" s="2"/>
      <c r="H292" s="2"/>
      <c r="I292" s="9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9"/>
      <c r="V292" s="2"/>
      <c r="W292" s="9"/>
      <c r="X292" s="9"/>
      <c r="Y292" s="9"/>
      <c r="Z292" s="9"/>
    </row>
    <row x14ac:dyDescent="0.25" r="293" customHeight="1" ht="18.75">
      <c r="A293" s="2" t="s">
        <v>260</v>
      </c>
      <c r="B293" s="3">
        <v>16</v>
      </c>
      <c r="C293" s="3">
        <v>150</v>
      </c>
      <c r="D293" s="3">
        <v>13</v>
      </c>
      <c r="E293" s="3">
        <v>76</v>
      </c>
      <c r="F293" s="38">
        <f>IF(AND(C293&gt;100,D293&lt;13,B293&gt;32.5),"High Performance",IF(AND(C293&lt;= 100,C293&gt;=60,D293&gt;=13,D293&lt;=19,B293&gt;=17,B293&lt;=32.5),"Mid Range","Economy"))</f>
      </c>
      <c r="G293" s="2"/>
      <c r="H293" s="2"/>
      <c r="I293" s="9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9"/>
      <c r="V293" s="2"/>
      <c r="W293" s="9"/>
      <c r="X293" s="9"/>
      <c r="Y293" s="9"/>
      <c r="Z293" s="9"/>
    </row>
    <row x14ac:dyDescent="0.25" r="294" customHeight="1" ht="18.75">
      <c r="A294" s="2" t="s">
        <v>261</v>
      </c>
      <c r="B294" s="3">
        <v>13</v>
      </c>
      <c r="C294" s="3">
        <v>130</v>
      </c>
      <c r="D294" s="3">
        <v>15</v>
      </c>
      <c r="E294" s="3">
        <v>76</v>
      </c>
      <c r="F294" s="38">
        <f>IF(AND(C294&gt;100,D294&lt;13,B294&gt;32.5),"High Performance",IF(AND(C294&lt;= 100,C294&gt;=60,D294&gt;=13,D294&lt;=19,B294&gt;=17,B294&lt;=32.5),"Mid Range","Economy"))</f>
      </c>
      <c r="G294" s="2"/>
      <c r="H294" s="2"/>
      <c r="I294" s="9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9"/>
      <c r="V294" s="2"/>
      <c r="W294" s="9"/>
      <c r="X294" s="9"/>
      <c r="Y294" s="9"/>
      <c r="Z294" s="9"/>
    </row>
    <row x14ac:dyDescent="0.25" r="295" customHeight="1" ht="18.75">
      <c r="A295" s="2" t="s">
        <v>234</v>
      </c>
      <c r="B295" s="11">
        <v>17.5</v>
      </c>
      <c r="C295" s="3">
        <v>140</v>
      </c>
      <c r="D295" s="3">
        <v>13</v>
      </c>
      <c r="E295" s="3">
        <v>76</v>
      </c>
      <c r="F295" s="38">
        <f>IF(AND(C295&gt;100,D295&lt;13,B295&gt;32.5),"High Performance",IF(AND(C295&lt;= 100,C295&gt;=60,D295&gt;=13,D295&lt;=19,B295&gt;=17,B295&lt;=32.5),"Mid Range","Economy"))</f>
      </c>
      <c r="G295" s="2"/>
      <c r="H295" s="2"/>
      <c r="I295" s="9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9"/>
      <c r="V295" s="2"/>
      <c r="W295" s="9"/>
      <c r="X295" s="9"/>
      <c r="Y295" s="9"/>
      <c r="Z295" s="9"/>
    </row>
    <row x14ac:dyDescent="0.25" r="296" customHeight="1" ht="18.75">
      <c r="A296" s="2" t="s">
        <v>189</v>
      </c>
      <c r="B296" s="11">
        <v>15.5</v>
      </c>
      <c r="C296" s="3">
        <v>120</v>
      </c>
      <c r="D296" s="11">
        <v>13.9</v>
      </c>
      <c r="E296" s="3">
        <v>76</v>
      </c>
      <c r="F296" s="38">
        <f>IF(AND(C296&gt;100,D296&lt;13,B296&gt;32.5),"High Performance",IF(AND(C296&lt;= 100,C296&gt;=60,D296&gt;=13,D296&lt;=19,B296&gt;=17,B296&lt;=32.5),"Mid Range","Economy"))</f>
      </c>
      <c r="G296" s="2"/>
      <c r="H296" s="2"/>
      <c r="I296" s="9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9"/>
      <c r="V296" s="2"/>
      <c r="W296" s="9"/>
      <c r="X296" s="9"/>
      <c r="Y296" s="9"/>
      <c r="Z296" s="9"/>
    </row>
    <row x14ac:dyDescent="0.25" r="297" customHeight="1" ht="18.75">
      <c r="A297" s="2" t="s">
        <v>262</v>
      </c>
      <c r="B297" s="11">
        <v>25.5</v>
      </c>
      <c r="C297" s="3">
        <v>96</v>
      </c>
      <c r="D297" s="11">
        <v>15.5</v>
      </c>
      <c r="E297" s="3">
        <v>77</v>
      </c>
      <c r="F297" s="38">
        <f>IF(AND(C297&gt;100,D297&lt;13,B297&gt;32.5),"High Performance",IF(AND(C297&lt;= 100,C297&gt;=60,D297&gt;=13,D297&lt;=19,B297&gt;=17,B297&lt;=32.5),"Mid Range","Economy"))</f>
      </c>
      <c r="G297" s="2"/>
      <c r="H297" s="2"/>
      <c r="I297" s="9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9"/>
      <c r="V297" s="2"/>
      <c r="W297" s="9"/>
      <c r="X297" s="9"/>
      <c r="Y297" s="9"/>
      <c r="Z297" s="9"/>
    </row>
    <row x14ac:dyDescent="0.25" r="298" customHeight="1" ht="18.75">
      <c r="A298" s="2" t="s">
        <v>263</v>
      </c>
      <c r="B298" s="11">
        <v>33.5</v>
      </c>
      <c r="C298" s="3">
        <v>83</v>
      </c>
      <c r="D298" s="11">
        <v>15.9</v>
      </c>
      <c r="E298" s="3">
        <v>77</v>
      </c>
      <c r="F298" s="38">
        <f>IF(AND(C298&gt;100,D298&lt;13,B298&gt;32.5),"High Performance",IF(AND(C298&lt;= 100,C298&gt;=60,D298&gt;=13,D298&lt;=19,B298&gt;=17,B298&lt;=32.5),"Mid Range","Economy"))</f>
      </c>
      <c r="G298" s="2"/>
      <c r="H298" s="2"/>
      <c r="I298" s="9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9"/>
      <c r="V298" s="2"/>
      <c r="W298" s="9"/>
      <c r="X298" s="9"/>
      <c r="Y298" s="9"/>
      <c r="Z298" s="9"/>
    </row>
    <row x14ac:dyDescent="0.25" r="299" customHeight="1" ht="18.75">
      <c r="A299" s="2" t="s">
        <v>264</v>
      </c>
      <c r="B299" s="3">
        <v>30</v>
      </c>
      <c r="C299" s="3">
        <v>80</v>
      </c>
      <c r="D299" s="11">
        <v>14.8</v>
      </c>
      <c r="E299" s="3">
        <v>77</v>
      </c>
      <c r="F299" s="38">
        <f>IF(AND(C299&gt;100,D299&lt;13,B299&gt;32.5),"High Performance",IF(AND(C299&lt;= 100,C299&gt;=60,D299&gt;=13,D299&lt;=19,B299&gt;=17,B299&lt;=32.5),"Mid Range","Economy"))</f>
      </c>
      <c r="G299" s="2"/>
      <c r="H299" s="2"/>
      <c r="I299" s="9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9"/>
      <c r="V299" s="2"/>
      <c r="W299" s="9"/>
      <c r="X299" s="9"/>
      <c r="Y299" s="9"/>
      <c r="Z299" s="9"/>
    </row>
    <row x14ac:dyDescent="0.25" r="300" customHeight="1" ht="18.75">
      <c r="A300" s="2" t="s">
        <v>265</v>
      </c>
      <c r="B300" s="11">
        <v>25.5</v>
      </c>
      <c r="C300" s="3">
        <v>89</v>
      </c>
      <c r="D300" s="11">
        <v>15.8</v>
      </c>
      <c r="E300" s="3">
        <v>77</v>
      </c>
      <c r="F300" s="38">
        <f>IF(AND(C300&gt;100,D300&lt;13,B300&gt;32.5),"High Performance",IF(AND(C300&lt;= 100,C300&gt;=60,D300&gt;=13,D300&lt;=19,B300&gt;=17,B300&lt;=32.5),"Mid Range","Economy"))</f>
      </c>
      <c r="G300" s="2"/>
      <c r="H300" s="2"/>
      <c r="I300" s="9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9"/>
      <c r="V300" s="2"/>
      <c r="W300" s="9"/>
      <c r="X300" s="9"/>
      <c r="Y300" s="9"/>
      <c r="Z300" s="9"/>
    </row>
    <row x14ac:dyDescent="0.25" r="301" customHeight="1" ht="18.75">
      <c r="A301" s="2" t="s">
        <v>266</v>
      </c>
      <c r="B301" s="11">
        <v>24.5</v>
      </c>
      <c r="C301" s="3">
        <v>88</v>
      </c>
      <c r="D301" s="3">
        <v>16</v>
      </c>
      <c r="E301" s="3">
        <v>77</v>
      </c>
      <c r="F301" s="38">
        <f>IF(AND(C301&gt;100,D301&lt;13,B301&gt;32.5),"High Performance",IF(AND(C301&lt;= 100,C301&gt;=60,D301&gt;=13,D301&lt;=19,B301&gt;=17,B301&lt;=32.5),"Mid Range","Economy"))</f>
      </c>
      <c r="G301" s="2"/>
      <c r="H301" s="2"/>
      <c r="I301" s="9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9"/>
      <c r="V301" s="2"/>
      <c r="W301" s="9"/>
      <c r="X301" s="9"/>
      <c r="Y301" s="9"/>
      <c r="Z301" s="9"/>
    </row>
    <row x14ac:dyDescent="0.25" r="302" customHeight="1" ht="18.75">
      <c r="A302" s="2" t="s">
        <v>251</v>
      </c>
      <c r="B302" s="11">
        <v>30.5</v>
      </c>
      <c r="C302" s="3">
        <v>63</v>
      </c>
      <c r="D302" s="3">
        <v>17</v>
      </c>
      <c r="E302" s="3">
        <v>77</v>
      </c>
      <c r="F302" s="38">
        <f>IF(AND(C302&gt;100,D302&lt;13,B302&gt;32.5),"High Performance",IF(AND(C302&lt;= 100,C302&gt;=60,D302&gt;=13,D302&lt;=19,B302&gt;=17,B302&lt;=32.5),"Mid Range","Economy"))</f>
      </c>
      <c r="G302" s="2"/>
      <c r="H302" s="2"/>
      <c r="I302" s="9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9"/>
      <c r="V302" s="2"/>
      <c r="W302" s="9"/>
      <c r="X302" s="9"/>
      <c r="Y302" s="9"/>
      <c r="Z302" s="9"/>
    </row>
    <row x14ac:dyDescent="0.25" r="303" customHeight="1" ht="18.75">
      <c r="A303" s="2" t="s">
        <v>267</v>
      </c>
      <c r="B303" s="11">
        <v>17.5</v>
      </c>
      <c r="C303" s="3">
        <v>110</v>
      </c>
      <c r="D303" s="11">
        <v>16.4</v>
      </c>
      <c r="E303" s="3">
        <v>77</v>
      </c>
      <c r="F303" s="38">
        <f>IF(AND(C303&gt;100,D303&lt;13,B303&gt;32.5),"High Performance",IF(AND(C303&lt;= 100,C303&gt;=60,D303&gt;=13,D303&lt;=19,B303&gt;=17,B303&lt;=32.5),"Mid Range","Economy"))</f>
      </c>
      <c r="G303" s="2"/>
      <c r="H303" s="2"/>
      <c r="I303" s="9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9"/>
      <c r="V303" s="2"/>
      <c r="W303" s="9"/>
      <c r="X303" s="9"/>
      <c r="Y303" s="9"/>
      <c r="Z303" s="9"/>
    </row>
    <row x14ac:dyDescent="0.25" r="304" customHeight="1" ht="18.75">
      <c r="A304" s="2" t="s">
        <v>268</v>
      </c>
      <c r="B304" s="11">
        <v>20.5</v>
      </c>
      <c r="C304" s="3">
        <v>105</v>
      </c>
      <c r="D304" s="11">
        <v>16.9</v>
      </c>
      <c r="E304" s="3">
        <v>77</v>
      </c>
      <c r="F304" s="38">
        <f>IF(AND(C304&gt;100,D304&lt;13,B304&gt;32.5),"High Performance",IF(AND(C304&lt;= 100,C304&gt;=60,D304&gt;=13,D304&lt;=19,B304&gt;=17,B304&lt;=32.5),"Mid Range","Economy"))</f>
      </c>
      <c r="G304" s="2"/>
      <c r="H304" s="2"/>
      <c r="I304" s="9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9"/>
      <c r="V304" s="2"/>
      <c r="W304" s="9"/>
      <c r="X304" s="9"/>
      <c r="Y304" s="9"/>
      <c r="Z304" s="9"/>
    </row>
    <row x14ac:dyDescent="0.25" r="305" customHeight="1" ht="18.75">
      <c r="A305" s="2" t="s">
        <v>269</v>
      </c>
      <c r="B305" s="11">
        <v>18.5</v>
      </c>
      <c r="C305" s="3">
        <v>98</v>
      </c>
      <c r="D305" s="3">
        <v>19</v>
      </c>
      <c r="E305" s="3">
        <v>77</v>
      </c>
      <c r="F305" s="38">
        <f>IF(AND(C305&gt;100,D305&lt;13,B305&gt;32.5),"High Performance",IF(AND(C305&lt;= 100,C305&gt;=60,D305&gt;=13,D305&lt;=19,B305&gt;=17,B305&lt;=32.5),"Mid Range","Economy"))</f>
      </c>
      <c r="G305" s="2"/>
      <c r="H305" s="2"/>
      <c r="I305" s="9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9"/>
      <c r="V305" s="2"/>
      <c r="W305" s="9"/>
      <c r="X305" s="9"/>
      <c r="Y305" s="9"/>
      <c r="Z305" s="9"/>
    </row>
    <row x14ac:dyDescent="0.25" r="306" customHeight="1" ht="18.75">
      <c r="A306" s="2" t="s">
        <v>270</v>
      </c>
      <c r="B306" s="3">
        <v>19</v>
      </c>
      <c r="C306" s="3">
        <v>100</v>
      </c>
      <c r="D306" s="11">
        <v>17.7</v>
      </c>
      <c r="E306" s="3">
        <v>77</v>
      </c>
      <c r="F306" s="38">
        <f>IF(AND(C306&gt;100,D306&lt;13,B306&gt;32.5),"High Performance",IF(AND(C306&lt;= 100,C306&gt;=60,D306&gt;=13,D306&lt;=19,B306&gt;=17,B306&lt;=32.5),"Mid Range","Economy"))</f>
      </c>
      <c r="G306" s="2"/>
      <c r="H306" s="2"/>
      <c r="I306" s="9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9"/>
      <c r="V306" s="2"/>
      <c r="W306" s="9"/>
      <c r="X306" s="9"/>
      <c r="Y306" s="9"/>
      <c r="Z306" s="9"/>
    </row>
    <row x14ac:dyDescent="0.25" r="307" customHeight="1" ht="18.75">
      <c r="A307" s="2" t="s">
        <v>271</v>
      </c>
      <c r="B307" s="11">
        <v>15.5</v>
      </c>
      <c r="C307" s="3">
        <v>190</v>
      </c>
      <c r="D307" s="11">
        <v>12.2</v>
      </c>
      <c r="E307" s="3">
        <v>77</v>
      </c>
      <c r="F307" s="38">
        <f>IF(AND(C307&gt;100,D307&lt;13,B307&gt;32.5),"High Performance",IF(AND(C307&lt;= 100,C307&gt;=60,D307&gt;=13,D307&lt;=19,B307&gt;=17,B307&lt;=32.5),"Mid Range","Economy"))</f>
      </c>
      <c r="G307" s="2"/>
      <c r="H307" s="2"/>
      <c r="I307" s="9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9"/>
      <c r="V307" s="2"/>
      <c r="W307" s="9"/>
      <c r="X307" s="9"/>
      <c r="Y307" s="9"/>
      <c r="Z307" s="9"/>
    </row>
    <row x14ac:dyDescent="0.25" r="308" customHeight="1" ht="18.75">
      <c r="A308" s="2" t="s">
        <v>272</v>
      </c>
      <c r="B308" s="3">
        <v>16</v>
      </c>
      <c r="C308" s="3">
        <v>180</v>
      </c>
      <c r="D308" s="11">
        <v>11.1</v>
      </c>
      <c r="E308" s="3">
        <v>77</v>
      </c>
      <c r="F308" s="38">
        <f>IF(AND(C308&gt;100,D308&lt;13,B308&gt;32.5),"High Performance",IF(AND(C308&lt;= 100,C308&gt;=60,D308&gt;=13,D308&lt;=19,B308&gt;=17,B308&lt;=32.5),"Mid Range","Economy"))</f>
      </c>
      <c r="G308" s="2"/>
      <c r="H308" s="2"/>
      <c r="I308" s="9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9"/>
      <c r="V308" s="2"/>
      <c r="W308" s="9"/>
      <c r="X308" s="9"/>
      <c r="Y308" s="9"/>
      <c r="Z308" s="9"/>
    </row>
    <row x14ac:dyDescent="0.25" r="309" customHeight="1" ht="18.75">
      <c r="A309" s="2" t="s">
        <v>273</v>
      </c>
      <c r="B309" s="11">
        <v>15.5</v>
      </c>
      <c r="C309" s="3">
        <v>170</v>
      </c>
      <c r="D309" s="11">
        <v>11.4</v>
      </c>
      <c r="E309" s="3">
        <v>77</v>
      </c>
      <c r="F309" s="38">
        <f>IF(AND(C309&gt;100,D309&lt;13,B309&gt;32.5),"High Performance",IF(AND(C309&lt;= 100,C309&gt;=60,D309&gt;=13,D309&lt;=19,B309&gt;=17,B309&lt;=32.5),"Mid Range","Economy"))</f>
      </c>
      <c r="G309" s="2"/>
      <c r="H309" s="2"/>
      <c r="I309" s="9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9"/>
      <c r="V309" s="2"/>
      <c r="W309" s="9"/>
      <c r="X309" s="9"/>
      <c r="Y309" s="9"/>
      <c r="Z309" s="9"/>
    </row>
    <row x14ac:dyDescent="0.25" r="310" customHeight="1" ht="18.75">
      <c r="A310" s="2" t="s">
        <v>230</v>
      </c>
      <c r="B310" s="11">
        <v>17.5</v>
      </c>
      <c r="C310" s="3">
        <v>145</v>
      </c>
      <c r="D310" s="11">
        <v>12.5</v>
      </c>
      <c r="E310" s="3">
        <v>77</v>
      </c>
      <c r="F310" s="38">
        <f>IF(AND(C310&gt;100,D310&lt;13,B310&gt;32.5),"High Performance",IF(AND(C310&lt;= 100,C310&gt;=60,D310&gt;=13,D310&lt;=19,B310&gt;=17,B310&lt;=32.5),"Mid Range","Economy"))</f>
      </c>
      <c r="G310" s="2"/>
      <c r="H310" s="2"/>
      <c r="I310" s="9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9"/>
      <c r="V310" s="2"/>
      <c r="W310" s="9"/>
      <c r="X310" s="9"/>
      <c r="Y310" s="9"/>
      <c r="Z310" s="9"/>
    </row>
    <row x14ac:dyDescent="0.25" r="311" customHeight="1" ht="18.75">
      <c r="A311" s="2" t="s">
        <v>274</v>
      </c>
      <c r="B311" s="11">
        <v>15.5</v>
      </c>
      <c r="C311" s="3">
        <v>145</v>
      </c>
      <c r="D311" s="11">
        <v>13.7</v>
      </c>
      <c r="E311" s="3">
        <v>77</v>
      </c>
      <c r="F311" s="38">
        <f>IF(AND(C311&gt;100,D311&lt;13,B311&gt;32.5),"High Performance",IF(AND(C311&lt;= 100,C311&gt;=60,D311&gt;=13,D311&lt;=19,B311&gt;=17,B311&lt;=32.5),"Mid Range","Economy"))</f>
      </c>
      <c r="G311" s="2"/>
      <c r="H311" s="2"/>
      <c r="I311" s="9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9"/>
      <c r="V311" s="2"/>
      <c r="W311" s="9"/>
      <c r="X311" s="9"/>
      <c r="Y311" s="9"/>
      <c r="Z311" s="9"/>
    </row>
    <row x14ac:dyDescent="0.25" r="312" customHeight="1" ht="18.75">
      <c r="A312" s="2" t="s">
        <v>275</v>
      </c>
      <c r="B312" s="3">
        <v>16</v>
      </c>
      <c r="C312" s="3">
        <v>149</v>
      </c>
      <c r="D312" s="11">
        <v>14.5</v>
      </c>
      <c r="E312" s="3">
        <v>77</v>
      </c>
      <c r="F312" s="38">
        <f>IF(AND(C312&gt;100,D312&lt;13,B312&gt;32.5),"High Performance",IF(AND(C312&lt;= 100,C312&gt;=60,D312&gt;=13,D312&lt;=19,B312&gt;=17,B312&lt;=32.5),"Mid Range","Economy"))</f>
      </c>
      <c r="G312" s="2"/>
      <c r="H312" s="2"/>
      <c r="I312" s="9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9"/>
      <c r="V312" s="2"/>
      <c r="W312" s="9"/>
      <c r="X312" s="9"/>
      <c r="Y312" s="9"/>
      <c r="Z312" s="9"/>
    </row>
    <row x14ac:dyDescent="0.25" r="313" customHeight="1" ht="18.75">
      <c r="A313" s="2" t="s">
        <v>276</v>
      </c>
      <c r="B313" s="3">
        <v>15</v>
      </c>
      <c r="C313" s="3">
        <v>130</v>
      </c>
      <c r="D313" s="11">
        <v>14.9</v>
      </c>
      <c r="E313" s="3">
        <v>77</v>
      </c>
      <c r="F313" s="38">
        <f>IF(AND(C313&gt;100,D313&lt;13,B313&gt;32.5),"High Performance",IF(AND(C313&lt;= 100,C313&gt;=60,D313&gt;=13,D313&lt;=19,B313&gt;=17,B313&lt;=32.5),"Mid Range","Economy"))</f>
      </c>
      <c r="G313" s="2"/>
      <c r="H313" s="2"/>
      <c r="I313" s="9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9"/>
      <c r="V313" s="2"/>
      <c r="W313" s="9"/>
      <c r="X313" s="9"/>
      <c r="Y313" s="9"/>
      <c r="Z313" s="9"/>
    </row>
    <row x14ac:dyDescent="0.25" r="314" customHeight="1" ht="18.75">
      <c r="A314" s="2" t="s">
        <v>277</v>
      </c>
      <c r="B314" s="3">
        <v>17</v>
      </c>
      <c r="C314" s="3">
        <v>110</v>
      </c>
      <c r="D314" s="3">
        <v>19</v>
      </c>
      <c r="E314" s="3">
        <v>77</v>
      </c>
      <c r="F314" s="38">
        <f>IF(AND(C314&gt;100,D314&lt;13,B314&gt;32.5),"High Performance",IF(AND(C314&lt;= 100,C314&gt;=60,D314&gt;=13,D314&lt;=19,B314&gt;=17,B314&lt;=32.5),"Mid Range","Economy"))</f>
      </c>
      <c r="G314" s="2"/>
      <c r="H314" s="2"/>
      <c r="I314" s="9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9"/>
      <c r="V314" s="2"/>
      <c r="W314" s="9"/>
      <c r="X314" s="9"/>
      <c r="Y314" s="9"/>
      <c r="Z314" s="9"/>
    </row>
    <row x14ac:dyDescent="0.25" r="315" customHeight="1" ht="18.75">
      <c r="A315" s="2" t="s">
        <v>278</v>
      </c>
      <c r="B315" s="11">
        <v>23.2</v>
      </c>
      <c r="C315" s="3">
        <v>105</v>
      </c>
      <c r="D315" s="11">
        <v>16.7</v>
      </c>
      <c r="E315" s="3">
        <v>78</v>
      </c>
      <c r="F315" s="38">
        <f>IF(AND(C315&gt;100,D315&lt;13,B315&gt;32.5),"High Performance",IF(AND(C315&lt;= 100,C315&gt;=60,D315&gt;=13,D315&lt;=19,B315&gt;=17,B315&lt;=32.5),"Mid Range","Economy"))</f>
      </c>
      <c r="G315" s="2"/>
      <c r="H315" s="2"/>
      <c r="I315" s="9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9"/>
      <c r="V315" s="2"/>
      <c r="W315" s="9"/>
      <c r="X315" s="9"/>
      <c r="Y315" s="9"/>
      <c r="Z315" s="9"/>
    </row>
    <row x14ac:dyDescent="0.25" r="316" customHeight="1" ht="18.75">
      <c r="A316" s="2" t="s">
        <v>279</v>
      </c>
      <c r="B316" s="11">
        <v>36.1</v>
      </c>
      <c r="C316" s="3">
        <v>66</v>
      </c>
      <c r="D316" s="11">
        <v>14.4</v>
      </c>
      <c r="E316" s="3">
        <v>78</v>
      </c>
      <c r="F316" s="38">
        <f>IF(AND(C316&gt;100,D316&lt;13,B316&gt;32.5),"High Performance",IF(AND(C316&lt;= 100,C316&gt;=60,D316&gt;=13,D316&lt;=19,B316&gt;=17,B316&lt;=32.5),"Mid Range","Economy"))</f>
      </c>
      <c r="G316" s="2"/>
      <c r="H316" s="2"/>
      <c r="I316" s="9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9"/>
      <c r="V316" s="2"/>
      <c r="W316" s="9"/>
      <c r="X316" s="9"/>
      <c r="Y316" s="9"/>
      <c r="Z316" s="9"/>
    </row>
    <row x14ac:dyDescent="0.25" r="317" customHeight="1" ht="18.75">
      <c r="A317" s="2" t="s">
        <v>280</v>
      </c>
      <c r="B317" s="11">
        <v>30.9</v>
      </c>
      <c r="C317" s="3">
        <v>75</v>
      </c>
      <c r="D317" s="11">
        <v>14.5</v>
      </c>
      <c r="E317" s="3">
        <v>78</v>
      </c>
      <c r="F317" s="38">
        <f>IF(AND(C317&gt;100,D317&lt;13,B317&gt;32.5),"High Performance",IF(AND(C317&lt;= 100,C317&gt;=60,D317&gt;=13,D317&lt;=19,B317&gt;=17,B317&lt;=32.5),"Mid Range","Economy"))</f>
      </c>
      <c r="G317" s="2"/>
      <c r="H317" s="2"/>
      <c r="I317" s="9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9"/>
      <c r="V317" s="2"/>
      <c r="W317" s="9"/>
      <c r="X317" s="9"/>
      <c r="Y317" s="9"/>
      <c r="Z317" s="9"/>
    </row>
    <row x14ac:dyDescent="0.25" r="318" customHeight="1" ht="18.75">
      <c r="A318" s="2" t="s">
        <v>281</v>
      </c>
      <c r="B318" s="11">
        <v>25.1</v>
      </c>
      <c r="C318" s="3">
        <v>88</v>
      </c>
      <c r="D318" s="11">
        <v>15.4</v>
      </c>
      <c r="E318" s="3">
        <v>78</v>
      </c>
      <c r="F318" s="38">
        <f>IF(AND(C318&gt;100,D318&lt;13,B318&gt;32.5),"High Performance",IF(AND(C318&lt;= 100,C318&gt;=60,D318&gt;=13,D318&lt;=19,B318&gt;=17,B318&lt;=32.5),"Mid Range","Economy"))</f>
      </c>
      <c r="G318" s="2"/>
      <c r="H318" s="2"/>
      <c r="I318" s="9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9"/>
      <c r="V318" s="2"/>
      <c r="W318" s="9"/>
      <c r="X318" s="9"/>
      <c r="Y318" s="9"/>
      <c r="Z318" s="9"/>
    </row>
    <row x14ac:dyDescent="0.25" r="319" customHeight="1" ht="18.75">
      <c r="A319" s="2" t="s">
        <v>251</v>
      </c>
      <c r="B319" s="3">
        <v>30</v>
      </c>
      <c r="C319" s="3">
        <v>68</v>
      </c>
      <c r="D319" s="11">
        <v>16.5</v>
      </c>
      <c r="E319" s="3">
        <v>78</v>
      </c>
      <c r="F319" s="38">
        <f>IF(AND(C319&gt;100,D319&lt;13,B319&gt;32.5),"High Performance",IF(AND(C319&lt;= 100,C319&gt;=60,D319&gt;=13,D319&lt;=19,B319&gt;=17,B319&lt;=32.5),"Mid Range","Economy"))</f>
      </c>
      <c r="G319" s="2"/>
      <c r="H319" s="2"/>
      <c r="I319" s="9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9"/>
      <c r="V319" s="2"/>
      <c r="W319" s="9"/>
      <c r="X319" s="9"/>
      <c r="Y319" s="9"/>
      <c r="Z319" s="9"/>
    </row>
    <row x14ac:dyDescent="0.25" r="320" customHeight="1" ht="18.75">
      <c r="A320" s="2" t="s">
        <v>282</v>
      </c>
      <c r="B320" s="11">
        <v>23.8</v>
      </c>
      <c r="C320" s="3">
        <v>85</v>
      </c>
      <c r="D320" s="11">
        <v>17.6</v>
      </c>
      <c r="E320" s="3">
        <v>78</v>
      </c>
      <c r="F320" s="38">
        <f>IF(AND(C320&gt;100,D320&lt;13,B320&gt;32.5),"High Performance",IF(AND(C320&lt;= 100,C320&gt;=60,D320&gt;=13,D320&lt;=19,B320&gt;=17,B320&lt;=32.5),"Mid Range","Economy"))</f>
      </c>
      <c r="G320" s="2"/>
      <c r="H320" s="2"/>
      <c r="I320" s="9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9"/>
      <c r="V320" s="2"/>
      <c r="W320" s="9"/>
      <c r="X320" s="9"/>
      <c r="Y320" s="9"/>
      <c r="Z320" s="9"/>
    </row>
    <row x14ac:dyDescent="0.25" r="321" customHeight="1" ht="18.75">
      <c r="A321" s="2" t="s">
        <v>283</v>
      </c>
      <c r="B321" s="11">
        <v>17.7</v>
      </c>
      <c r="C321" s="3">
        <v>165</v>
      </c>
      <c r="D321" s="11">
        <v>13.4</v>
      </c>
      <c r="E321" s="3">
        <v>78</v>
      </c>
      <c r="F321" s="38">
        <f>IF(AND(C321&gt;100,D321&lt;13,B321&gt;32.5),"High Performance",IF(AND(C321&lt;= 100,C321&gt;=60,D321&gt;=13,D321&lt;=19,B321&gt;=17,B321&lt;=32.5),"Mid Range","Economy"))</f>
      </c>
      <c r="G321" s="2"/>
      <c r="H321" s="2"/>
      <c r="I321" s="9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9"/>
      <c r="V321" s="2"/>
      <c r="W321" s="9"/>
      <c r="X321" s="9"/>
      <c r="Y321" s="9"/>
      <c r="Z321" s="9"/>
    </row>
    <row x14ac:dyDescent="0.25" r="322" customHeight="1" ht="18.75">
      <c r="A322" s="2" t="s">
        <v>284</v>
      </c>
      <c r="B322" s="11">
        <v>18.1</v>
      </c>
      <c r="C322" s="3">
        <v>120</v>
      </c>
      <c r="D322" s="11">
        <v>15.1</v>
      </c>
      <c r="E322" s="3">
        <v>78</v>
      </c>
      <c r="F322" s="38">
        <f>IF(AND(C322&gt;100,D322&lt;13,B322&gt;32.5),"High Performance",IF(AND(C322&lt;= 100,C322&gt;=60,D322&gt;=13,D322&lt;=19,B322&gt;=17,B322&lt;=32.5),"Mid Range","Economy"))</f>
      </c>
      <c r="G322" s="2"/>
      <c r="H322" s="2"/>
      <c r="I322" s="9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9"/>
      <c r="V322" s="2"/>
      <c r="W322" s="9"/>
      <c r="X322" s="9"/>
      <c r="Y322" s="9"/>
      <c r="Z322" s="9"/>
    </row>
    <row x14ac:dyDescent="0.25" r="323" customHeight="1" ht="18.75">
      <c r="A323" s="2" t="s">
        <v>285</v>
      </c>
      <c r="B323" s="11">
        <v>20.6</v>
      </c>
      <c r="C323" s="3">
        <v>105</v>
      </c>
      <c r="D323" s="11">
        <v>15.8</v>
      </c>
      <c r="E323" s="3">
        <v>78</v>
      </c>
      <c r="F323" s="38">
        <f>IF(AND(C323&gt;100,D323&lt;13,B323&gt;32.5),"High Performance",IF(AND(C323&lt;= 100,C323&gt;=60,D323&gt;=13,D323&lt;=19,B323&gt;=17,B323&lt;=32.5),"Mid Range","Economy"))</f>
      </c>
      <c r="G323" s="2"/>
      <c r="H323" s="2"/>
      <c r="I323" s="9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9"/>
      <c r="V323" s="2"/>
      <c r="W323" s="9"/>
      <c r="X323" s="9"/>
      <c r="Y323" s="9"/>
      <c r="Z323" s="9"/>
    </row>
    <row x14ac:dyDescent="0.25" r="324" customHeight="1" ht="18.75">
      <c r="A324" s="2" t="s">
        <v>286</v>
      </c>
      <c r="B324" s="11">
        <v>18.6</v>
      </c>
      <c r="C324" s="3">
        <v>110</v>
      </c>
      <c r="D324" s="11">
        <v>18.7</v>
      </c>
      <c r="E324" s="3">
        <v>78</v>
      </c>
      <c r="F324" s="38">
        <f>IF(AND(C324&gt;100,D324&lt;13,B324&gt;32.5),"High Performance",IF(AND(C324&lt;= 100,C324&gt;=60,D324&gt;=13,D324&lt;=19,B324&gt;=17,B324&lt;=32.5),"Mid Range","Economy"))</f>
      </c>
      <c r="G324" s="2"/>
      <c r="H324" s="2"/>
      <c r="I324" s="9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9"/>
      <c r="V324" s="2"/>
      <c r="W324" s="9"/>
      <c r="X324" s="9"/>
      <c r="Y324" s="9"/>
      <c r="Z324" s="9"/>
    </row>
    <row x14ac:dyDescent="0.25" r="325" customHeight="1" ht="18.75">
      <c r="A325" s="2" t="s">
        <v>224</v>
      </c>
      <c r="B325" s="11">
        <v>20.5</v>
      </c>
      <c r="C325" s="3">
        <v>95</v>
      </c>
      <c r="D325" s="11">
        <v>18.2</v>
      </c>
      <c r="E325" s="3">
        <v>78</v>
      </c>
      <c r="F325" s="38">
        <f>IF(AND(C325&gt;100,D325&lt;13,B325&gt;32.5),"High Performance",IF(AND(C325&lt;= 100,C325&gt;=60,D325&gt;=13,D325&lt;=19,B325&gt;=17,B325&lt;=32.5),"Mid Range","Economy"))</f>
      </c>
      <c r="G325" s="2"/>
      <c r="H325" s="2"/>
      <c r="I325" s="9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9"/>
      <c r="V325" s="2"/>
      <c r="W325" s="9"/>
      <c r="X325" s="9"/>
      <c r="Y325" s="9"/>
      <c r="Z325" s="9"/>
    </row>
    <row x14ac:dyDescent="0.25" r="326" customHeight="1" ht="18.75">
      <c r="A326" s="2" t="s">
        <v>287</v>
      </c>
      <c r="B326" s="11">
        <v>19.2</v>
      </c>
      <c r="C326" s="3">
        <v>105</v>
      </c>
      <c r="D326" s="11">
        <v>19.2</v>
      </c>
      <c r="E326" s="3">
        <v>78</v>
      </c>
      <c r="F326" s="38">
        <f>IF(AND(C326&gt;100,D326&lt;13,B326&gt;32.5),"High Performance",IF(AND(C326&lt;= 100,C326&gt;=60,D326&gt;=13,D326&lt;=19,B326&gt;=17,B326&lt;=32.5),"Mid Range","Economy"))</f>
      </c>
      <c r="G326" s="2"/>
      <c r="H326" s="2"/>
      <c r="I326" s="9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9"/>
      <c r="V326" s="2"/>
      <c r="W326" s="9"/>
      <c r="X326" s="9"/>
      <c r="Y326" s="9"/>
      <c r="Z326" s="9"/>
    </row>
    <row x14ac:dyDescent="0.25" r="327" customHeight="1" ht="18.75">
      <c r="A327" s="2" t="s">
        <v>288</v>
      </c>
      <c r="B327" s="11">
        <v>20.5</v>
      </c>
      <c r="C327" s="3">
        <v>100</v>
      </c>
      <c r="D327" s="11">
        <v>17.2</v>
      </c>
      <c r="E327" s="3">
        <v>78</v>
      </c>
      <c r="F327" s="38">
        <f>IF(AND(C327&gt;100,D327&lt;13,B327&gt;32.5),"High Performance",IF(AND(C327&lt;= 100,C327&gt;=60,D327&gt;=13,D327&lt;=19,B327&gt;=17,B327&lt;=32.5),"Mid Range","Economy"))</f>
      </c>
      <c r="G327" s="2"/>
      <c r="H327" s="2"/>
      <c r="I327" s="9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9"/>
      <c r="V327" s="2"/>
      <c r="W327" s="9"/>
      <c r="X327" s="9"/>
      <c r="Y327" s="9"/>
      <c r="Z327" s="9"/>
    </row>
    <row x14ac:dyDescent="0.25" r="328" customHeight="1" ht="18.75">
      <c r="A328" s="2" t="s">
        <v>289</v>
      </c>
      <c r="B328" s="11">
        <v>20.2</v>
      </c>
      <c r="C328" s="3">
        <v>85</v>
      </c>
      <c r="D328" s="11">
        <v>15.8</v>
      </c>
      <c r="E328" s="3">
        <v>78</v>
      </c>
      <c r="F328" s="38">
        <f>IF(AND(C328&gt;100,D328&lt;13,B328&gt;32.5),"High Performance",IF(AND(C328&lt;= 100,C328&gt;=60,D328&gt;=13,D328&lt;=19,B328&gt;=17,B328&lt;=32.5),"Mid Range","Economy"))</f>
      </c>
      <c r="G328" s="2"/>
      <c r="H328" s="2"/>
      <c r="I328" s="9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9"/>
      <c r="V328" s="2"/>
      <c r="W328" s="9"/>
      <c r="X328" s="9"/>
      <c r="Y328" s="9"/>
      <c r="Z328" s="9"/>
    </row>
    <row x14ac:dyDescent="0.25" r="329" customHeight="1" ht="18.75">
      <c r="A329" s="2" t="s">
        <v>290</v>
      </c>
      <c r="B329" s="11">
        <v>19.4</v>
      </c>
      <c r="C329" s="3">
        <v>90</v>
      </c>
      <c r="D329" s="11">
        <v>17.2</v>
      </c>
      <c r="E329" s="3">
        <v>78</v>
      </c>
      <c r="F329" s="38">
        <f>IF(AND(C329&gt;100,D329&lt;13,B329&gt;32.5),"High Performance",IF(AND(C329&lt;= 100,C329&gt;=60,D329&gt;=13,D329&lt;=19,B329&gt;=17,B329&lt;=32.5),"Mid Range","Economy"))</f>
      </c>
      <c r="G329" s="2"/>
      <c r="H329" s="2"/>
      <c r="I329" s="9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9"/>
      <c r="V329" s="2"/>
      <c r="W329" s="9"/>
      <c r="X329" s="9"/>
      <c r="Y329" s="9"/>
      <c r="Z329" s="9"/>
    </row>
    <row x14ac:dyDescent="0.25" r="330" customHeight="1" ht="18.75">
      <c r="A330" s="2" t="s">
        <v>291</v>
      </c>
      <c r="B330" s="11">
        <v>20.8</v>
      </c>
      <c r="C330" s="3">
        <v>85</v>
      </c>
      <c r="D330" s="11">
        <v>16.7</v>
      </c>
      <c r="E330" s="3">
        <v>78</v>
      </c>
      <c r="F330" s="38">
        <f>IF(AND(C330&gt;100,D330&lt;13,B330&gt;32.5),"High Performance",IF(AND(C330&lt;= 100,C330&gt;=60,D330&gt;=13,D330&lt;=19,B330&gt;=17,B330&lt;=32.5),"Mid Range","Economy"))</f>
      </c>
      <c r="G330" s="2"/>
      <c r="H330" s="2"/>
      <c r="I330" s="9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9"/>
      <c r="V330" s="2"/>
      <c r="W330" s="9"/>
      <c r="X330" s="9"/>
      <c r="Y330" s="9"/>
      <c r="Z330" s="9"/>
    </row>
    <row x14ac:dyDescent="0.25" r="331" customHeight="1" ht="18.75">
      <c r="A331" s="2" t="s">
        <v>292</v>
      </c>
      <c r="B331" s="11">
        <v>18.1</v>
      </c>
      <c r="C331" s="3">
        <v>139</v>
      </c>
      <c r="D331" s="11">
        <v>11.2</v>
      </c>
      <c r="E331" s="3">
        <v>78</v>
      </c>
      <c r="F331" s="38">
        <f>IF(AND(C331&gt;100,D331&lt;13,B331&gt;32.5),"High Performance",IF(AND(C331&lt;= 100,C331&gt;=60,D331&gt;=13,D331&lt;=19,B331&gt;=17,B331&lt;=32.5),"Mid Range","Economy"))</f>
      </c>
      <c r="G331" s="2"/>
      <c r="H331" s="2"/>
      <c r="I331" s="9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9"/>
      <c r="V331" s="2"/>
      <c r="W331" s="9"/>
      <c r="X331" s="9"/>
      <c r="Y331" s="9"/>
      <c r="Z331" s="9"/>
    </row>
    <row x14ac:dyDescent="0.25" r="332" customHeight="1" ht="18.75">
      <c r="A332" s="2" t="s">
        <v>273</v>
      </c>
      <c r="B332" s="11">
        <v>19.2</v>
      </c>
      <c r="C332" s="3">
        <v>145</v>
      </c>
      <c r="D332" s="11">
        <v>13.2</v>
      </c>
      <c r="E332" s="3">
        <v>78</v>
      </c>
      <c r="F332" s="38">
        <f>IF(AND(C332&gt;100,D332&lt;13,B332&gt;32.5),"High Performance",IF(AND(C332&lt;= 100,C332&gt;=60,D332&gt;=13,D332&lt;=19,B332&gt;=17,B332&lt;=32.5),"Mid Range","Economy"))</f>
      </c>
      <c r="G332" s="2"/>
      <c r="H332" s="2"/>
      <c r="I332" s="9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9"/>
      <c r="V332" s="2"/>
      <c r="W332" s="9"/>
      <c r="X332" s="9"/>
      <c r="Y332" s="9"/>
      <c r="Z332" s="9"/>
    </row>
    <row x14ac:dyDescent="0.25" r="333" customHeight="1" ht="18.75">
      <c r="A333" s="2" t="s">
        <v>293</v>
      </c>
      <c r="B333" s="11">
        <v>20.2</v>
      </c>
      <c r="C333" s="3">
        <v>139</v>
      </c>
      <c r="D333" s="11">
        <v>12.8</v>
      </c>
      <c r="E333" s="3">
        <v>78</v>
      </c>
      <c r="F333" s="38">
        <f>IF(AND(C333&gt;100,D333&lt;13,B333&gt;32.5),"High Performance",IF(AND(C333&lt;= 100,C333&gt;=60,D333&gt;=13,D333&lt;=19,B333&gt;=17,B333&lt;=32.5),"Mid Range","Economy"))</f>
      </c>
      <c r="G333" s="2"/>
      <c r="H333" s="2"/>
      <c r="I333" s="9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9"/>
      <c r="V333" s="2"/>
      <c r="W333" s="9"/>
      <c r="X333" s="9"/>
      <c r="Y333" s="9"/>
      <c r="Z333" s="9"/>
    </row>
    <row x14ac:dyDescent="0.25" r="334" customHeight="1" ht="18.75">
      <c r="A334" s="2" t="s">
        <v>294</v>
      </c>
      <c r="B334" s="11">
        <v>19.4</v>
      </c>
      <c r="C334" s="3">
        <v>140</v>
      </c>
      <c r="D334" s="11">
        <v>13.2</v>
      </c>
      <c r="E334" s="3">
        <v>78</v>
      </c>
      <c r="F334" s="38">
        <f>IF(AND(C334&gt;100,D334&lt;13,B334&gt;32.5),"High Performance",IF(AND(C334&lt;= 100,C334&gt;=60,D334&gt;=13,D334&lt;=19,B334&gt;=17,B334&lt;=32.5),"Mid Range","Economy"))</f>
      </c>
      <c r="G334" s="2"/>
      <c r="H334" s="2"/>
      <c r="I334" s="9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9"/>
      <c r="V334" s="2"/>
      <c r="W334" s="9"/>
      <c r="X334" s="9"/>
      <c r="Y334" s="9"/>
      <c r="Z334" s="9"/>
    </row>
    <row x14ac:dyDescent="0.25" r="335" customHeight="1" ht="18.75">
      <c r="A335" s="2" t="s">
        <v>295</v>
      </c>
      <c r="B335" s="11">
        <v>17.5</v>
      </c>
      <c r="C335" s="3">
        <v>140</v>
      </c>
      <c r="D335" s="11">
        <v>13.7</v>
      </c>
      <c r="E335" s="3">
        <v>78</v>
      </c>
      <c r="F335" s="38">
        <f>IF(AND(C335&gt;100,D335&lt;13,B335&gt;32.5),"High Performance",IF(AND(C335&lt;= 100,C335&gt;=60,D335&gt;=13,D335&lt;=19,B335&gt;=17,B335&lt;=32.5),"Mid Range","Economy"))</f>
      </c>
      <c r="G335" s="2"/>
      <c r="H335" s="2"/>
      <c r="I335" s="9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9"/>
      <c r="V335" s="2"/>
      <c r="W335" s="9"/>
      <c r="X335" s="9"/>
      <c r="Y335" s="9"/>
      <c r="Z335" s="9"/>
    </row>
    <row x14ac:dyDescent="0.25" r="336" customHeight="1" ht="18.75">
      <c r="A336" s="2" t="s">
        <v>296</v>
      </c>
      <c r="B336" s="11">
        <v>19.9</v>
      </c>
      <c r="C336" s="3">
        <v>110</v>
      </c>
      <c r="D336" s="11">
        <v>15.5</v>
      </c>
      <c r="E336" s="3">
        <v>78</v>
      </c>
      <c r="F336" s="38">
        <f>IF(AND(C336&gt;100,D336&lt;13,B336&gt;32.5),"High Performance",IF(AND(C336&lt;= 100,C336&gt;=60,D336&gt;=13,D336&lt;=19,B336&gt;=17,B336&lt;=32.5),"Mid Range","Economy"))</f>
      </c>
      <c r="G336" s="2"/>
      <c r="H336" s="2"/>
      <c r="I336" s="9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9"/>
      <c r="V336" s="2"/>
      <c r="W336" s="9"/>
      <c r="X336" s="9"/>
      <c r="Y336" s="9"/>
      <c r="Z336" s="9"/>
    </row>
    <row x14ac:dyDescent="0.25" r="337" customHeight="1" ht="18.75">
      <c r="A337" s="2" t="s">
        <v>297</v>
      </c>
      <c r="B337" s="11">
        <v>35.7</v>
      </c>
      <c r="C337" s="3">
        <v>80</v>
      </c>
      <c r="D337" s="11">
        <v>14.4</v>
      </c>
      <c r="E337" s="3">
        <v>79</v>
      </c>
      <c r="F337" s="38">
        <f>IF(AND(C337&gt;100,D337&lt;13,B337&gt;32.5),"High Performance",IF(AND(C337&lt;= 100,C337&gt;=60,D337&gt;=13,D337&lt;=19,B337&gt;=17,B337&lt;=32.5),"Mid Range","Economy"))</f>
      </c>
      <c r="G337" s="2"/>
      <c r="H337" s="2"/>
      <c r="I337" s="9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9"/>
      <c r="V337" s="2"/>
      <c r="W337" s="9"/>
      <c r="X337" s="9"/>
      <c r="Y337" s="9"/>
      <c r="Z337" s="9"/>
    </row>
    <row x14ac:dyDescent="0.25" r="338" customHeight="1" ht="18.75">
      <c r="A338" s="2" t="s">
        <v>298</v>
      </c>
      <c r="B338" s="11">
        <v>33.5</v>
      </c>
      <c r="C338" s="3">
        <v>90</v>
      </c>
      <c r="D338" s="11">
        <v>13.2</v>
      </c>
      <c r="E338" s="3">
        <v>79</v>
      </c>
      <c r="F338" s="38">
        <f>IF(AND(C338&gt;100,D338&lt;13,B338&gt;32.5),"High Performance",IF(AND(C338&lt;= 100,C338&gt;=60,D338&gt;=13,D338&lt;=19,B338&gt;=17,B338&lt;=32.5),"Mid Range","Economy"))</f>
      </c>
      <c r="G338" s="2"/>
      <c r="H338" s="2"/>
      <c r="I338" s="9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9"/>
      <c r="V338" s="2"/>
      <c r="W338" s="9"/>
      <c r="X338" s="9"/>
      <c r="Y338" s="9"/>
      <c r="Z338" s="9"/>
    </row>
    <row x14ac:dyDescent="0.25" r="339" customHeight="1" ht="18.75">
      <c r="A339" s="2" t="s">
        <v>299</v>
      </c>
      <c r="B339" s="11">
        <v>28.4</v>
      </c>
      <c r="C339" s="3">
        <v>90</v>
      </c>
      <c r="D339" s="3">
        <v>16</v>
      </c>
      <c r="E339" s="3">
        <v>79</v>
      </c>
      <c r="F339" s="38">
        <f>IF(AND(C339&gt;100,D339&lt;13,B339&gt;32.5),"High Performance",IF(AND(C339&lt;= 100,C339&gt;=60,D339&gt;=13,D339&lt;=19,B339&gt;=17,B339&lt;=32.5),"Mid Range","Economy"))</f>
      </c>
      <c r="G339" s="2"/>
      <c r="H339" s="2"/>
      <c r="I339" s="9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9"/>
      <c r="V339" s="2"/>
      <c r="W339" s="9"/>
      <c r="X339" s="9"/>
      <c r="Y339" s="9"/>
      <c r="Z339" s="9"/>
    </row>
    <row x14ac:dyDescent="0.25" r="340" customHeight="1" ht="18.75">
      <c r="A340" s="2" t="s">
        <v>300</v>
      </c>
      <c r="B340" s="11">
        <v>34.5</v>
      </c>
      <c r="C340" s="3">
        <v>70</v>
      </c>
      <c r="D340" s="11">
        <v>14.9</v>
      </c>
      <c r="E340" s="3">
        <v>79</v>
      </c>
      <c r="F340" s="38">
        <f>IF(AND(C340&gt;100,D340&lt;13,B340&gt;32.5),"High Performance",IF(AND(C340&lt;= 100,C340&gt;=60,D340&gt;=13,D340&lt;=19,B340&gt;=17,B340&lt;=32.5),"Mid Range","Economy"))</f>
      </c>
      <c r="G340" s="2"/>
      <c r="H340" s="2"/>
      <c r="I340" s="9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9"/>
      <c r="V340" s="2"/>
      <c r="W340" s="9"/>
      <c r="X340" s="9"/>
      <c r="Y340" s="9"/>
      <c r="Z340" s="9"/>
    </row>
    <row x14ac:dyDescent="0.25" r="341" customHeight="1" ht="18.75">
      <c r="A341" s="2" t="s">
        <v>301</v>
      </c>
      <c r="B341" s="11">
        <v>34.2</v>
      </c>
      <c r="C341" s="3">
        <v>70</v>
      </c>
      <c r="D341" s="11">
        <v>13.2</v>
      </c>
      <c r="E341" s="3">
        <v>79</v>
      </c>
      <c r="F341" s="38">
        <f>IF(AND(C341&gt;100,D341&lt;13,B341&gt;32.5),"High Performance",IF(AND(C341&lt;= 100,C341&gt;=60,D341&gt;=13,D341&lt;=19,B341&gt;=17,B341&lt;=32.5),"Mid Range","Economy"))</f>
      </c>
      <c r="G341" s="2"/>
      <c r="H341" s="2"/>
      <c r="I341" s="9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9"/>
      <c r="V341" s="2"/>
      <c r="W341" s="9"/>
      <c r="X341" s="9"/>
      <c r="Y341" s="9"/>
      <c r="Z341" s="9"/>
    </row>
    <row x14ac:dyDescent="0.25" r="342" customHeight="1" ht="18.75">
      <c r="A342" s="2" t="s">
        <v>302</v>
      </c>
      <c r="B342" s="11">
        <v>22.3</v>
      </c>
      <c r="C342" s="3">
        <v>88</v>
      </c>
      <c r="D342" s="11">
        <v>17.3</v>
      </c>
      <c r="E342" s="3">
        <v>79</v>
      </c>
      <c r="F342" s="38">
        <f>IF(AND(C342&gt;100,D342&lt;13,B342&gt;32.5),"High Performance",IF(AND(C342&lt;= 100,C342&gt;=60,D342&gt;=13,D342&lt;=19,B342&gt;=17,B342&lt;=32.5),"Mid Range","Economy"))</f>
      </c>
      <c r="G342" s="2"/>
      <c r="H342" s="2"/>
      <c r="I342" s="9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9"/>
      <c r="V342" s="2"/>
      <c r="W342" s="9"/>
      <c r="X342" s="9"/>
      <c r="Y342" s="9"/>
      <c r="Z342" s="9"/>
    </row>
    <row x14ac:dyDescent="0.25" r="343" customHeight="1" ht="18.75">
      <c r="A343" s="2" t="s">
        <v>303</v>
      </c>
      <c r="B343" s="11">
        <v>27.4</v>
      </c>
      <c r="C343" s="3">
        <v>80</v>
      </c>
      <c r="D343" s="3">
        <v>15</v>
      </c>
      <c r="E343" s="3">
        <v>79</v>
      </c>
      <c r="F343" s="38">
        <f>IF(AND(C343&gt;100,D343&lt;13,B343&gt;32.5),"High Performance",IF(AND(C343&lt;= 100,C343&gt;=60,D343&gt;=13,D343&lt;=19,B343&gt;=17,B343&lt;=32.5),"Mid Range","Economy"))</f>
      </c>
      <c r="G343" s="2"/>
      <c r="H343" s="2"/>
      <c r="I343" s="9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9"/>
      <c r="V343" s="2"/>
      <c r="W343" s="9"/>
      <c r="X343" s="9"/>
      <c r="Y343" s="9"/>
      <c r="Z343" s="9"/>
    </row>
    <row x14ac:dyDescent="0.25" r="344" customHeight="1" ht="18.75">
      <c r="A344" s="2" t="s">
        <v>304</v>
      </c>
      <c r="B344" s="11">
        <v>28.8</v>
      </c>
      <c r="C344" s="3">
        <v>115</v>
      </c>
      <c r="D344" s="11">
        <v>11.3</v>
      </c>
      <c r="E344" s="3">
        <v>79</v>
      </c>
      <c r="F344" s="38">
        <f>IF(AND(C344&gt;100,D344&lt;13,B344&gt;32.5),"High Performance",IF(AND(C344&lt;= 100,C344&gt;=60,D344&gt;=13,D344&lt;=19,B344&gt;=17,B344&lt;=32.5),"Mid Range","Economy"))</f>
      </c>
      <c r="G344" s="2"/>
      <c r="H344" s="2"/>
      <c r="I344" s="9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9"/>
      <c r="V344" s="2"/>
      <c r="W344" s="9"/>
      <c r="X344" s="9"/>
      <c r="Y344" s="9"/>
      <c r="Z344" s="9"/>
    </row>
    <row x14ac:dyDescent="0.25" r="345" customHeight="1" ht="18.75">
      <c r="A345" s="2" t="s">
        <v>305</v>
      </c>
      <c r="B345" s="11">
        <v>26.8</v>
      </c>
      <c r="C345" s="3">
        <v>115</v>
      </c>
      <c r="D345" s="11">
        <v>12.9</v>
      </c>
      <c r="E345" s="3">
        <v>79</v>
      </c>
      <c r="F345" s="38">
        <f>IF(AND(C345&gt;100,D345&lt;13,B345&gt;32.5),"High Performance",IF(AND(C345&lt;= 100,C345&gt;=60,D345&gt;=13,D345&lt;=19,B345&gt;=17,B345&lt;=32.5),"Mid Range","Economy"))</f>
      </c>
      <c r="G345" s="2"/>
      <c r="H345" s="2"/>
      <c r="I345" s="9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9"/>
      <c r="V345" s="2"/>
      <c r="W345" s="9"/>
      <c r="X345" s="9"/>
      <c r="Y345" s="9"/>
      <c r="Z345" s="9"/>
    </row>
    <row x14ac:dyDescent="0.25" r="346" customHeight="1" ht="18.75">
      <c r="A346" s="2" t="s">
        <v>306</v>
      </c>
      <c r="B346" s="11">
        <v>21.5</v>
      </c>
      <c r="C346" s="3">
        <v>115</v>
      </c>
      <c r="D346" s="11">
        <v>15.4</v>
      </c>
      <c r="E346" s="3">
        <v>79</v>
      </c>
      <c r="F346" s="38">
        <f>IF(AND(C346&gt;100,D346&lt;13,B346&gt;32.5),"High Performance",IF(AND(C346&lt;= 100,C346&gt;=60,D346&gt;=13,D346&lt;=19,B346&gt;=17,B346&lt;=32.5),"Mid Range","Economy"))</f>
      </c>
      <c r="G346" s="2"/>
      <c r="H346" s="2"/>
      <c r="I346" s="9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9"/>
      <c r="V346" s="2"/>
      <c r="W346" s="9"/>
      <c r="X346" s="9"/>
      <c r="Y346" s="9"/>
      <c r="Z346" s="9"/>
    </row>
    <row x14ac:dyDescent="0.25" r="347" customHeight="1" ht="18.75">
      <c r="A347" s="2" t="s">
        <v>307</v>
      </c>
      <c r="B347" s="11">
        <v>20.6</v>
      </c>
      <c r="C347" s="3">
        <v>110</v>
      </c>
      <c r="D347" s="11">
        <v>16.6</v>
      </c>
      <c r="E347" s="3">
        <v>79</v>
      </c>
      <c r="F347" s="38">
        <f>IF(AND(C347&gt;100,D347&lt;13,B347&gt;32.5),"High Performance",IF(AND(C347&lt;= 100,C347&gt;=60,D347&gt;=13,D347&lt;=19,B347&gt;=17,B347&lt;=32.5),"Mid Range","Economy"))</f>
      </c>
      <c r="G347" s="2"/>
      <c r="H347" s="2"/>
      <c r="I347" s="9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9"/>
      <c r="V347" s="2"/>
      <c r="W347" s="9"/>
      <c r="X347" s="9"/>
      <c r="Y347" s="9"/>
      <c r="Z347" s="9"/>
    </row>
    <row x14ac:dyDescent="0.25" r="348" customHeight="1" ht="18.75">
      <c r="A348" s="2" t="s">
        <v>308</v>
      </c>
      <c r="B348" s="11">
        <v>19.8</v>
      </c>
      <c r="C348" s="3">
        <v>85</v>
      </c>
      <c r="D348" s="11">
        <v>18.2</v>
      </c>
      <c r="E348" s="3">
        <v>79</v>
      </c>
      <c r="F348" s="38">
        <f>IF(AND(C348&gt;100,D348&lt;13,B348&gt;32.5),"High Performance",IF(AND(C348&lt;= 100,C348&gt;=60,D348&gt;=13,D348&lt;=19,B348&gt;=17,B348&lt;=32.5),"Mid Range","Economy"))</f>
      </c>
      <c r="G348" s="2"/>
      <c r="H348" s="2"/>
      <c r="I348" s="9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9"/>
      <c r="V348" s="2"/>
      <c r="W348" s="9"/>
      <c r="X348" s="9"/>
      <c r="Y348" s="9"/>
      <c r="Z348" s="9"/>
    </row>
    <row x14ac:dyDescent="0.25" r="349" customHeight="1" ht="18.75">
      <c r="A349" s="2" t="s">
        <v>309</v>
      </c>
      <c r="B349" s="11">
        <v>20.2</v>
      </c>
      <c r="C349" s="3">
        <v>90</v>
      </c>
      <c r="D349" s="11">
        <v>18.2</v>
      </c>
      <c r="E349" s="3">
        <v>79</v>
      </c>
      <c r="F349" s="38">
        <f>IF(AND(C349&gt;100,D349&lt;13,B349&gt;32.5),"High Performance",IF(AND(C349&lt;= 100,C349&gt;=60,D349&gt;=13,D349&lt;=19,B349&gt;=17,B349&lt;=32.5),"Mid Range","Economy"))</f>
      </c>
      <c r="G349" s="2"/>
      <c r="H349" s="2"/>
      <c r="I349" s="9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9"/>
      <c r="V349" s="2"/>
      <c r="W349" s="9"/>
      <c r="X349" s="9"/>
      <c r="Y349" s="9"/>
      <c r="Z349" s="9"/>
    </row>
    <row x14ac:dyDescent="0.25" r="350" customHeight="1" ht="18.75">
      <c r="A350" s="2" t="s">
        <v>310</v>
      </c>
      <c r="B350" s="11">
        <v>18.5</v>
      </c>
      <c r="C350" s="3">
        <v>150</v>
      </c>
      <c r="D350" s="3">
        <v>13</v>
      </c>
      <c r="E350" s="3">
        <v>79</v>
      </c>
      <c r="F350" s="38">
        <f>IF(AND(C350&gt;100,D350&lt;13,B350&gt;32.5),"High Performance",IF(AND(C350&lt;= 100,C350&gt;=60,D350&gt;=13,D350&lt;=19,B350&gt;=17,B350&lt;=32.5),"Mid Range","Economy"))</f>
      </c>
      <c r="G350" s="2"/>
      <c r="H350" s="2"/>
      <c r="I350" s="9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9"/>
      <c r="V350" s="2"/>
      <c r="W350" s="9"/>
      <c r="X350" s="9"/>
      <c r="Y350" s="9"/>
      <c r="Z350" s="9"/>
    </row>
    <row x14ac:dyDescent="0.25" r="351" customHeight="1" ht="18.75">
      <c r="A351" s="2" t="s">
        <v>163</v>
      </c>
      <c r="B351" s="11">
        <v>16.9</v>
      </c>
      <c r="C351" s="3">
        <v>155</v>
      </c>
      <c r="D351" s="11">
        <v>14.9</v>
      </c>
      <c r="E351" s="3">
        <v>79</v>
      </c>
      <c r="F351" s="38">
        <f>IF(AND(C351&gt;100,D351&lt;13,B351&gt;32.5),"High Performance",IF(AND(C351&lt;= 100,C351&gt;=60,D351&gt;=13,D351&lt;=19,B351&gt;=17,B351&lt;=32.5),"Mid Range","Economy"))</f>
      </c>
      <c r="G351" s="2"/>
      <c r="H351" s="2"/>
      <c r="I351" s="9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9"/>
      <c r="V351" s="2"/>
      <c r="W351" s="9"/>
      <c r="X351" s="9"/>
      <c r="Y351" s="9"/>
      <c r="Z351" s="9"/>
    </row>
    <row x14ac:dyDescent="0.25" r="352" customHeight="1" ht="18.75">
      <c r="A352" s="2" t="s">
        <v>311</v>
      </c>
      <c r="B352" s="11">
        <v>18.2</v>
      </c>
      <c r="C352" s="3">
        <v>135</v>
      </c>
      <c r="D352" s="11">
        <v>15.2</v>
      </c>
      <c r="E352" s="3">
        <v>79</v>
      </c>
      <c r="F352" s="38">
        <f>IF(AND(C352&gt;100,D352&lt;13,B352&gt;32.5),"High Performance",IF(AND(C352&lt;= 100,C352&gt;=60,D352&gt;=13,D352&lt;=19,B352&gt;=17,B352&lt;=32.5),"Mid Range","Economy"))</f>
      </c>
      <c r="G352" s="2"/>
      <c r="H352" s="2"/>
      <c r="I352" s="9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9"/>
      <c r="V352" s="2"/>
      <c r="W352" s="9"/>
      <c r="X352" s="9"/>
      <c r="Y352" s="9"/>
      <c r="Z352" s="9"/>
    </row>
    <row x14ac:dyDescent="0.25" r="353" customHeight="1" ht="18.75">
      <c r="A353" s="2" t="s">
        <v>194</v>
      </c>
      <c r="B353" s="11">
        <v>15.5</v>
      </c>
      <c r="C353" s="3">
        <v>142</v>
      </c>
      <c r="D353" s="11">
        <v>14.3</v>
      </c>
      <c r="E353" s="3">
        <v>79</v>
      </c>
      <c r="F353" s="38">
        <f>IF(AND(C353&gt;100,D353&lt;13,B353&gt;32.5),"High Performance",IF(AND(C353&lt;= 100,C353&gt;=60,D353&gt;=13,D353&lt;=19,B353&gt;=17,B353&lt;=32.5),"Mid Range","Economy"))</f>
      </c>
      <c r="G353" s="2"/>
      <c r="H353" s="2"/>
      <c r="I353" s="9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9"/>
      <c r="V353" s="2"/>
      <c r="W353" s="9"/>
      <c r="X353" s="9"/>
      <c r="Y353" s="9"/>
      <c r="Z353" s="9"/>
    </row>
    <row x14ac:dyDescent="0.25" r="354" customHeight="1" ht="18.75">
      <c r="A354" s="2" t="s">
        <v>312</v>
      </c>
      <c r="B354" s="11">
        <v>16.5</v>
      </c>
      <c r="C354" s="3">
        <v>138</v>
      </c>
      <c r="D354" s="11">
        <v>13.2</v>
      </c>
      <c r="E354" s="3">
        <v>79</v>
      </c>
      <c r="F354" s="38">
        <f>IF(AND(C354&gt;100,D354&lt;13,B354&gt;32.5),"High Performance",IF(AND(C354&lt;= 100,C354&gt;=60,D354&gt;=13,D354&lt;=19,B354&gt;=17,B354&lt;=32.5),"Mid Range","Economy"))</f>
      </c>
      <c r="G354" s="2"/>
      <c r="H354" s="2"/>
      <c r="I354" s="9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9"/>
      <c r="V354" s="2"/>
      <c r="W354" s="9"/>
      <c r="X354" s="9"/>
      <c r="Y354" s="9"/>
      <c r="Z354" s="9"/>
    </row>
    <row x14ac:dyDescent="0.25" r="355" customHeight="1" ht="18.75">
      <c r="A355" s="2" t="s">
        <v>313</v>
      </c>
      <c r="B355" s="11">
        <v>19.2</v>
      </c>
      <c r="C355" s="3">
        <v>125</v>
      </c>
      <c r="D355" s="3">
        <v>15</v>
      </c>
      <c r="E355" s="3">
        <v>79</v>
      </c>
      <c r="F355" s="38">
        <f>IF(AND(C355&gt;100,D355&lt;13,B355&gt;32.5),"High Performance",IF(AND(C355&lt;= 100,C355&gt;=60,D355&gt;=13,D355&lt;=19,B355&gt;=17,B355&lt;=32.5),"Mid Range","Economy"))</f>
      </c>
      <c r="G355" s="2"/>
      <c r="H355" s="2"/>
      <c r="I355" s="9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9"/>
      <c r="V355" s="2"/>
      <c r="W355" s="9"/>
      <c r="X355" s="9"/>
      <c r="Y355" s="9"/>
      <c r="Z355" s="9"/>
    </row>
    <row x14ac:dyDescent="0.25" r="356" customHeight="1" ht="18.75">
      <c r="A356" s="2" t="s">
        <v>314</v>
      </c>
      <c r="B356" s="11">
        <v>17.6</v>
      </c>
      <c r="C356" s="3">
        <v>129</v>
      </c>
      <c r="D356" s="11">
        <v>13.4</v>
      </c>
      <c r="E356" s="3">
        <v>79</v>
      </c>
      <c r="F356" s="38">
        <f>IF(AND(C356&gt;100,D356&lt;13,B356&gt;32.5),"High Performance",IF(AND(C356&lt;= 100,C356&gt;=60,D356&gt;=13,D356&lt;=19,B356&gt;=17,B356&lt;=32.5),"Mid Range","Economy"))</f>
      </c>
      <c r="G356" s="2"/>
      <c r="H356" s="2"/>
      <c r="I356" s="9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9"/>
      <c r="V356" s="2"/>
      <c r="W356" s="9"/>
      <c r="X356" s="9"/>
      <c r="Y356" s="9"/>
      <c r="Z356" s="9"/>
    </row>
    <row x14ac:dyDescent="0.25" r="357" customHeight="1" ht="18.75">
      <c r="A357" s="2" t="s">
        <v>230</v>
      </c>
      <c r="B357" s="3">
        <v>17</v>
      </c>
      <c r="C357" s="3">
        <v>130</v>
      </c>
      <c r="D357" s="11">
        <v>15.4</v>
      </c>
      <c r="E357" s="3">
        <v>79</v>
      </c>
      <c r="F357" s="38">
        <f>IF(AND(C357&gt;100,D357&lt;13,B357&gt;32.5),"High Performance",IF(AND(C357&lt;= 100,C357&gt;=60,D357&gt;=13,D357&lt;=19,B357&gt;=17,B357&lt;=32.5),"Mid Range","Economy"))</f>
      </c>
      <c r="G357" s="2"/>
      <c r="H357" s="2"/>
      <c r="I357" s="9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9"/>
      <c r="V357" s="2"/>
      <c r="W357" s="9"/>
      <c r="X357" s="9"/>
      <c r="Y357" s="9"/>
      <c r="Z357" s="9"/>
    </row>
    <row x14ac:dyDescent="0.25" r="358" customHeight="1" ht="18.75">
      <c r="A358" s="2" t="s">
        <v>315</v>
      </c>
      <c r="B358" s="3">
        <v>23</v>
      </c>
      <c r="C358" s="3">
        <v>125</v>
      </c>
      <c r="D358" s="11">
        <v>17.4</v>
      </c>
      <c r="E358" s="3">
        <v>79</v>
      </c>
      <c r="F358" s="38">
        <f>IF(AND(C358&gt;100,D358&lt;13,B358&gt;32.5),"High Performance",IF(AND(C358&lt;= 100,C358&gt;=60,D358&gt;=13,D358&lt;=19,B358&gt;=17,B358&lt;=32.5),"Mid Range","Economy"))</f>
      </c>
      <c r="G358" s="2"/>
      <c r="H358" s="2"/>
      <c r="I358" s="9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9"/>
      <c r="V358" s="2"/>
      <c r="W358" s="9"/>
      <c r="X358" s="9"/>
      <c r="Y358" s="9"/>
      <c r="Z358" s="9"/>
    </row>
    <row x14ac:dyDescent="0.25" r="359" customHeight="1" ht="18.75">
      <c r="A359" s="2" t="s">
        <v>296</v>
      </c>
      <c r="B359" s="11">
        <v>23.9</v>
      </c>
      <c r="C359" s="3">
        <v>90</v>
      </c>
      <c r="D359" s="11">
        <v>22.2</v>
      </c>
      <c r="E359" s="3">
        <v>79</v>
      </c>
      <c r="F359" s="38">
        <f>IF(AND(C359&gt;100,D359&lt;13,B359&gt;32.5),"High Performance",IF(AND(C359&lt;= 100,C359&gt;=60,D359&gt;=13,D359&lt;=19,B359&gt;=17,B359&lt;=32.5),"Mid Range","Economy"))</f>
      </c>
      <c r="G359" s="2"/>
      <c r="H359" s="2"/>
      <c r="I359" s="9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9"/>
      <c r="V359" s="2"/>
      <c r="W359" s="9"/>
      <c r="X359" s="9"/>
      <c r="Y359" s="9"/>
      <c r="Z359" s="9"/>
    </row>
    <row x14ac:dyDescent="0.25" r="360" customHeight="1" ht="18.75">
      <c r="A360" s="2" t="s">
        <v>231</v>
      </c>
      <c r="B360" s="11">
        <v>27.9</v>
      </c>
      <c r="C360" s="3">
        <v>105</v>
      </c>
      <c r="D360" s="11">
        <v>14.4</v>
      </c>
      <c r="E360" s="3">
        <v>80</v>
      </c>
      <c r="F360" s="38">
        <f>IF(AND(C360&gt;100,D360&lt;13,B360&gt;32.5),"High Performance",IF(AND(C360&lt;= 100,C360&gt;=60,D360&gt;=13,D360&lt;=19,B360&gt;=17,B360&lt;=32.5),"Mid Range","Economy"))</f>
      </c>
      <c r="G360" s="2"/>
      <c r="H360" s="2"/>
      <c r="I360" s="9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9"/>
      <c r="V360" s="2"/>
      <c r="W360" s="9"/>
      <c r="X360" s="9"/>
      <c r="Y360" s="9"/>
      <c r="Z360" s="9"/>
    </row>
    <row x14ac:dyDescent="0.25" r="361" customHeight="1" ht="18.75">
      <c r="A361" s="2" t="s">
        <v>304</v>
      </c>
      <c r="B361" s="3">
        <v>28</v>
      </c>
      <c r="C361" s="3">
        <v>90</v>
      </c>
      <c r="D361" s="11">
        <v>16.5</v>
      </c>
      <c r="E361" s="3">
        <v>80</v>
      </c>
      <c r="F361" s="38">
        <f>IF(AND(C361&gt;100,D361&lt;13,B361&gt;32.5),"High Performance",IF(AND(C361&lt;= 100,C361&gt;=60,D361&gt;=13,D361&lt;=19,B361&gt;=17,B361&lt;=32.5),"Mid Range","Economy"))</f>
      </c>
      <c r="G361" s="2"/>
      <c r="H361" s="2"/>
      <c r="I361" s="9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9"/>
      <c r="V361" s="2"/>
      <c r="W361" s="9"/>
      <c r="X361" s="9"/>
      <c r="Y361" s="9"/>
      <c r="Z361" s="9"/>
    </row>
    <row x14ac:dyDescent="0.25" r="362" customHeight="1" ht="18.75">
      <c r="A362" s="2" t="s">
        <v>251</v>
      </c>
      <c r="B362" s="11">
        <v>32.1</v>
      </c>
      <c r="C362" s="3">
        <v>70</v>
      </c>
      <c r="D362" s="11">
        <v>15.5</v>
      </c>
      <c r="E362" s="3">
        <v>80</v>
      </c>
      <c r="F362" s="38">
        <f>IF(AND(C362&gt;100,D362&lt;13,B362&gt;32.5),"High Performance",IF(AND(C362&lt;= 100,C362&gt;=60,D362&gt;=13,D362&lt;=19,B362&gt;=17,B362&lt;=32.5),"Mid Range","Economy"))</f>
      </c>
      <c r="G362" s="2"/>
      <c r="H362" s="2"/>
      <c r="I362" s="9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9"/>
      <c r="V362" s="2"/>
      <c r="W362" s="9"/>
      <c r="X362" s="9"/>
      <c r="Y362" s="9"/>
      <c r="Z362" s="9"/>
    </row>
    <row x14ac:dyDescent="0.25" r="363" customHeight="1" ht="18.75">
      <c r="A363" s="2" t="s">
        <v>316</v>
      </c>
      <c r="B363" s="11">
        <v>26.4</v>
      </c>
      <c r="C363" s="3">
        <v>88</v>
      </c>
      <c r="D363" s="11">
        <v>18.1</v>
      </c>
      <c r="E363" s="3">
        <v>80</v>
      </c>
      <c r="F363" s="38">
        <f>IF(AND(C363&gt;100,D363&lt;13,B363&gt;32.5),"High Performance",IF(AND(C363&lt;= 100,C363&gt;=60,D363&gt;=13,D363&lt;=19,B363&gt;=17,B363&lt;=32.5),"Mid Range","Economy"))</f>
      </c>
      <c r="G363" s="2"/>
      <c r="H363" s="2"/>
      <c r="I363" s="9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9"/>
      <c r="V363" s="2"/>
      <c r="W363" s="9"/>
      <c r="X363" s="9"/>
      <c r="Y363" s="9"/>
      <c r="Z363" s="9"/>
    </row>
    <row x14ac:dyDescent="0.25" r="364" customHeight="1" ht="18.75">
      <c r="A364" s="2" t="s">
        <v>290</v>
      </c>
      <c r="B364" s="11">
        <v>24.3</v>
      </c>
      <c r="C364" s="3">
        <v>90</v>
      </c>
      <c r="D364" s="11">
        <v>20.1</v>
      </c>
      <c r="E364" s="3">
        <v>80</v>
      </c>
      <c r="F364" s="38">
        <f>IF(AND(C364&gt;100,D364&lt;13,B364&gt;32.5),"High Performance",IF(AND(C364&lt;= 100,C364&gt;=60,D364&gt;=13,D364&lt;=19,B364&gt;=17,B364&lt;=32.5),"Mid Range","Economy"))</f>
      </c>
      <c r="G364" s="2"/>
      <c r="H364" s="2"/>
      <c r="I364" s="9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9"/>
      <c r="V364" s="2"/>
      <c r="W364" s="9"/>
      <c r="X364" s="9"/>
      <c r="Y364" s="9"/>
      <c r="Z364" s="9"/>
    </row>
    <row x14ac:dyDescent="0.25" r="365" customHeight="1" ht="18.75">
      <c r="A365" s="2" t="s">
        <v>317</v>
      </c>
      <c r="B365" s="11">
        <v>23.6</v>
      </c>
      <c r="C365" s="1"/>
      <c r="D365" s="11">
        <v>14.3</v>
      </c>
      <c r="E365" s="3">
        <v>80</v>
      </c>
      <c r="F365" s="38">
        <f>IF(AND(C365&gt;100,D365&lt;13,B365&gt;32.5),"High Performance",IF(AND(C365&lt;= 100,C365&gt;=60,D365&gt;=13,D365&lt;=19,B365&gt;=17,B365&lt;=32.5),"Mid Range","Economy"))</f>
      </c>
      <c r="G365" s="2"/>
      <c r="H365" s="2"/>
      <c r="I365" s="9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9"/>
      <c r="V365" s="2"/>
      <c r="W365" s="9"/>
      <c r="X365" s="9"/>
      <c r="Y365" s="9"/>
      <c r="Z365" s="9"/>
    </row>
    <row x14ac:dyDescent="0.25" r="366" customHeight="1" ht="18.75">
      <c r="A366" s="2" t="s">
        <v>286</v>
      </c>
      <c r="B366" s="11">
        <v>19.1</v>
      </c>
      <c r="C366" s="3">
        <v>90</v>
      </c>
      <c r="D366" s="11">
        <v>18.7</v>
      </c>
      <c r="E366" s="3">
        <v>80</v>
      </c>
      <c r="F366" s="38">
        <f>IF(AND(C366&gt;100,D366&lt;13,B366&gt;32.5),"High Performance",IF(AND(C366&lt;= 100,C366&gt;=60,D366&gt;=13,D366&lt;=19,B366&gt;=17,B366&lt;=32.5),"Mid Range","Economy"))</f>
      </c>
      <c r="G366" s="2"/>
      <c r="H366" s="2"/>
      <c r="I366" s="9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9"/>
      <c r="V366" s="2"/>
      <c r="W366" s="9"/>
      <c r="X366" s="9"/>
      <c r="Y366" s="9"/>
      <c r="Z366" s="9"/>
    </row>
    <row x14ac:dyDescent="0.25" r="367" customHeight="1" ht="18.75">
      <c r="A367" s="2" t="s">
        <v>318</v>
      </c>
      <c r="B367" s="3">
        <v>30</v>
      </c>
      <c r="C367" s="3">
        <v>84</v>
      </c>
      <c r="D367" s="11">
        <v>12.9</v>
      </c>
      <c r="E367" s="3">
        <v>81</v>
      </c>
      <c r="F367" s="38">
        <f>IF(AND(C367&gt;100,D367&lt;13,B367&gt;32.5),"High Performance",IF(AND(C367&lt;= 100,C367&gt;=60,D367&gt;=13,D367&lt;=19,B367&gt;=17,B367&lt;=32.5),"Mid Range","Economy"))</f>
      </c>
      <c r="G367" s="2"/>
      <c r="H367" s="2"/>
      <c r="I367" s="9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9"/>
      <c r="V367" s="2"/>
      <c r="W367" s="9"/>
      <c r="X367" s="9"/>
      <c r="Y367" s="9"/>
      <c r="Z367" s="9"/>
    </row>
    <row x14ac:dyDescent="0.25" r="368" customHeight="1" ht="18.75">
      <c r="A368" s="2" t="s">
        <v>319</v>
      </c>
      <c r="B368" s="11">
        <v>25.8</v>
      </c>
      <c r="C368" s="3">
        <v>92</v>
      </c>
      <c r="D368" s="11">
        <v>14.4</v>
      </c>
      <c r="E368" s="3">
        <v>81</v>
      </c>
      <c r="F368" s="38">
        <f>IF(AND(C368&gt;100,D368&lt;13,B368&gt;32.5),"High Performance",IF(AND(C368&lt;= 100,C368&gt;=60,D368&gt;=13,D368&lt;=19,B368&gt;=17,B368&lt;=32.5),"Mid Range","Economy"))</f>
      </c>
      <c r="G368" s="2"/>
      <c r="H368" s="2"/>
      <c r="I368" s="9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9"/>
      <c r="V368" s="2"/>
      <c r="W368" s="9"/>
      <c r="X368" s="9"/>
      <c r="Y368" s="9"/>
      <c r="Z368" s="9"/>
    </row>
    <row x14ac:dyDescent="0.25" r="369" customHeight="1" ht="18.75">
      <c r="A369" s="2" t="s">
        <v>320</v>
      </c>
      <c r="B369" s="3">
        <v>39</v>
      </c>
      <c r="C369" s="3">
        <v>64</v>
      </c>
      <c r="D369" s="11">
        <v>16.4</v>
      </c>
      <c r="E369" s="3">
        <v>81</v>
      </c>
      <c r="F369" s="38">
        <f>IF(AND(C369&gt;100,D369&lt;13,B369&gt;32.5),"High Performance",IF(AND(C369&lt;= 100,C369&gt;=60,D369&gt;=13,D369&lt;=19,B369&gt;=17,B369&lt;=32.5),"Mid Range","Economy"))</f>
      </c>
      <c r="G369" s="2"/>
      <c r="H369" s="2"/>
      <c r="I369" s="9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9"/>
      <c r="V369" s="2"/>
      <c r="W369" s="9"/>
      <c r="X369" s="9"/>
      <c r="Y369" s="9"/>
      <c r="Z369" s="9"/>
    </row>
    <row x14ac:dyDescent="0.25" r="370" customHeight="1" ht="18.75">
      <c r="A370" s="2" t="s">
        <v>318</v>
      </c>
      <c r="B370" s="11">
        <v>27.2</v>
      </c>
      <c r="C370" s="3">
        <v>84</v>
      </c>
      <c r="D370" s="11">
        <v>15.7</v>
      </c>
      <c r="E370" s="3">
        <v>81</v>
      </c>
      <c r="F370" s="38">
        <f>IF(AND(C370&gt;100,D370&lt;13,B370&gt;32.5),"High Performance",IF(AND(C370&lt;= 100,C370&gt;=60,D370&gt;=13,D370&lt;=19,B370&gt;=17,B370&lt;=32.5),"Mid Range","Economy"))</f>
      </c>
      <c r="G370" s="2"/>
      <c r="H370" s="2"/>
      <c r="I370" s="9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9"/>
      <c r="V370" s="2"/>
      <c r="W370" s="9"/>
      <c r="X370" s="9"/>
      <c r="Y370" s="9"/>
      <c r="Z370" s="9"/>
    </row>
    <row x14ac:dyDescent="0.25" r="371" customHeight="1" ht="18.75">
      <c r="A371" s="2" t="s">
        <v>268</v>
      </c>
      <c r="B371" s="11">
        <v>26.6</v>
      </c>
      <c r="C371" s="3">
        <v>84</v>
      </c>
      <c r="D371" s="11">
        <v>16.4</v>
      </c>
      <c r="E371" s="3">
        <v>81</v>
      </c>
      <c r="F371" s="38">
        <f>IF(AND(C371&gt;100,D371&lt;13,B371&gt;32.5),"High Performance",IF(AND(C371&lt;= 100,C371&gt;=60,D371&gt;=13,D371&lt;=19,B371&gt;=17,B371&lt;=32.5),"Mid Range","Economy"))</f>
      </c>
      <c r="G371" s="2"/>
      <c r="H371" s="2"/>
      <c r="I371" s="9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9"/>
      <c r="V371" s="2"/>
      <c r="W371" s="9"/>
      <c r="X371" s="9"/>
      <c r="Y371" s="9"/>
      <c r="Z371" s="9"/>
    </row>
    <row x14ac:dyDescent="0.25" r="372" customHeight="1" ht="18.75">
      <c r="A372" s="2" t="s">
        <v>321</v>
      </c>
      <c r="B372" s="11">
        <v>34.4</v>
      </c>
      <c r="C372" s="3">
        <v>65</v>
      </c>
      <c r="D372" s="11">
        <v>16.2</v>
      </c>
      <c r="E372" s="3">
        <v>81</v>
      </c>
      <c r="F372" s="38">
        <f>IF(AND(C372&gt;100,D372&lt;13,B372&gt;32.5),"High Performance",IF(AND(C372&lt;= 100,C372&gt;=60,D372&gt;=13,D372&lt;=19,B372&gt;=17,B372&lt;=32.5),"Mid Range","Economy"))</f>
      </c>
      <c r="G372" s="2"/>
      <c r="H372" s="2"/>
      <c r="I372" s="9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9"/>
      <c r="V372" s="2"/>
      <c r="W372" s="9"/>
      <c r="X372" s="9"/>
      <c r="Y372" s="9"/>
      <c r="Z372" s="9"/>
    </row>
    <row x14ac:dyDescent="0.25" r="373" customHeight="1" ht="18.75">
      <c r="A373" s="2" t="s">
        <v>322</v>
      </c>
      <c r="B373" s="11">
        <v>34.7</v>
      </c>
      <c r="C373" s="3">
        <v>63</v>
      </c>
      <c r="D373" s="11">
        <v>14.9</v>
      </c>
      <c r="E373" s="3">
        <v>81</v>
      </c>
      <c r="F373" s="38">
        <f>IF(AND(C373&gt;100,D373&lt;13,B373&gt;32.5),"High Performance",IF(AND(C373&lt;= 100,C373&gt;=60,D373&gt;=13,D373&lt;=19,B373&gt;=17,B373&lt;=32.5),"Mid Range","Economy"))</f>
      </c>
      <c r="G373" s="2"/>
      <c r="H373" s="2"/>
      <c r="I373" s="9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9"/>
      <c r="V373" s="2"/>
      <c r="W373" s="9"/>
      <c r="X373" s="9"/>
      <c r="Y373" s="9"/>
      <c r="Z373" s="9"/>
    </row>
    <row x14ac:dyDescent="0.25" r="374" customHeight="1" ht="18.75">
      <c r="A374" s="2" t="s">
        <v>323</v>
      </c>
      <c r="B374" s="11">
        <v>29.9</v>
      </c>
      <c r="C374" s="3">
        <v>65</v>
      </c>
      <c r="D374" s="11">
        <v>20.7</v>
      </c>
      <c r="E374" s="3">
        <v>81</v>
      </c>
      <c r="F374" s="38">
        <f>IF(AND(C374&gt;100,D374&lt;13,B374&gt;32.5),"High Performance",IF(AND(C374&lt;= 100,C374&gt;=60,D374&gt;=13,D374&lt;=19,B374&gt;=17,B374&lt;=32.5),"Mid Range","Economy"))</f>
      </c>
      <c r="G374" s="2"/>
      <c r="H374" s="2"/>
      <c r="I374" s="9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9"/>
      <c r="V374" s="2"/>
      <c r="W374" s="9"/>
      <c r="X374" s="9"/>
      <c r="Y374" s="9"/>
      <c r="Z374" s="9"/>
    </row>
    <row x14ac:dyDescent="0.25" r="375" customHeight="1" ht="18.75">
      <c r="A375" s="2" t="s">
        <v>304</v>
      </c>
      <c r="B375" s="11">
        <v>23.5</v>
      </c>
      <c r="C375" s="3">
        <v>110</v>
      </c>
      <c r="D375" s="11">
        <v>12.6</v>
      </c>
      <c r="E375" s="3">
        <v>81</v>
      </c>
      <c r="F375" s="38">
        <f>IF(AND(C375&gt;100,D375&lt;13,B375&gt;32.5),"High Performance",IF(AND(C375&lt;= 100,C375&gt;=60,D375&gt;=13,D375&lt;=19,B375&gt;=17,B375&lt;=32.5),"Mid Range","Economy"))</f>
      </c>
      <c r="G375" s="2"/>
      <c r="H375" s="2"/>
      <c r="I375" s="9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9"/>
      <c r="V375" s="2"/>
      <c r="W375" s="9"/>
      <c r="X375" s="9"/>
      <c r="Y375" s="9"/>
      <c r="Z375" s="9"/>
    </row>
    <row x14ac:dyDescent="0.25" r="376" customHeight="1" ht="18.75">
      <c r="A376" s="2" t="s">
        <v>240</v>
      </c>
      <c r="B376" s="11">
        <v>22.4</v>
      </c>
      <c r="C376" s="3">
        <v>110</v>
      </c>
      <c r="D376" s="11">
        <v>15.8</v>
      </c>
      <c r="E376" s="3">
        <v>81</v>
      </c>
      <c r="F376" s="38">
        <f>IF(AND(C376&gt;100,D376&lt;13,B376&gt;32.5),"High Performance",IF(AND(C376&lt;= 100,C376&gt;=60,D376&gt;=13,D376&lt;=19,B376&gt;=17,B376&lt;=32.5),"Mid Range","Economy"))</f>
      </c>
      <c r="G376" s="2"/>
      <c r="H376" s="2"/>
      <c r="I376" s="9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9"/>
      <c r="V376" s="2"/>
      <c r="W376" s="9"/>
      <c r="X376" s="9"/>
      <c r="Y376" s="9"/>
      <c r="Z376" s="9"/>
    </row>
    <row x14ac:dyDescent="0.25" r="377" customHeight="1" ht="18.75">
      <c r="A377" s="2" t="s">
        <v>324</v>
      </c>
      <c r="B377" s="11">
        <v>20.2</v>
      </c>
      <c r="C377" s="3">
        <v>88</v>
      </c>
      <c r="D377" s="11">
        <v>17.1</v>
      </c>
      <c r="E377" s="3">
        <v>81</v>
      </c>
      <c r="F377" s="38">
        <f>IF(AND(C377&gt;100,D377&lt;13,B377&gt;32.5),"High Performance",IF(AND(C377&lt;= 100,C377&gt;=60,D377&gt;=13,D377&lt;=19,B377&gt;=17,B377&lt;=32.5),"Mid Range","Economy"))</f>
      </c>
      <c r="G377" s="2"/>
      <c r="H377" s="2"/>
      <c r="I377" s="9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9"/>
      <c r="V377" s="2"/>
      <c r="W377" s="9"/>
      <c r="X377" s="9"/>
      <c r="Y377" s="9"/>
      <c r="Z377" s="9"/>
    </row>
    <row x14ac:dyDescent="0.25" r="378" customHeight="1" ht="18.75">
      <c r="A378" s="2" t="s">
        <v>325</v>
      </c>
      <c r="B378" s="11">
        <v>17.6</v>
      </c>
      <c r="C378" s="3">
        <v>85</v>
      </c>
      <c r="D378" s="11">
        <v>16.6</v>
      </c>
      <c r="E378" s="3">
        <v>81</v>
      </c>
      <c r="F378" s="38">
        <f>IF(AND(C378&gt;100,D378&lt;13,B378&gt;32.5),"High Performance",IF(AND(C378&lt;= 100,C378&gt;=60,D378&gt;=13,D378&lt;=19,B378&gt;=17,B378&lt;=32.5),"Mid Range","Economy"))</f>
      </c>
      <c r="G378" s="2"/>
      <c r="H378" s="2"/>
      <c r="I378" s="9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9"/>
      <c r="V378" s="2"/>
      <c r="W378" s="9"/>
      <c r="X378" s="9"/>
      <c r="Y378" s="9"/>
      <c r="Z378" s="9"/>
    </row>
    <row x14ac:dyDescent="0.25" r="379" customHeight="1" ht="18.75">
      <c r="A379" s="2" t="s">
        <v>326</v>
      </c>
      <c r="B379" s="11">
        <v>26.6</v>
      </c>
      <c r="C379" s="3">
        <v>105</v>
      </c>
      <c r="D379" s="3">
        <v>19</v>
      </c>
      <c r="E379" s="3">
        <v>81</v>
      </c>
      <c r="F379" s="38">
        <f>IF(AND(C379&gt;100,D379&lt;13,B379&gt;32.5),"High Performance",IF(AND(C379&lt;= 100,C379&gt;=60,D379&gt;=13,D379&lt;=19,B379&gt;=17,B379&lt;=32.5),"Mid Range","Economy"))</f>
      </c>
      <c r="G379" s="2"/>
      <c r="H379" s="2"/>
      <c r="I379" s="9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9"/>
      <c r="V379" s="2"/>
      <c r="W379" s="9"/>
      <c r="X379" s="9"/>
      <c r="Y379" s="9"/>
      <c r="Z379" s="9"/>
    </row>
    <row x14ac:dyDescent="0.25" r="380" customHeight="1" ht="18.75">
      <c r="A380" s="2" t="s">
        <v>327</v>
      </c>
      <c r="B380" s="3">
        <v>34</v>
      </c>
      <c r="C380" s="3">
        <v>88</v>
      </c>
      <c r="D380" s="3">
        <v>18</v>
      </c>
      <c r="E380" s="3">
        <v>82</v>
      </c>
      <c r="F380" s="38">
        <f>IF(AND(C380&gt;100,D380&lt;13,B380&gt;32.5),"High Performance",IF(AND(C380&lt;= 100,C380&gt;=60,D380&gt;=13,D380&lt;=19,B380&gt;=17,B380&lt;=32.5),"Mid Range","Economy"))</f>
      </c>
      <c r="G380" s="2"/>
      <c r="H380" s="2"/>
      <c r="I380" s="9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9"/>
      <c r="V380" s="2"/>
      <c r="W380" s="9"/>
      <c r="X380" s="9"/>
      <c r="Y380" s="9"/>
      <c r="Z380" s="9"/>
    </row>
    <row x14ac:dyDescent="0.25" r="381" customHeight="1" ht="18.75">
      <c r="A381" s="2" t="s">
        <v>328</v>
      </c>
      <c r="B381" s="3">
        <v>32</v>
      </c>
      <c r="C381" s="3">
        <v>84</v>
      </c>
      <c r="D381" s="11">
        <v>11.6</v>
      </c>
      <c r="E381" s="3">
        <v>82</v>
      </c>
      <c r="F381" s="38">
        <f>IF(AND(C381&gt;100,D381&lt;13,B381&gt;32.5),"High Performance",IF(AND(C381&lt;= 100,C381&gt;=60,D381&gt;=13,D381&lt;=19,B381&gt;=17,B381&lt;=32.5),"Mid Range","Economy"))</f>
      </c>
      <c r="G381" s="2"/>
      <c r="H381" s="2"/>
      <c r="I381" s="9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9"/>
      <c r="V381" s="2"/>
      <c r="W381" s="9"/>
      <c r="X381" s="9"/>
      <c r="Y381" s="9"/>
      <c r="Z381" s="9"/>
    </row>
    <row x14ac:dyDescent="0.25" r="382" customHeight="1" ht="18.75">
      <c r="A382" s="2" t="s">
        <v>329</v>
      </c>
      <c r="B382" s="3">
        <v>26</v>
      </c>
      <c r="C382" s="3">
        <v>92</v>
      </c>
      <c r="D382" s="11">
        <v>14.5</v>
      </c>
      <c r="E382" s="3">
        <v>82</v>
      </c>
      <c r="F382" s="38">
        <f>IF(AND(C382&gt;100,D382&lt;13,B382&gt;32.5),"High Performance",IF(AND(C382&lt;= 100,C382&gt;=60,D382&gt;=13,D382&lt;=19,B382&gt;=17,B382&lt;=32.5),"Mid Range","Economy"))</f>
      </c>
      <c r="G382" s="2"/>
      <c r="H382" s="2"/>
      <c r="I382" s="9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9"/>
      <c r="V382" s="2"/>
      <c r="W382" s="9"/>
      <c r="X382" s="9"/>
      <c r="Y382" s="9"/>
      <c r="Z382" s="9"/>
    </row>
    <row x14ac:dyDescent="0.25" r="383" customHeight="1" ht="18.75">
      <c r="A383" s="2" t="s">
        <v>330</v>
      </c>
      <c r="B383" s="3">
        <v>36</v>
      </c>
      <c r="C383" s="3">
        <v>84</v>
      </c>
      <c r="D383" s="3">
        <v>13</v>
      </c>
      <c r="E383" s="3">
        <v>82</v>
      </c>
      <c r="F383" s="38">
        <f>IF(AND(C383&gt;100,D383&lt;13,B383&gt;32.5),"High Performance",IF(AND(C383&lt;= 100,C383&gt;=60,D383&gt;=13,D383&lt;=19,B383&gt;=17,B383&lt;=32.5),"Mid Range","Economy"))</f>
      </c>
      <c r="G383" s="2"/>
      <c r="H383" s="2"/>
      <c r="I383" s="9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9"/>
      <c r="V383" s="2"/>
      <c r="W383" s="9"/>
      <c r="X383" s="9"/>
      <c r="Y383" s="9"/>
      <c r="Z383" s="9"/>
    </row>
    <row x14ac:dyDescent="0.25" r="384" customHeight="1" ht="18.75">
      <c r="A384" s="2" t="s">
        <v>331</v>
      </c>
      <c r="B384" s="3">
        <v>28</v>
      </c>
      <c r="C384" s="3">
        <v>88</v>
      </c>
      <c r="D384" s="11">
        <v>19.6</v>
      </c>
      <c r="E384" s="3">
        <v>82</v>
      </c>
      <c r="F384" s="38">
        <f>IF(AND(C384&gt;100,D384&lt;13,B384&gt;32.5),"High Performance",IF(AND(C384&lt;= 100,C384&gt;=60,D384&gt;=13,D384&lt;=19,B384&gt;=17,B384&lt;=32.5),"Mid Range","Economy"))</f>
      </c>
      <c r="G384" s="2"/>
      <c r="H384" s="2"/>
      <c r="I384" s="9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9"/>
      <c r="V384" s="2"/>
      <c r="W384" s="9"/>
      <c r="X384" s="9"/>
      <c r="Y384" s="9"/>
      <c r="Z384" s="9"/>
    </row>
    <row x14ac:dyDescent="0.25" r="385" customHeight="1" ht="18.75">
      <c r="A385" s="2" t="s">
        <v>332</v>
      </c>
      <c r="B385" s="3">
        <v>27</v>
      </c>
      <c r="C385" s="3">
        <v>88</v>
      </c>
      <c r="D385" s="11">
        <v>18.6</v>
      </c>
      <c r="E385" s="3">
        <v>82</v>
      </c>
      <c r="F385" s="38">
        <f>IF(AND(C385&gt;100,D385&lt;13,B385&gt;32.5),"High Performance",IF(AND(C385&lt;= 100,C385&gt;=60,D385&gt;=13,D385&lt;=19,B385&gt;=17,B385&lt;=32.5),"Mid Range","Economy"))</f>
      </c>
      <c r="G385" s="2"/>
      <c r="H385" s="2"/>
      <c r="I385" s="9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9"/>
      <c r="V385" s="2"/>
      <c r="W385" s="9"/>
      <c r="X385" s="9"/>
      <c r="Y385" s="9"/>
      <c r="Z385" s="9"/>
    </row>
    <row x14ac:dyDescent="0.25" r="386" customHeight="1" ht="18.75">
      <c r="A386" s="2" t="s">
        <v>333</v>
      </c>
      <c r="B386" s="3">
        <v>29</v>
      </c>
      <c r="C386" s="3">
        <v>84</v>
      </c>
      <c r="D386" s="3">
        <v>16</v>
      </c>
      <c r="E386" s="3">
        <v>82</v>
      </c>
      <c r="F386" s="38">
        <f>IF(AND(C386&gt;100,D386&lt;13,B386&gt;32.5),"High Performance",IF(AND(C386&lt;= 100,C386&gt;=60,D386&gt;=13,D386&lt;=19,B386&gt;=17,B386&lt;=32.5),"Mid Range","Economy"))</f>
      </c>
      <c r="G386" s="2"/>
      <c r="H386" s="2"/>
      <c r="I386" s="9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9"/>
      <c r="V386" s="2"/>
      <c r="W386" s="9"/>
      <c r="X386" s="9"/>
      <c r="Y386" s="9"/>
      <c r="Z386" s="9"/>
    </row>
    <row x14ac:dyDescent="0.25" r="387" customHeight="1" ht="18.75">
      <c r="A387" s="2" t="s">
        <v>334</v>
      </c>
      <c r="B387" s="3">
        <v>31</v>
      </c>
      <c r="C387" s="3">
        <v>85</v>
      </c>
      <c r="D387" s="11">
        <v>16.2</v>
      </c>
      <c r="E387" s="3">
        <v>82</v>
      </c>
      <c r="F387" s="38">
        <f>IF(AND(C387&gt;100,D387&lt;13,B387&gt;32.5),"High Performance",IF(AND(C387&lt;= 100,C387&gt;=60,D387&gt;=13,D387&lt;=19,B387&gt;=17,B387&lt;=32.5),"Mid Range","Economy"))</f>
      </c>
      <c r="G387" s="2"/>
      <c r="H387" s="2"/>
      <c r="I387" s="9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9"/>
      <c r="V387" s="2"/>
      <c r="W387" s="9"/>
      <c r="X387" s="9"/>
      <c r="Y387" s="9"/>
      <c r="Z387" s="9"/>
    </row>
    <row x14ac:dyDescent="0.25" r="388" customHeight="1" ht="18.75">
      <c r="A388" s="2" t="s">
        <v>335</v>
      </c>
      <c r="B388" s="3">
        <v>36</v>
      </c>
      <c r="C388" s="3">
        <v>70</v>
      </c>
      <c r="D388" s="11">
        <v>17.3</v>
      </c>
      <c r="E388" s="3">
        <v>82</v>
      </c>
      <c r="F388" s="38">
        <f>IF(AND(C388&gt;100,D388&lt;13,B388&gt;32.5),"High Performance",IF(AND(C388&lt;= 100,C388&gt;=60,D388&gt;=13,D388&lt;=19,B388&gt;=17,B388&lt;=32.5),"Mid Range","Economy"))</f>
      </c>
      <c r="G388" s="2"/>
      <c r="H388" s="2"/>
      <c r="I388" s="9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9"/>
      <c r="V388" s="2"/>
      <c r="W388" s="9"/>
      <c r="X388" s="9"/>
      <c r="Y388" s="9"/>
      <c r="Z388" s="9"/>
    </row>
    <row x14ac:dyDescent="0.25" r="389" customHeight="1" ht="18.75">
      <c r="A389" s="2" t="s">
        <v>298</v>
      </c>
      <c r="B389" s="3">
        <v>27</v>
      </c>
      <c r="C389" s="3">
        <v>90</v>
      </c>
      <c r="D389" s="3">
        <v>18</v>
      </c>
      <c r="E389" s="3">
        <v>82</v>
      </c>
      <c r="F389" s="38">
        <f>IF(AND(C389&gt;100,D389&lt;13,B389&gt;32.5),"High Performance",IF(AND(C389&lt;= 100,C389&gt;=60,D389&gt;=13,D389&lt;=19,B389&gt;=17,B389&lt;=32.5),"Mid Range","Economy"))</f>
      </c>
      <c r="G389" s="2"/>
      <c r="H389" s="2"/>
      <c r="I389" s="9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9"/>
      <c r="V389" s="2"/>
      <c r="W389" s="9"/>
      <c r="X389" s="9"/>
      <c r="Y389" s="9"/>
      <c r="Z389" s="9"/>
    </row>
    <row x14ac:dyDescent="0.25" r="390" customHeight="1" ht="18.75">
      <c r="A390" s="2" t="s">
        <v>336</v>
      </c>
      <c r="B390" s="3">
        <v>24</v>
      </c>
      <c r="C390" s="3">
        <v>92</v>
      </c>
      <c r="D390" s="11">
        <v>16.4</v>
      </c>
      <c r="E390" s="3">
        <v>82</v>
      </c>
      <c r="F390" s="38">
        <f>IF(AND(C390&gt;100,D390&lt;13,B390&gt;32.5),"High Performance",IF(AND(C390&lt;= 100,C390&gt;=60,D390&gt;=13,D390&lt;=19,B390&gt;=17,B390&lt;=32.5),"Mid Range","Economy"))</f>
      </c>
      <c r="G390" s="2"/>
      <c r="H390" s="2"/>
      <c r="I390" s="9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9"/>
      <c r="V390" s="2"/>
      <c r="W390" s="9"/>
      <c r="X390" s="9"/>
      <c r="Y390" s="9"/>
      <c r="Z390" s="9"/>
    </row>
    <row x14ac:dyDescent="0.25" r="391" customHeight="1" ht="18.75">
      <c r="A391" s="2" t="s">
        <v>337</v>
      </c>
      <c r="B391" s="3">
        <v>27</v>
      </c>
      <c r="C391" s="3">
        <v>86</v>
      </c>
      <c r="D391" s="11">
        <v>15.6</v>
      </c>
      <c r="E391" s="3">
        <v>82</v>
      </c>
      <c r="F391" s="38">
        <f>IF(AND(C391&gt;100,D391&lt;13,B391&gt;32.5),"High Performance",IF(AND(C391&lt;= 100,C391&gt;=60,D391&gt;=13,D391&lt;=19,B391&gt;=17,B391&lt;=32.5),"Mid Range","Economy"))</f>
      </c>
      <c r="G391" s="2"/>
      <c r="H391" s="2"/>
      <c r="I391" s="9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9"/>
      <c r="V391" s="2"/>
      <c r="W391" s="9"/>
      <c r="X391" s="9"/>
      <c r="Y391" s="9"/>
      <c r="Z391" s="9"/>
    </row>
    <row x14ac:dyDescent="0.25" r="392" customHeight="1" ht="18.75">
      <c r="A392" s="2" t="s">
        <v>338</v>
      </c>
      <c r="B392" s="3">
        <v>27</v>
      </c>
      <c r="C392" s="3">
        <v>90</v>
      </c>
      <c r="D392" s="11">
        <v>17.3</v>
      </c>
      <c r="E392" s="3">
        <v>82</v>
      </c>
      <c r="F392" s="38">
        <f>IF(AND(C392&gt;100,D392&lt;13,B392&gt;32.5),"High Performance",IF(AND(C392&lt;= 100,C392&gt;=60,D392&gt;=13,D392&lt;=19,B392&gt;=17,B392&lt;=32.5),"Mid Range","Economy"))</f>
      </c>
      <c r="G392" s="2"/>
      <c r="H392" s="2"/>
      <c r="I392" s="9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9"/>
      <c r="V392" s="2"/>
      <c r="W392" s="9"/>
      <c r="X392" s="9"/>
      <c r="Y392" s="9"/>
      <c r="Z392" s="9"/>
    </row>
    <row x14ac:dyDescent="0.25" r="393" customHeight="1" ht="18.75">
      <c r="A393" s="2" t="s">
        <v>339</v>
      </c>
      <c r="B393" s="3">
        <v>31</v>
      </c>
      <c r="C393" s="3">
        <v>82</v>
      </c>
      <c r="D393" s="11">
        <v>19.4</v>
      </c>
      <c r="E393" s="3">
        <v>82</v>
      </c>
      <c r="F393" s="38">
        <f>IF(AND(C393&gt;100,D393&lt;13,B393&gt;32.5),"High Performance",IF(AND(C393&lt;= 100,C393&gt;=60,D393&gt;=13,D393&lt;=19,B393&gt;=17,B393&lt;=32.5),"Mid Range","Economy"))</f>
      </c>
      <c r="G393" s="2"/>
      <c r="H393" s="2"/>
      <c r="I393" s="9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9"/>
      <c r="V393" s="2"/>
      <c r="W393" s="9"/>
      <c r="X393" s="9"/>
      <c r="Y393" s="9"/>
      <c r="Z393" s="9"/>
    </row>
    <row x14ac:dyDescent="0.25" r="394" customHeight="1" ht="18.75">
      <c r="A394" s="2" t="s">
        <v>340</v>
      </c>
      <c r="B394" s="3">
        <v>28</v>
      </c>
      <c r="C394" s="3">
        <v>79</v>
      </c>
      <c r="D394" s="11">
        <v>18.6</v>
      </c>
      <c r="E394" s="3">
        <v>82</v>
      </c>
      <c r="F394" s="38">
        <f>IF(AND(C394&gt;100,D394&lt;13,B394&gt;32.5),"High Performance",IF(AND(C394&lt;= 100,C394&gt;=60,D394&gt;=13,D394&lt;=19,B394&gt;=17,B394&lt;=32.5),"Mid Range","Economy"))</f>
      </c>
      <c r="G394" s="2"/>
      <c r="H394" s="2"/>
      <c r="I394" s="9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9"/>
      <c r="V394" s="2"/>
      <c r="W394" s="9"/>
      <c r="X394" s="9"/>
      <c r="Y394" s="9"/>
      <c r="Z394" s="9"/>
    </row>
    <row x14ac:dyDescent="0.25" r="395" customHeight="1" ht="18.75">
      <c r="A395" s="2" t="s">
        <v>341</v>
      </c>
      <c r="B395" s="3">
        <v>38</v>
      </c>
      <c r="C395" s="3">
        <v>63</v>
      </c>
      <c r="D395" s="11">
        <v>14.7</v>
      </c>
      <c r="E395" s="3">
        <v>82</v>
      </c>
      <c r="F395" s="38">
        <f>IF(AND(C395&gt;100,D395&lt;13,B395&gt;32.5),"High Performance",IF(AND(C395&lt;= 100,C395&gt;=60,D395&gt;=13,D395&lt;=19,B395&gt;=17,B395&lt;=32.5),"Mid Range","Economy"))</f>
      </c>
      <c r="G395" s="2"/>
      <c r="H395" s="2"/>
      <c r="I395" s="9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9"/>
      <c r="V395" s="2"/>
      <c r="W395" s="9"/>
      <c r="X395" s="9"/>
      <c r="Y395" s="9"/>
      <c r="Z395" s="9"/>
    </row>
    <row x14ac:dyDescent="0.25" r="396" customHeight="1" ht="18.75">
      <c r="A396" s="2" t="s">
        <v>342</v>
      </c>
      <c r="B396" s="3">
        <v>23</v>
      </c>
      <c r="C396" s="1"/>
      <c r="D396" s="11">
        <v>20.5</v>
      </c>
      <c r="E396" s="3">
        <v>82</v>
      </c>
      <c r="F396" s="38">
        <f>IF(AND(C396&gt;100,D396&lt;13,B396&gt;32.5),"High Performance",IF(AND(C396&lt;= 100,C396&gt;=60,D396&gt;=13,D396&lt;=19,B396&gt;=17,B396&lt;=32.5),"Mid Range","Economy"))</f>
      </c>
      <c r="G396" s="2"/>
      <c r="H396" s="2"/>
      <c r="I396" s="9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9"/>
      <c r="V396" s="2"/>
      <c r="W396" s="9"/>
      <c r="X396" s="9"/>
      <c r="Y396" s="9"/>
      <c r="Z396" s="9"/>
    </row>
    <row x14ac:dyDescent="0.25" r="397" customHeight="1" ht="18.75">
      <c r="A397" s="2" t="s">
        <v>343</v>
      </c>
      <c r="B397" s="3">
        <v>22</v>
      </c>
      <c r="C397" s="3">
        <v>112</v>
      </c>
      <c r="D397" s="11">
        <v>14.7</v>
      </c>
      <c r="E397" s="3">
        <v>82</v>
      </c>
      <c r="F397" s="38">
        <f>IF(AND(C397&gt;100,D397&lt;13,B397&gt;32.5),"High Performance",IF(AND(C397&lt;= 100,C397&gt;=60,D397&gt;=13,D397&lt;=19,B397&gt;=17,B397&lt;=32.5),"Mid Range","Economy"))</f>
      </c>
      <c r="G397" s="2"/>
      <c r="H397" s="2"/>
      <c r="I397" s="9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9"/>
      <c r="V397" s="2"/>
      <c r="W397" s="9"/>
      <c r="X397" s="9"/>
      <c r="Y397" s="9"/>
      <c r="Z397" s="9"/>
    </row>
    <row x14ac:dyDescent="0.25" r="398" customHeight="1" ht="18.75">
      <c r="A398" s="2" t="s">
        <v>344</v>
      </c>
      <c r="B398" s="3">
        <v>25</v>
      </c>
      <c r="C398" s="3">
        <v>110</v>
      </c>
      <c r="D398" s="11">
        <v>16.4</v>
      </c>
      <c r="E398" s="3">
        <v>82</v>
      </c>
      <c r="F398" s="38">
        <f>IF(AND(C398&gt;100,D398&lt;13,B398&gt;32.5),"High Performance",IF(AND(C398&lt;= 100,C398&gt;=60,D398&gt;=13,D398&lt;=19,B398&gt;=17,B398&lt;=32.5),"Mid Range","Economy"))</f>
      </c>
      <c r="G398" s="2"/>
      <c r="H398" s="2"/>
      <c r="I398" s="9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9"/>
      <c r="V398" s="2"/>
      <c r="W398" s="9"/>
      <c r="X398" s="9"/>
      <c r="Y398" s="9"/>
      <c r="Z398" s="9"/>
    </row>
    <row x14ac:dyDescent="0.25" r="399" customHeight="1" ht="18.75">
      <c r="A399" s="2" t="s">
        <v>345</v>
      </c>
      <c r="B399" s="3">
        <v>38</v>
      </c>
      <c r="C399" s="3">
        <v>85</v>
      </c>
      <c r="D399" s="3">
        <v>17</v>
      </c>
      <c r="E399" s="3">
        <v>82</v>
      </c>
      <c r="F399" s="38">
        <f>IF(AND(C399&gt;100,D399&lt;13,B399&gt;32.5),"High Performance",IF(AND(C399&lt;= 100,C399&gt;=60,D399&gt;=13,D399&lt;=19,B399&gt;=17,B399&lt;=32.5),"Mid Range","Economy"))</f>
      </c>
      <c r="G399" s="2"/>
      <c r="H399" s="2"/>
      <c r="I399" s="9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9"/>
      <c r="V399" s="2"/>
      <c r="W399" s="9"/>
      <c r="X399" s="9"/>
      <c r="Y399" s="9"/>
      <c r="Z399" s="9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393"/>
  <sheetViews>
    <sheetView workbookViewId="0"/>
  </sheetViews>
  <sheetFormatPr defaultRowHeight="15" x14ac:dyDescent="0.25"/>
  <cols>
    <col min="1" max="1" style="4" width="11.719285714285713" customWidth="1" bestFit="1"/>
    <col min="2" max="2" style="4" width="13.576428571428572" customWidth="1" bestFit="1"/>
    <col min="3" max="3" style="4" width="12.862142857142858" customWidth="1" bestFit="1"/>
    <col min="4" max="4" style="4" width="13.576428571428572" customWidth="1" bestFit="1"/>
    <col min="5" max="5" style="5" width="13.576428571428572" customWidth="1" bestFit="1"/>
    <col min="6" max="6" style="5" width="13.576428571428572" customWidth="1" bestFit="1"/>
    <col min="7" max="7" style="5" width="28.719285714285714" customWidth="1" bestFit="1"/>
    <col min="8" max="8" style="16" width="11.576428571428572" customWidth="1" bestFit="1"/>
    <col min="9" max="9" style="16" width="13.576428571428572" customWidth="1" bestFit="1"/>
    <col min="10" max="10" style="16" width="13.576428571428572" customWidth="1" bestFit="1"/>
    <col min="11" max="11" style="15" width="12.005" customWidth="1" bestFit="1"/>
  </cols>
  <sheetData>
    <row x14ac:dyDescent="0.25" r="1" customHeight="1" ht="18.75">
      <c r="A1" s="20" t="s">
        <v>36</v>
      </c>
      <c r="B1" s="20" t="s">
        <v>32</v>
      </c>
      <c r="C1" s="20" t="s">
        <v>35</v>
      </c>
      <c r="D1" s="20" t="s">
        <v>34</v>
      </c>
      <c r="E1" s="19"/>
      <c r="F1" s="2"/>
      <c r="G1" s="22" t="s">
        <v>348</v>
      </c>
      <c r="H1" s="23" t="s">
        <v>35</v>
      </c>
      <c r="I1" s="23" t="s">
        <v>34</v>
      </c>
      <c r="J1" s="23" t="s">
        <v>32</v>
      </c>
      <c r="K1" s="35" t="s">
        <v>376</v>
      </c>
    </row>
    <row x14ac:dyDescent="0.25" r="2" customHeight="1" ht="18.75">
      <c r="A2" s="3">
        <v>113</v>
      </c>
      <c r="B2" s="3">
        <v>4</v>
      </c>
      <c r="C2" s="3">
        <v>121</v>
      </c>
      <c r="D2" s="3">
        <v>2234</v>
      </c>
      <c r="E2" s="2"/>
      <c r="F2" s="2"/>
      <c r="G2" s="22" t="s">
        <v>342</v>
      </c>
      <c r="H2" s="27">
        <v>151</v>
      </c>
      <c r="I2" s="27">
        <v>3035</v>
      </c>
      <c r="J2" s="27">
        <v>4</v>
      </c>
      <c r="K2" s="36">
        <v>498.11984725831337</v>
      </c>
    </row>
    <row x14ac:dyDescent="0.25" r="3" customHeight="1" ht="18.75">
      <c r="A3" s="3">
        <v>95</v>
      </c>
      <c r="B3" s="3">
        <v>4</v>
      </c>
      <c r="C3" s="3">
        <v>104</v>
      </c>
      <c r="D3" s="3">
        <v>2375</v>
      </c>
      <c r="E3" s="2"/>
      <c r="F3" s="2"/>
      <c r="G3" s="22" t="s">
        <v>162</v>
      </c>
      <c r="H3" s="27">
        <v>200</v>
      </c>
      <c r="I3" s="27">
        <v>2875</v>
      </c>
      <c r="J3" s="27">
        <v>6</v>
      </c>
      <c r="K3" s="36">
        <v>306.6303706688992</v>
      </c>
    </row>
    <row x14ac:dyDescent="0.25" r="4" customHeight="1" ht="18.75">
      <c r="A4" s="3">
        <v>90</v>
      </c>
      <c r="B4" s="3">
        <v>4</v>
      </c>
      <c r="C4" s="3">
        <v>107</v>
      </c>
      <c r="D4" s="3">
        <v>2430</v>
      </c>
      <c r="E4" s="2"/>
      <c r="F4" s="2"/>
      <c r="G4" s="22" t="s">
        <v>317</v>
      </c>
      <c r="H4" s="27">
        <v>140</v>
      </c>
      <c r="I4" s="27">
        <v>2905</v>
      </c>
      <c r="J4" s="27">
        <v>4</v>
      </c>
      <c r="K4" s="36">
        <v>491.45601218328284</v>
      </c>
    </row>
    <row x14ac:dyDescent="0.25" r="5" customHeight="1" ht="18.75">
      <c r="A5" s="3">
        <v>87</v>
      </c>
      <c r="B5" s="3">
        <v>4</v>
      </c>
      <c r="C5" s="3">
        <v>110</v>
      </c>
      <c r="D5" s="3">
        <v>2672</v>
      </c>
      <c r="E5" s="2"/>
      <c r="F5" s="2"/>
      <c r="G5" s="22" t="s">
        <v>185</v>
      </c>
      <c r="H5" s="27">
        <v>98</v>
      </c>
      <c r="I5" s="27">
        <v>2046</v>
      </c>
      <c r="J5" s="27">
        <v>4</v>
      </c>
      <c r="K5" s="36">
        <v>357.48304318581</v>
      </c>
    </row>
    <row x14ac:dyDescent="0.25" r="6" customHeight="1" ht="18.75">
      <c r="A6" s="3">
        <v>46</v>
      </c>
      <c r="B6" s="3">
        <v>4</v>
      </c>
      <c r="C6" s="3">
        <v>97</v>
      </c>
      <c r="D6" s="3">
        <v>1835</v>
      </c>
      <c r="E6" s="2"/>
      <c r="F6" s="2"/>
      <c r="G6" s="22" t="s">
        <v>95</v>
      </c>
      <c r="H6" s="27">
        <v>100</v>
      </c>
      <c r="I6" s="27">
        <v>2320</v>
      </c>
      <c r="J6" s="27">
        <v>4</v>
      </c>
      <c r="K6" s="36">
        <v>433.6230810986933</v>
      </c>
    </row>
    <row x14ac:dyDescent="0.25" r="7" customHeight="1" ht="18.75">
      <c r="A7" s="3">
        <v>90</v>
      </c>
      <c r="B7" s="3">
        <v>4</v>
      </c>
      <c r="C7" s="3">
        <v>116</v>
      </c>
      <c r="D7" s="3">
        <v>2123</v>
      </c>
      <c r="E7" s="2"/>
      <c r="F7" s="2"/>
      <c r="G7" s="22" t="s">
        <v>91</v>
      </c>
      <c r="H7" s="27">
        <v>85</v>
      </c>
      <c r="I7" s="27">
        <v>1835</v>
      </c>
      <c r="J7" s="27">
        <v>4</v>
      </c>
      <c r="K7" s="36">
        <v>332.43990373097154</v>
      </c>
    </row>
    <row x14ac:dyDescent="0.25" r="8" customHeight="1" ht="18.75">
      <c r="A8" s="3">
        <v>76</v>
      </c>
      <c r="B8" s="3">
        <v>4</v>
      </c>
      <c r="C8" s="3">
        <v>88</v>
      </c>
      <c r="D8" s="3">
        <v>2065</v>
      </c>
      <c r="E8" s="2"/>
      <c r="F8" s="2"/>
      <c r="G8" s="2"/>
      <c r="H8" s="9"/>
      <c r="I8" s="9"/>
      <c r="J8" s="9"/>
      <c r="K8" s="8"/>
    </row>
    <row x14ac:dyDescent="0.25" r="9" customHeight="1" ht="18.75">
      <c r="A9" s="3">
        <v>70</v>
      </c>
      <c r="B9" s="3">
        <v>4</v>
      </c>
      <c r="C9" s="3">
        <v>79</v>
      </c>
      <c r="D9" s="3">
        <v>2074</v>
      </c>
      <c r="E9" s="2"/>
      <c r="F9" s="2"/>
      <c r="G9" s="2"/>
      <c r="H9" s="9" t="s">
        <v>377</v>
      </c>
      <c r="I9" s="9"/>
      <c r="J9" s="9"/>
      <c r="K9" s="8"/>
    </row>
    <row x14ac:dyDescent="0.25" r="10" customHeight="1" ht="18.75">
      <c r="A10" s="3">
        <v>60</v>
      </c>
      <c r="B10" s="3">
        <v>4</v>
      </c>
      <c r="C10" s="3">
        <v>97</v>
      </c>
      <c r="D10" s="3">
        <v>1834</v>
      </c>
      <c r="E10" s="2"/>
      <c r="F10" s="2"/>
      <c r="G10" s="2"/>
      <c r="H10" s="9" t="s">
        <v>378</v>
      </c>
      <c r="I10" s="9" t="s">
        <v>379</v>
      </c>
      <c r="J10" s="9"/>
      <c r="K10" s="8"/>
    </row>
    <row x14ac:dyDescent="0.25" r="11" customHeight="1" ht="18.75">
      <c r="A11" s="3">
        <v>112</v>
      </c>
      <c r="B11" s="3">
        <v>4</v>
      </c>
      <c r="C11" s="3">
        <v>121</v>
      </c>
      <c r="D11" s="3">
        <v>2933</v>
      </c>
      <c r="E11" s="2"/>
      <c r="F11" s="2"/>
      <c r="G11" s="2"/>
      <c r="H11" s="3">
        <v>1</v>
      </c>
      <c r="I11" s="9" t="s">
        <v>380</v>
      </c>
      <c r="J11" s="9"/>
      <c r="K11" s="8"/>
    </row>
    <row x14ac:dyDescent="0.25" r="12" customHeight="1" ht="18.75">
      <c r="A12" s="3">
        <v>69</v>
      </c>
      <c r="B12" s="3">
        <v>4</v>
      </c>
      <c r="C12" s="3">
        <v>96</v>
      </c>
      <c r="D12" s="3">
        <v>2189</v>
      </c>
      <c r="E12" s="2"/>
      <c r="F12" s="2"/>
      <c r="G12" s="2"/>
      <c r="H12" s="3">
        <v>2</v>
      </c>
      <c r="I12" s="9" t="s">
        <v>381</v>
      </c>
      <c r="J12" s="9"/>
      <c r="K12" s="8"/>
    </row>
    <row x14ac:dyDescent="0.25" r="13" customHeight="1" ht="18.75">
      <c r="A13" s="3">
        <v>76</v>
      </c>
      <c r="B13" s="3">
        <v>4</v>
      </c>
      <c r="C13" s="3">
        <v>121</v>
      </c>
      <c r="D13" s="3">
        <v>2511</v>
      </c>
      <c r="E13" s="2"/>
      <c r="F13" s="2"/>
      <c r="G13" s="2"/>
      <c r="H13" s="3">
        <v>3</v>
      </c>
      <c r="I13" s="9" t="s">
        <v>382</v>
      </c>
      <c r="J13" s="9"/>
      <c r="K13" s="8"/>
    </row>
    <row x14ac:dyDescent="0.25" r="14" customHeight="1" ht="18.75">
      <c r="A14" s="3">
        <v>87</v>
      </c>
      <c r="B14" s="3">
        <v>4</v>
      </c>
      <c r="C14" s="3">
        <v>120</v>
      </c>
      <c r="D14" s="3">
        <v>2979</v>
      </c>
      <c r="E14" s="2"/>
      <c r="F14" s="2"/>
      <c r="G14" s="2"/>
      <c r="H14" s="3">
        <v>4</v>
      </c>
      <c r="I14" s="9" t="s">
        <v>383</v>
      </c>
      <c r="J14" s="9"/>
      <c r="K14" s="8"/>
    </row>
    <row x14ac:dyDescent="0.25" r="15" customHeight="1" ht="18.75">
      <c r="A15" s="3">
        <v>54</v>
      </c>
      <c r="B15" s="3">
        <v>4</v>
      </c>
      <c r="C15" s="3">
        <v>97</v>
      </c>
      <c r="D15" s="3">
        <v>2254</v>
      </c>
      <c r="E15" s="2"/>
      <c r="F15" s="2"/>
      <c r="G15" s="2"/>
      <c r="H15" s="3">
        <v>5</v>
      </c>
      <c r="I15" s="9" t="s">
        <v>384</v>
      </c>
      <c r="J15" s="9"/>
      <c r="K15" s="8"/>
    </row>
    <row x14ac:dyDescent="0.25" r="16" customHeight="1" ht="18.75">
      <c r="A16" s="3">
        <v>110</v>
      </c>
      <c r="B16" s="3">
        <v>4</v>
      </c>
      <c r="C16" s="3">
        <v>121</v>
      </c>
      <c r="D16" s="3">
        <v>2660</v>
      </c>
      <c r="E16" s="2"/>
      <c r="F16" s="2"/>
      <c r="G16" s="2"/>
      <c r="H16" s="9"/>
      <c r="I16" s="9"/>
      <c r="J16" s="9"/>
      <c r="K16" s="8"/>
    </row>
    <row x14ac:dyDescent="0.25" r="17" customHeight="1" ht="18.75">
      <c r="A17" s="3">
        <v>90</v>
      </c>
      <c r="B17" s="3">
        <v>4</v>
      </c>
      <c r="C17" s="3">
        <v>98</v>
      </c>
      <c r="D17" s="3">
        <v>2265</v>
      </c>
      <c r="E17" s="2"/>
      <c r="F17" s="2"/>
      <c r="G17" s="2"/>
      <c r="H17" s="9"/>
      <c r="I17" s="9"/>
      <c r="J17" s="9"/>
      <c r="K17" s="8"/>
    </row>
    <row x14ac:dyDescent="0.25" r="18" customHeight="1" ht="18.75">
      <c r="A18" s="3">
        <v>112</v>
      </c>
      <c r="B18" s="3">
        <v>4</v>
      </c>
      <c r="C18" s="3">
        <v>121</v>
      </c>
      <c r="D18" s="3">
        <v>2868</v>
      </c>
      <c r="E18" s="2"/>
      <c r="F18" s="2"/>
      <c r="G18" s="2"/>
      <c r="H18" s="9"/>
      <c r="I18" s="9"/>
      <c r="J18" s="9"/>
      <c r="K18" s="8"/>
    </row>
    <row x14ac:dyDescent="0.25" r="19" customHeight="1" ht="18.75">
      <c r="A19" s="3">
        <v>91</v>
      </c>
      <c r="B19" s="3">
        <v>4</v>
      </c>
      <c r="C19" s="3">
        <v>114</v>
      </c>
      <c r="D19" s="3">
        <v>2582</v>
      </c>
      <c r="E19" s="2"/>
      <c r="F19" s="2"/>
      <c r="G19" s="2"/>
      <c r="H19" s="9"/>
      <c r="I19" s="9"/>
      <c r="J19" s="9"/>
      <c r="K19" s="8"/>
    </row>
    <row x14ac:dyDescent="0.25" r="20" customHeight="1" ht="18.75">
      <c r="A20" s="3">
        <v>75</v>
      </c>
      <c r="B20" s="3">
        <v>4</v>
      </c>
      <c r="C20" s="3">
        <v>116</v>
      </c>
      <c r="D20" s="3">
        <v>2158</v>
      </c>
      <c r="E20" s="2"/>
      <c r="F20" s="2"/>
      <c r="G20" s="2"/>
      <c r="H20" s="9"/>
      <c r="I20" s="9"/>
      <c r="J20" s="9"/>
      <c r="K20" s="8"/>
    </row>
    <row x14ac:dyDescent="0.25" r="21" customHeight="1" ht="18.75">
      <c r="A21" s="3">
        <v>49</v>
      </c>
      <c r="B21" s="3">
        <v>4</v>
      </c>
      <c r="C21" s="3">
        <v>68</v>
      </c>
      <c r="D21" s="3">
        <v>1867</v>
      </c>
      <c r="E21" s="2"/>
      <c r="F21" s="2"/>
      <c r="G21" s="2"/>
      <c r="H21" s="9"/>
      <c r="I21" s="9"/>
      <c r="J21" s="9"/>
      <c r="K21" s="8"/>
    </row>
    <row x14ac:dyDescent="0.25" r="22" customHeight="1" ht="18.75">
      <c r="A22" s="3">
        <v>46</v>
      </c>
      <c r="B22" s="3">
        <v>4</v>
      </c>
      <c r="C22" s="3">
        <v>97</v>
      </c>
      <c r="D22" s="3">
        <v>1950</v>
      </c>
      <c r="E22" s="2"/>
      <c r="F22" s="2"/>
      <c r="G22" s="2"/>
      <c r="H22" s="9"/>
      <c r="I22" s="9"/>
      <c r="J22" s="9"/>
      <c r="K22" s="8"/>
    </row>
    <row x14ac:dyDescent="0.25" r="23" customHeight="1" ht="18.75">
      <c r="A23" s="3">
        <v>83</v>
      </c>
      <c r="B23" s="3">
        <v>4</v>
      </c>
      <c r="C23" s="3">
        <v>98</v>
      </c>
      <c r="D23" s="3">
        <v>2219</v>
      </c>
      <c r="E23" s="2"/>
      <c r="F23" s="2"/>
      <c r="G23" s="2"/>
      <c r="H23" s="9"/>
      <c r="I23" s="9"/>
      <c r="J23" s="9"/>
      <c r="K23" s="8"/>
    </row>
    <row x14ac:dyDescent="0.25" r="24" customHeight="1" ht="18.75">
      <c r="A24" s="3">
        <v>75</v>
      </c>
      <c r="B24" s="3">
        <v>4</v>
      </c>
      <c r="C24" s="3">
        <v>90</v>
      </c>
      <c r="D24" s="3">
        <v>2108</v>
      </c>
      <c r="E24" s="2"/>
      <c r="F24" s="2"/>
      <c r="G24" s="2"/>
      <c r="H24" s="9"/>
      <c r="I24" s="9"/>
      <c r="J24" s="9"/>
      <c r="K24" s="8"/>
    </row>
    <row x14ac:dyDescent="0.25" r="25" customHeight="1" ht="18.75">
      <c r="A25" s="3">
        <v>67</v>
      </c>
      <c r="B25" s="3">
        <v>4</v>
      </c>
      <c r="C25" s="3">
        <v>79</v>
      </c>
      <c r="D25" s="3">
        <v>1963</v>
      </c>
      <c r="E25" s="2"/>
      <c r="F25" s="2"/>
      <c r="G25" s="2"/>
      <c r="H25" s="9"/>
      <c r="I25" s="9"/>
      <c r="J25" s="9"/>
      <c r="K25" s="8"/>
    </row>
    <row x14ac:dyDescent="0.25" r="26" customHeight="1" ht="18.75">
      <c r="A26" s="3">
        <v>78</v>
      </c>
      <c r="B26" s="3">
        <v>4</v>
      </c>
      <c r="C26" s="3">
        <v>97</v>
      </c>
      <c r="D26" s="3">
        <v>2300</v>
      </c>
      <c r="E26" s="2"/>
      <c r="F26" s="2"/>
      <c r="G26" s="2"/>
      <c r="H26" s="9"/>
      <c r="I26" s="9"/>
      <c r="J26" s="9"/>
      <c r="K26" s="8"/>
    </row>
    <row x14ac:dyDescent="0.25" r="27" customHeight="1" ht="18.75">
      <c r="A27" s="3">
        <v>67</v>
      </c>
      <c r="B27" s="3">
        <v>4</v>
      </c>
      <c r="C27" s="3">
        <v>79</v>
      </c>
      <c r="D27" s="3">
        <v>2000</v>
      </c>
      <c r="E27" s="2"/>
      <c r="F27" s="2"/>
      <c r="G27" s="2"/>
      <c r="H27" s="9"/>
      <c r="I27" s="9"/>
      <c r="J27" s="9"/>
      <c r="K27" s="8"/>
    </row>
    <row x14ac:dyDescent="0.25" r="28" customHeight="1" ht="18.75">
      <c r="A28" s="3">
        <v>75</v>
      </c>
      <c r="B28" s="3">
        <v>4</v>
      </c>
      <c r="C28" s="3">
        <v>116</v>
      </c>
      <c r="D28" s="3">
        <v>2246</v>
      </c>
      <c r="E28" s="2"/>
      <c r="F28" s="2"/>
      <c r="G28" s="2"/>
      <c r="H28" s="9"/>
      <c r="I28" s="9"/>
      <c r="J28" s="9"/>
      <c r="K28" s="8"/>
    </row>
    <row x14ac:dyDescent="0.25" r="29" customHeight="1" ht="18.75">
      <c r="A29" s="3">
        <v>115</v>
      </c>
      <c r="B29" s="3">
        <v>4</v>
      </c>
      <c r="C29" s="3">
        <v>121</v>
      </c>
      <c r="D29" s="3">
        <v>2671</v>
      </c>
      <c r="E29" s="2"/>
      <c r="F29" s="2"/>
      <c r="G29" s="2"/>
      <c r="H29" s="9"/>
      <c r="I29" s="9"/>
      <c r="J29" s="9"/>
      <c r="K29" s="8"/>
    </row>
    <row x14ac:dyDescent="0.25" r="30" customHeight="1" ht="18.75">
      <c r="A30" s="3">
        <v>70</v>
      </c>
      <c r="B30" s="3">
        <v>4</v>
      </c>
      <c r="C30" s="3">
        <v>90</v>
      </c>
      <c r="D30" s="3">
        <v>1937</v>
      </c>
      <c r="E30" s="2"/>
      <c r="F30" s="2"/>
      <c r="G30" s="2"/>
      <c r="H30" s="9"/>
      <c r="I30" s="9"/>
      <c r="J30" s="9"/>
      <c r="K30" s="8"/>
    </row>
    <row x14ac:dyDescent="0.25" r="31" customHeight="1" ht="18.75">
      <c r="A31" s="3">
        <v>95</v>
      </c>
      <c r="B31" s="3">
        <v>4</v>
      </c>
      <c r="C31" s="3">
        <v>115</v>
      </c>
      <c r="D31" s="3">
        <v>2694</v>
      </c>
      <c r="E31" s="2"/>
      <c r="F31" s="2"/>
      <c r="G31" s="2"/>
      <c r="H31" s="9"/>
      <c r="I31" s="9"/>
      <c r="J31" s="9"/>
      <c r="K31" s="8"/>
    </row>
    <row x14ac:dyDescent="0.25" r="32" customHeight="1" ht="18.75">
      <c r="A32" s="3">
        <v>98</v>
      </c>
      <c r="B32" s="3">
        <v>4</v>
      </c>
      <c r="C32" s="3">
        <v>121</v>
      </c>
      <c r="D32" s="3">
        <v>2945</v>
      </c>
      <c r="E32" s="2"/>
      <c r="F32" s="2"/>
      <c r="G32" s="2"/>
      <c r="H32" s="9"/>
      <c r="I32" s="9"/>
      <c r="J32" s="9"/>
      <c r="K32" s="8"/>
    </row>
    <row x14ac:dyDescent="0.25" r="33" customHeight="1" ht="18.75">
      <c r="A33" s="3">
        <v>71</v>
      </c>
      <c r="B33" s="3">
        <v>4</v>
      </c>
      <c r="C33" s="3">
        <v>90</v>
      </c>
      <c r="D33" s="3">
        <v>2223</v>
      </c>
      <c r="E33" s="2"/>
      <c r="F33" s="2"/>
      <c r="G33" s="2"/>
      <c r="H33" s="9"/>
      <c r="I33" s="9"/>
      <c r="J33" s="9"/>
      <c r="K33" s="8"/>
    </row>
    <row x14ac:dyDescent="0.25" r="34" customHeight="1" ht="18.75">
      <c r="A34" s="3">
        <v>88</v>
      </c>
      <c r="B34" s="3">
        <v>4</v>
      </c>
      <c r="C34" s="3">
        <v>120</v>
      </c>
      <c r="D34" s="3">
        <v>2957</v>
      </c>
      <c r="E34" s="2"/>
      <c r="F34" s="2"/>
      <c r="G34" s="2"/>
      <c r="H34" s="9"/>
      <c r="I34" s="9"/>
      <c r="J34" s="9"/>
      <c r="K34" s="8"/>
    </row>
    <row x14ac:dyDescent="0.25" r="35" customHeight="1" ht="18.75">
      <c r="A35" s="3">
        <v>71</v>
      </c>
      <c r="B35" s="3">
        <v>4</v>
      </c>
      <c r="C35" s="3">
        <v>97</v>
      </c>
      <c r="D35" s="3">
        <v>1825</v>
      </c>
      <c r="E35" s="2"/>
      <c r="F35" s="2"/>
      <c r="G35" s="2"/>
      <c r="H35" s="9"/>
      <c r="I35" s="9"/>
      <c r="J35" s="9"/>
      <c r="K35" s="8"/>
    </row>
    <row x14ac:dyDescent="0.25" r="36" customHeight="1" ht="18.75">
      <c r="A36" s="3">
        <v>83</v>
      </c>
      <c r="B36" s="3">
        <v>4</v>
      </c>
      <c r="C36" s="3">
        <v>101</v>
      </c>
      <c r="D36" s="3">
        <v>2202</v>
      </c>
      <c r="E36" s="2"/>
      <c r="F36" s="2"/>
      <c r="G36" s="2"/>
      <c r="H36" s="9"/>
      <c r="I36" s="9"/>
      <c r="J36" s="9"/>
      <c r="K36" s="8"/>
    </row>
    <row x14ac:dyDescent="0.25" r="37" customHeight="1" ht="18.75">
      <c r="A37" s="3">
        <v>81</v>
      </c>
      <c r="B37" s="3">
        <v>4</v>
      </c>
      <c r="C37" s="3">
        <v>116</v>
      </c>
      <c r="D37" s="3">
        <v>2220</v>
      </c>
      <c r="E37" s="2"/>
      <c r="F37" s="2"/>
      <c r="G37" s="2"/>
      <c r="H37" s="9"/>
      <c r="I37" s="9"/>
      <c r="J37" s="9"/>
      <c r="K37" s="8"/>
    </row>
    <row x14ac:dyDescent="0.25" r="38" customHeight="1" ht="18.75">
      <c r="A38" s="3">
        <v>70</v>
      </c>
      <c r="B38" s="3">
        <v>4</v>
      </c>
      <c r="C38" s="3">
        <v>90</v>
      </c>
      <c r="D38" s="3">
        <v>1937</v>
      </c>
      <c r="E38" s="2"/>
      <c r="F38" s="2"/>
      <c r="G38" s="2"/>
      <c r="H38" s="9"/>
      <c r="I38" s="9"/>
      <c r="J38" s="9"/>
      <c r="K38" s="8"/>
    </row>
    <row x14ac:dyDescent="0.25" r="39" customHeight="1" ht="18.75">
      <c r="A39" s="3">
        <v>86</v>
      </c>
      <c r="B39" s="3">
        <v>4</v>
      </c>
      <c r="C39" s="3">
        <v>107</v>
      </c>
      <c r="D39" s="3">
        <v>2464</v>
      </c>
      <c r="E39" s="2"/>
      <c r="F39" s="2"/>
      <c r="G39" s="2"/>
      <c r="H39" s="9"/>
      <c r="I39" s="9"/>
      <c r="J39" s="9"/>
      <c r="K39" s="8"/>
    </row>
    <row x14ac:dyDescent="0.25" r="40" customHeight="1" ht="18.75">
      <c r="A40" s="3">
        <v>102</v>
      </c>
      <c r="B40" s="3">
        <v>4</v>
      </c>
      <c r="C40" s="3">
        <v>130</v>
      </c>
      <c r="D40" s="3">
        <v>3150</v>
      </c>
      <c r="E40" s="2"/>
      <c r="F40" s="2"/>
      <c r="G40" s="2"/>
      <c r="H40" s="9"/>
      <c r="I40" s="9"/>
      <c r="J40" s="9"/>
      <c r="K40" s="8"/>
    </row>
    <row x14ac:dyDescent="0.25" r="41" customHeight="1" ht="18.75">
      <c r="A41" s="3">
        <v>88</v>
      </c>
      <c r="B41" s="3">
        <v>4</v>
      </c>
      <c r="C41" s="3">
        <v>120</v>
      </c>
      <c r="D41" s="3">
        <v>3270</v>
      </c>
      <c r="E41" s="2"/>
      <c r="F41" s="2"/>
      <c r="G41" s="2"/>
      <c r="H41" s="9"/>
      <c r="I41" s="9"/>
      <c r="J41" s="9"/>
      <c r="K41" s="8"/>
    </row>
    <row x14ac:dyDescent="0.25" r="42" customHeight="1" ht="18.75">
      <c r="A42" s="3">
        <v>120</v>
      </c>
      <c r="B42" s="3">
        <v>6</v>
      </c>
      <c r="C42" s="3">
        <v>168</v>
      </c>
      <c r="D42" s="3">
        <v>3820</v>
      </c>
      <c r="E42" s="2"/>
      <c r="F42" s="2"/>
      <c r="G42" s="2"/>
      <c r="H42" s="9"/>
      <c r="I42" s="9"/>
      <c r="J42" s="9"/>
      <c r="K42" s="8"/>
    </row>
    <row x14ac:dyDescent="0.25" r="43" customHeight="1" ht="18.75">
      <c r="A43" s="3">
        <v>110</v>
      </c>
      <c r="B43" s="3">
        <v>4</v>
      </c>
      <c r="C43" s="3">
        <v>121</v>
      </c>
      <c r="D43" s="3">
        <v>2600</v>
      </c>
      <c r="E43" s="2"/>
      <c r="F43" s="2"/>
      <c r="G43" s="2"/>
      <c r="H43" s="9"/>
      <c r="I43" s="9"/>
      <c r="J43" s="9"/>
      <c r="K43" s="8"/>
    </row>
    <row x14ac:dyDescent="0.25" r="44" customHeight="1" ht="18.75">
      <c r="A44" s="3">
        <v>78</v>
      </c>
      <c r="B44" s="3">
        <v>4</v>
      </c>
      <c r="C44" s="3">
        <v>97</v>
      </c>
      <c r="D44" s="3">
        <v>1940</v>
      </c>
      <c r="E44" s="2"/>
      <c r="F44" s="2"/>
      <c r="G44" s="2"/>
      <c r="H44" s="9"/>
      <c r="I44" s="9"/>
      <c r="J44" s="9"/>
      <c r="K44" s="8"/>
    </row>
    <row x14ac:dyDescent="0.25" r="45" customHeight="1" ht="18.75">
      <c r="A45" s="3">
        <v>78</v>
      </c>
      <c r="B45" s="3">
        <v>4</v>
      </c>
      <c r="C45" s="3">
        <v>97</v>
      </c>
      <c r="D45" s="3">
        <v>2190</v>
      </c>
      <c r="E45" s="2"/>
      <c r="F45" s="2"/>
      <c r="G45" s="2"/>
      <c r="H45" s="9"/>
      <c r="I45" s="9"/>
      <c r="J45" s="9"/>
      <c r="K45" s="8"/>
    </row>
    <row x14ac:dyDescent="0.25" r="46" customHeight="1" ht="18.75">
      <c r="A46" s="3">
        <v>58</v>
      </c>
      <c r="B46" s="3">
        <v>4</v>
      </c>
      <c r="C46" s="3">
        <v>79</v>
      </c>
      <c r="D46" s="3">
        <v>1825</v>
      </c>
      <c r="E46" s="2"/>
      <c r="F46" s="2"/>
      <c r="G46" s="2"/>
      <c r="H46" s="9"/>
      <c r="I46" s="9"/>
      <c r="J46" s="9"/>
      <c r="K46" s="8"/>
    </row>
    <row x14ac:dyDescent="0.25" r="47" customHeight="1" ht="18.75">
      <c r="A47" s="3">
        <v>115</v>
      </c>
      <c r="B47" s="3">
        <v>4</v>
      </c>
      <c r="C47" s="3">
        <v>121</v>
      </c>
      <c r="D47" s="3">
        <v>2795</v>
      </c>
      <c r="E47" s="2"/>
      <c r="F47" s="2"/>
      <c r="G47" s="2"/>
      <c r="H47" s="9"/>
      <c r="I47" s="9"/>
      <c r="J47" s="9"/>
      <c r="K47" s="8"/>
    </row>
    <row x14ac:dyDescent="0.25" r="48" customHeight="1" ht="18.75">
      <c r="A48" s="3">
        <v>71</v>
      </c>
      <c r="B48" s="3">
        <v>4</v>
      </c>
      <c r="C48" s="3">
        <v>89</v>
      </c>
      <c r="D48" s="3">
        <v>1990</v>
      </c>
      <c r="E48" s="2"/>
      <c r="F48" s="2"/>
      <c r="G48" s="2"/>
      <c r="H48" s="9"/>
      <c r="I48" s="9"/>
      <c r="J48" s="9"/>
      <c r="K48" s="8"/>
    </row>
    <row x14ac:dyDescent="0.25" r="49" customHeight="1" ht="18.75">
      <c r="A49" s="3">
        <v>48</v>
      </c>
      <c r="B49" s="3">
        <v>4</v>
      </c>
      <c r="C49" s="3">
        <v>90</v>
      </c>
      <c r="D49" s="3">
        <v>1985</v>
      </c>
      <c r="E49" s="2"/>
      <c r="F49" s="2"/>
      <c r="G49" s="2"/>
      <c r="H49" s="9"/>
      <c r="I49" s="9"/>
      <c r="J49" s="9"/>
      <c r="K49" s="8"/>
    </row>
    <row x14ac:dyDescent="0.25" r="50" customHeight="1" ht="18.75">
      <c r="A50" s="3">
        <v>103</v>
      </c>
      <c r="B50" s="3">
        <v>5</v>
      </c>
      <c r="C50" s="3">
        <v>131</v>
      </c>
      <c r="D50" s="3">
        <v>2830</v>
      </c>
      <c r="E50" s="2"/>
      <c r="F50" s="2"/>
      <c r="G50" s="2"/>
      <c r="H50" s="9"/>
      <c r="I50" s="9"/>
      <c r="J50" s="9"/>
      <c r="K50" s="8"/>
    </row>
    <row x14ac:dyDescent="0.25" r="51" customHeight="1" ht="18.75">
      <c r="A51" s="3">
        <v>125</v>
      </c>
      <c r="B51" s="3">
        <v>6</v>
      </c>
      <c r="C51" s="3">
        <v>163</v>
      </c>
      <c r="D51" s="3">
        <v>3140</v>
      </c>
      <c r="E51" s="2"/>
      <c r="F51" s="2"/>
      <c r="G51" s="2"/>
      <c r="H51" s="9"/>
      <c r="I51" s="9"/>
      <c r="J51" s="9"/>
      <c r="K51" s="8"/>
    </row>
    <row x14ac:dyDescent="0.25" r="52" customHeight="1" ht="18.75">
      <c r="A52" s="3">
        <v>133</v>
      </c>
      <c r="B52" s="3">
        <v>6</v>
      </c>
      <c r="C52" s="3">
        <v>163</v>
      </c>
      <c r="D52" s="3">
        <v>3410</v>
      </c>
      <c r="E52" s="2"/>
      <c r="F52" s="2"/>
      <c r="G52" s="2"/>
      <c r="H52" s="9"/>
      <c r="I52" s="9"/>
      <c r="J52" s="9"/>
      <c r="K52" s="8"/>
    </row>
    <row x14ac:dyDescent="0.25" r="53" customHeight="1" ht="18.75">
      <c r="A53" s="3">
        <v>71</v>
      </c>
      <c r="B53" s="3">
        <v>4</v>
      </c>
      <c r="C53" s="3">
        <v>89</v>
      </c>
      <c r="D53" s="3">
        <v>1925</v>
      </c>
      <c r="E53" s="2"/>
      <c r="F53" s="2"/>
      <c r="G53" s="2"/>
      <c r="H53" s="9"/>
      <c r="I53" s="9"/>
      <c r="J53" s="9"/>
      <c r="K53" s="8"/>
    </row>
    <row x14ac:dyDescent="0.25" r="54" customHeight="1" ht="18.75">
      <c r="A54" s="3">
        <v>69</v>
      </c>
      <c r="B54" s="3">
        <v>4</v>
      </c>
      <c r="C54" s="3">
        <v>91</v>
      </c>
      <c r="D54" s="3">
        <v>2130</v>
      </c>
      <c r="E54" s="2"/>
      <c r="F54" s="2"/>
      <c r="G54" s="2"/>
      <c r="H54" s="9"/>
      <c r="I54" s="9"/>
      <c r="J54" s="9"/>
      <c r="K54" s="8"/>
    </row>
    <row x14ac:dyDescent="0.25" r="55" customHeight="1" ht="18.75">
      <c r="A55" s="3">
        <v>71</v>
      </c>
      <c r="B55" s="3">
        <v>4</v>
      </c>
      <c r="C55" s="3">
        <v>141</v>
      </c>
      <c r="D55" s="3">
        <v>3190</v>
      </c>
      <c r="E55" s="2"/>
      <c r="F55" s="2"/>
      <c r="G55" s="2"/>
      <c r="H55" s="9"/>
      <c r="I55" s="9"/>
      <c r="J55" s="9"/>
      <c r="K55" s="8"/>
    </row>
    <row x14ac:dyDescent="0.25" r="56" customHeight="1" ht="18.75">
      <c r="A56" s="3">
        <v>77</v>
      </c>
      <c r="B56" s="3">
        <v>5</v>
      </c>
      <c r="C56" s="3">
        <v>183</v>
      </c>
      <c r="D56" s="3">
        <v>3530</v>
      </c>
      <c r="E56" s="2"/>
      <c r="F56" s="2"/>
      <c r="G56" s="2"/>
      <c r="H56" s="9"/>
      <c r="I56" s="9"/>
      <c r="J56" s="9"/>
      <c r="K56" s="8"/>
    </row>
    <row x14ac:dyDescent="0.25" r="57" customHeight="1" ht="18.75">
      <c r="A57" s="3">
        <v>78</v>
      </c>
      <c r="B57" s="3">
        <v>4</v>
      </c>
      <c r="C57" s="3">
        <v>97</v>
      </c>
      <c r="D57" s="3">
        <v>2188</v>
      </c>
      <c r="E57" s="2"/>
      <c r="F57" s="2"/>
      <c r="G57" s="2"/>
      <c r="H57" s="9"/>
      <c r="I57" s="9"/>
      <c r="J57" s="9"/>
      <c r="K57" s="8"/>
    </row>
    <row x14ac:dyDescent="0.25" r="58" customHeight="1" ht="18.75">
      <c r="A58" s="3">
        <v>76</v>
      </c>
      <c r="B58" s="3">
        <v>4</v>
      </c>
      <c r="C58" s="3">
        <v>98</v>
      </c>
      <c r="D58" s="3">
        <v>2144</v>
      </c>
      <c r="E58" s="2"/>
      <c r="F58" s="2"/>
      <c r="G58" s="2"/>
      <c r="H58" s="9"/>
      <c r="I58" s="9"/>
      <c r="J58" s="9"/>
      <c r="K58" s="8"/>
    </row>
    <row x14ac:dyDescent="0.25" r="59" customHeight="1" ht="18.75">
      <c r="A59" s="3">
        <v>88</v>
      </c>
      <c r="B59" s="3">
        <v>4</v>
      </c>
      <c r="C59" s="3">
        <v>122</v>
      </c>
      <c r="D59" s="3">
        <v>2500</v>
      </c>
      <c r="E59" s="2"/>
      <c r="F59" s="2"/>
      <c r="G59" s="2"/>
      <c r="H59" s="9"/>
      <c r="I59" s="9"/>
      <c r="J59" s="9"/>
      <c r="K59" s="8"/>
    </row>
    <row x14ac:dyDescent="0.25" r="60" customHeight="1" ht="18.75">
      <c r="A60" s="3">
        <v>62</v>
      </c>
      <c r="B60" s="3">
        <v>4</v>
      </c>
      <c r="C60" s="3">
        <v>89</v>
      </c>
      <c r="D60" s="3">
        <v>1845</v>
      </c>
      <c r="E60" s="2"/>
      <c r="F60" s="2"/>
      <c r="G60" s="2"/>
      <c r="H60" s="9"/>
      <c r="I60" s="9"/>
      <c r="J60" s="9"/>
      <c r="K60" s="8"/>
    </row>
    <row x14ac:dyDescent="0.25" r="61" customHeight="1" ht="18.75">
      <c r="A61" s="3">
        <v>48</v>
      </c>
      <c r="B61" s="3">
        <v>4</v>
      </c>
      <c r="C61" s="3">
        <v>90</v>
      </c>
      <c r="D61" s="3">
        <v>2085</v>
      </c>
      <c r="E61" s="2"/>
      <c r="F61" s="2"/>
      <c r="G61" s="2"/>
      <c r="H61" s="9"/>
      <c r="I61" s="9"/>
      <c r="J61" s="9"/>
      <c r="K61" s="8"/>
    </row>
    <row x14ac:dyDescent="0.25" r="62" customHeight="1" ht="18.75">
      <c r="A62" s="3">
        <v>67</v>
      </c>
      <c r="B62" s="3">
        <v>4</v>
      </c>
      <c r="C62" s="3">
        <v>146</v>
      </c>
      <c r="D62" s="3">
        <v>3250</v>
      </c>
      <c r="E62" s="2"/>
      <c r="F62" s="2"/>
      <c r="G62" s="2"/>
      <c r="H62" s="9"/>
      <c r="I62" s="9"/>
      <c r="J62" s="9"/>
      <c r="K62" s="8"/>
    </row>
    <row x14ac:dyDescent="0.25" r="63" customHeight="1" ht="18.75">
      <c r="A63" s="3">
        <v>48</v>
      </c>
      <c r="B63" s="3">
        <v>4</v>
      </c>
      <c r="C63" s="3">
        <v>90</v>
      </c>
      <c r="D63" s="3">
        <v>2335</v>
      </c>
      <c r="E63" s="2"/>
      <c r="F63" s="2"/>
      <c r="G63" s="2"/>
      <c r="H63" s="9"/>
      <c r="I63" s="9"/>
      <c r="J63" s="9"/>
      <c r="K63" s="8"/>
    </row>
    <row x14ac:dyDescent="0.25" r="64" customHeight="1" ht="18.75">
      <c r="A64" s="3">
        <v>67</v>
      </c>
      <c r="B64" s="3">
        <v>5</v>
      </c>
      <c r="C64" s="3">
        <v>121</v>
      </c>
      <c r="D64" s="3">
        <v>2950</v>
      </c>
      <c r="E64" s="2"/>
      <c r="F64" s="2"/>
      <c r="G64" s="2"/>
      <c r="H64" s="9"/>
      <c r="I64" s="9"/>
      <c r="J64" s="9"/>
      <c r="K64" s="8"/>
    </row>
    <row x14ac:dyDescent="0.25" r="65" customHeight="1" ht="18.75">
      <c r="A65" s="3">
        <v>74</v>
      </c>
      <c r="B65" s="3">
        <v>4</v>
      </c>
      <c r="C65" s="3">
        <v>105</v>
      </c>
      <c r="D65" s="3">
        <v>2190</v>
      </c>
      <c r="E65" s="2"/>
      <c r="F65" s="2"/>
      <c r="G65" s="2"/>
      <c r="H65" s="9"/>
      <c r="I65" s="9"/>
      <c r="J65" s="9"/>
      <c r="K65" s="8"/>
    </row>
    <row x14ac:dyDescent="0.25" r="66" customHeight="1" ht="18.75">
      <c r="A66" s="3">
        <v>80</v>
      </c>
      <c r="B66" s="3">
        <v>4</v>
      </c>
      <c r="C66" s="3">
        <v>141</v>
      </c>
      <c r="D66" s="3">
        <v>3230</v>
      </c>
      <c r="E66" s="2"/>
      <c r="F66" s="2"/>
      <c r="G66" s="2"/>
      <c r="H66" s="9"/>
      <c r="I66" s="9"/>
      <c r="J66" s="9"/>
      <c r="K66" s="8"/>
    </row>
    <row x14ac:dyDescent="0.25" r="67" customHeight="1" ht="18.75">
      <c r="A67" s="3">
        <v>76</v>
      </c>
      <c r="B67" s="3">
        <v>6</v>
      </c>
      <c r="C67" s="3">
        <v>145</v>
      </c>
      <c r="D67" s="3">
        <v>3160</v>
      </c>
      <c r="E67" s="2"/>
      <c r="F67" s="2"/>
      <c r="G67" s="2"/>
      <c r="H67" s="9"/>
      <c r="I67" s="9"/>
      <c r="J67" s="9"/>
      <c r="K67" s="8"/>
    </row>
    <row x14ac:dyDescent="0.25" r="68" customHeight="1" ht="18.75">
      <c r="A68" s="3">
        <v>74</v>
      </c>
      <c r="B68" s="3">
        <v>4</v>
      </c>
      <c r="C68" s="3">
        <v>105</v>
      </c>
      <c r="D68" s="3">
        <v>1980</v>
      </c>
      <c r="E68" s="2"/>
      <c r="F68" s="2"/>
      <c r="G68" s="2"/>
      <c r="H68" s="9"/>
      <c r="I68" s="9"/>
      <c r="J68" s="9"/>
      <c r="K68" s="8"/>
    </row>
    <row x14ac:dyDescent="0.25" r="69" customHeight="1" ht="18.75">
      <c r="A69" s="3">
        <v>52</v>
      </c>
      <c r="B69" s="3">
        <v>4</v>
      </c>
      <c r="C69" s="3">
        <v>97</v>
      </c>
      <c r="D69" s="3">
        <v>2130</v>
      </c>
      <c r="E69" s="2"/>
      <c r="F69" s="2"/>
      <c r="G69" s="2"/>
      <c r="H69" s="9"/>
      <c r="I69" s="9"/>
      <c r="J69" s="9"/>
      <c r="K69" s="8"/>
    </row>
    <row x14ac:dyDescent="0.25" r="70" customHeight="1" ht="18.75">
      <c r="A70" s="3">
        <v>88</v>
      </c>
      <c r="B70" s="3">
        <v>4</v>
      </c>
      <c r="C70" s="3">
        <v>97</v>
      </c>
      <c r="D70" s="3">
        <v>2130</v>
      </c>
      <c r="E70" s="2"/>
      <c r="F70" s="2"/>
      <c r="G70" s="2"/>
      <c r="H70" s="9"/>
      <c r="I70" s="9"/>
      <c r="J70" s="9"/>
      <c r="K70" s="8"/>
    </row>
    <row x14ac:dyDescent="0.25" r="71" customHeight="1" ht="18.75">
      <c r="A71" s="3">
        <v>95</v>
      </c>
      <c r="B71" s="3">
        <v>4</v>
      </c>
      <c r="C71" s="3">
        <v>113</v>
      </c>
      <c r="D71" s="3">
        <v>2372</v>
      </c>
      <c r="E71" s="2"/>
      <c r="F71" s="2"/>
      <c r="G71" s="2"/>
      <c r="H71" s="9"/>
      <c r="I71" s="9"/>
      <c r="J71" s="9"/>
      <c r="K71" s="8"/>
    </row>
    <row x14ac:dyDescent="0.25" r="72" customHeight="1" ht="18.75">
      <c r="A72" s="3">
        <v>69</v>
      </c>
      <c r="B72" s="3">
        <v>4</v>
      </c>
      <c r="C72" s="3">
        <v>72</v>
      </c>
      <c r="D72" s="3">
        <v>1613</v>
      </c>
      <c r="E72" s="2"/>
      <c r="F72" s="2"/>
      <c r="G72" s="2"/>
      <c r="H72" s="9"/>
      <c r="I72" s="9"/>
      <c r="J72" s="9"/>
      <c r="K72" s="8"/>
    </row>
    <row x14ac:dyDescent="0.25" r="73" customHeight="1" ht="18.75">
      <c r="A73" s="3">
        <v>95</v>
      </c>
      <c r="B73" s="3">
        <v>4</v>
      </c>
      <c r="C73" s="3">
        <v>113</v>
      </c>
      <c r="D73" s="3">
        <v>2228</v>
      </c>
      <c r="E73" s="2"/>
      <c r="F73" s="2"/>
      <c r="G73" s="2"/>
      <c r="H73" s="9"/>
      <c r="I73" s="9"/>
      <c r="J73" s="9"/>
      <c r="K73" s="8"/>
    </row>
    <row x14ac:dyDescent="0.25" r="74" customHeight="1" ht="18.75">
      <c r="A74" s="3">
        <v>88</v>
      </c>
      <c r="B74" s="3">
        <v>4</v>
      </c>
      <c r="C74" s="3">
        <v>97</v>
      </c>
      <c r="D74" s="3">
        <v>2130</v>
      </c>
      <c r="E74" s="2"/>
      <c r="F74" s="2"/>
      <c r="G74" s="2"/>
      <c r="H74" s="9"/>
      <c r="I74" s="9"/>
      <c r="J74" s="9"/>
      <c r="K74" s="8"/>
    </row>
    <row x14ac:dyDescent="0.25" r="75" customHeight="1" ht="18.75">
      <c r="A75" s="3">
        <v>65</v>
      </c>
      <c r="B75" s="3">
        <v>4</v>
      </c>
      <c r="C75" s="3">
        <v>71</v>
      </c>
      <c r="D75" s="3">
        <v>1773</v>
      </c>
      <c r="E75" s="2"/>
      <c r="F75" s="2"/>
      <c r="G75" s="2"/>
      <c r="H75" s="9"/>
      <c r="I75" s="9"/>
      <c r="J75" s="9"/>
      <c r="K75" s="8"/>
    </row>
    <row x14ac:dyDescent="0.25" r="76" customHeight="1" ht="18.75">
      <c r="A76" s="3">
        <v>97</v>
      </c>
      <c r="B76" s="3">
        <v>3</v>
      </c>
      <c r="C76" s="3">
        <v>70</v>
      </c>
      <c r="D76" s="3">
        <v>2330</v>
      </c>
      <c r="E76" s="2"/>
      <c r="F76" s="2"/>
      <c r="G76" s="2"/>
      <c r="H76" s="9"/>
      <c r="I76" s="9"/>
      <c r="J76" s="9"/>
      <c r="K76" s="8"/>
    </row>
    <row x14ac:dyDescent="0.25" r="77" customHeight="1" ht="18.75">
      <c r="A77" s="3">
        <v>88</v>
      </c>
      <c r="B77" s="3">
        <v>4</v>
      </c>
      <c r="C77" s="3">
        <v>97</v>
      </c>
      <c r="D77" s="3">
        <v>2100</v>
      </c>
      <c r="E77" s="2"/>
      <c r="F77" s="2"/>
      <c r="G77" s="2"/>
      <c r="H77" s="9"/>
      <c r="I77" s="9"/>
      <c r="J77" s="9"/>
      <c r="K77" s="8"/>
    </row>
    <row x14ac:dyDescent="0.25" r="78" customHeight="1" ht="18.75">
      <c r="A78" s="3">
        <v>95</v>
      </c>
      <c r="B78" s="3">
        <v>4</v>
      </c>
      <c r="C78" s="3">
        <v>113</v>
      </c>
      <c r="D78" s="3">
        <v>2278</v>
      </c>
      <c r="E78" s="2"/>
      <c r="F78" s="2"/>
      <c r="G78" s="2"/>
      <c r="H78" s="9"/>
      <c r="I78" s="9"/>
      <c r="J78" s="9"/>
      <c r="K78" s="8"/>
    </row>
    <row x14ac:dyDescent="0.25" r="79" customHeight="1" ht="18.75">
      <c r="A79" s="3">
        <v>92</v>
      </c>
      <c r="B79" s="3">
        <v>4</v>
      </c>
      <c r="C79" s="3">
        <v>97</v>
      </c>
      <c r="D79" s="3">
        <v>2288</v>
      </c>
      <c r="E79" s="2"/>
      <c r="F79" s="2"/>
      <c r="G79" s="2"/>
      <c r="H79" s="9"/>
      <c r="I79" s="9"/>
      <c r="J79" s="9"/>
      <c r="K79" s="8"/>
    </row>
    <row x14ac:dyDescent="0.25" r="80" customHeight="1" ht="18.75">
      <c r="A80" s="3">
        <v>97</v>
      </c>
      <c r="B80" s="3">
        <v>4</v>
      </c>
      <c r="C80" s="3">
        <v>120</v>
      </c>
      <c r="D80" s="3">
        <v>2506</v>
      </c>
      <c r="E80" s="2"/>
      <c r="F80" s="2"/>
      <c r="G80" s="2"/>
      <c r="H80" s="9"/>
      <c r="I80" s="9"/>
      <c r="J80" s="9"/>
      <c r="K80" s="8"/>
    </row>
    <row x14ac:dyDescent="0.25" r="81" customHeight="1" ht="18.75">
      <c r="A81" s="3">
        <v>90</v>
      </c>
      <c r="B81" s="3">
        <v>3</v>
      </c>
      <c r="C81" s="3">
        <v>70</v>
      </c>
      <c r="D81" s="3">
        <v>2124</v>
      </c>
      <c r="E81" s="2"/>
      <c r="F81" s="2"/>
      <c r="G81" s="2"/>
      <c r="H81" s="9"/>
      <c r="I81" s="9"/>
      <c r="J81" s="9"/>
      <c r="K81" s="8"/>
    </row>
    <row x14ac:dyDescent="0.25" r="82" customHeight="1" ht="18.75">
      <c r="A82" s="3">
        <v>94</v>
      </c>
      <c r="B82" s="3">
        <v>4</v>
      </c>
      <c r="C82" s="3">
        <v>108</v>
      </c>
      <c r="D82" s="3">
        <v>2379</v>
      </c>
      <c r="E82" s="2"/>
      <c r="F82" s="2"/>
      <c r="G82" s="2"/>
      <c r="H82" s="9"/>
      <c r="I82" s="9"/>
      <c r="J82" s="9"/>
      <c r="K82" s="8"/>
    </row>
    <row x14ac:dyDescent="0.25" r="83" customHeight="1" ht="18.75">
      <c r="A83" s="3">
        <v>88</v>
      </c>
      <c r="B83" s="3">
        <v>4</v>
      </c>
      <c r="C83" s="3">
        <v>97</v>
      </c>
      <c r="D83" s="3">
        <v>2279</v>
      </c>
      <c r="E83" s="2"/>
      <c r="F83" s="2"/>
      <c r="G83" s="2"/>
      <c r="H83" s="9"/>
      <c r="I83" s="9"/>
      <c r="J83" s="9"/>
      <c r="K83" s="8"/>
    </row>
    <row x14ac:dyDescent="0.25" r="84" customHeight="1" ht="18.75">
      <c r="A84" s="3">
        <v>122</v>
      </c>
      <c r="B84" s="3">
        <v>6</v>
      </c>
      <c r="C84" s="3">
        <v>156</v>
      </c>
      <c r="D84" s="3">
        <v>2807</v>
      </c>
      <c r="E84" s="2"/>
      <c r="F84" s="2"/>
      <c r="G84" s="2"/>
      <c r="H84" s="9"/>
      <c r="I84" s="9"/>
      <c r="J84" s="9"/>
      <c r="K84" s="8"/>
    </row>
    <row x14ac:dyDescent="0.25" r="85" customHeight="1" ht="18.75">
      <c r="A85" s="3">
        <v>97</v>
      </c>
      <c r="B85" s="3">
        <v>4</v>
      </c>
      <c r="C85" s="3">
        <v>120</v>
      </c>
      <c r="D85" s="3">
        <v>2489</v>
      </c>
      <c r="E85" s="2"/>
      <c r="F85" s="2"/>
      <c r="G85" s="2"/>
      <c r="H85" s="9"/>
      <c r="I85" s="9"/>
      <c r="J85" s="9"/>
      <c r="K85" s="8"/>
    </row>
    <row x14ac:dyDescent="0.25" r="86" customHeight="1" ht="18.75">
      <c r="A86" s="3">
        <v>93</v>
      </c>
      <c r="B86" s="3">
        <v>4</v>
      </c>
      <c r="C86" s="3">
        <v>108</v>
      </c>
      <c r="D86" s="3">
        <v>2391</v>
      </c>
      <c r="E86" s="2"/>
      <c r="F86" s="2"/>
      <c r="G86" s="2"/>
      <c r="H86" s="9"/>
      <c r="I86" s="9"/>
      <c r="J86" s="9"/>
      <c r="K86" s="8"/>
    </row>
    <row x14ac:dyDescent="0.25" r="87" customHeight="1" ht="18.75">
      <c r="A87" s="3">
        <v>65</v>
      </c>
      <c r="B87" s="3">
        <v>4</v>
      </c>
      <c r="C87" s="3">
        <v>71</v>
      </c>
      <c r="D87" s="3">
        <v>1836</v>
      </c>
      <c r="E87" s="2"/>
      <c r="F87" s="2"/>
      <c r="G87" s="2"/>
      <c r="H87" s="9"/>
      <c r="I87" s="9"/>
      <c r="J87" s="9"/>
      <c r="K87" s="8"/>
    </row>
    <row x14ac:dyDescent="0.25" r="88" customHeight="1" ht="18.75">
      <c r="A88" s="3">
        <v>67</v>
      </c>
      <c r="B88" s="3">
        <v>4</v>
      </c>
      <c r="C88" s="3">
        <v>79</v>
      </c>
      <c r="D88" s="3">
        <v>1950</v>
      </c>
      <c r="E88" s="2"/>
      <c r="F88" s="2"/>
      <c r="G88" s="2"/>
      <c r="H88" s="9"/>
      <c r="I88" s="9"/>
      <c r="J88" s="9"/>
      <c r="K88" s="8"/>
    </row>
    <row x14ac:dyDescent="0.25" r="89" customHeight="1" ht="18.75">
      <c r="A89" s="3">
        <v>52</v>
      </c>
      <c r="B89" s="3">
        <v>4</v>
      </c>
      <c r="C89" s="3">
        <v>76</v>
      </c>
      <c r="D89" s="3">
        <v>1649</v>
      </c>
      <c r="E89" s="2"/>
      <c r="F89" s="2"/>
      <c r="G89" s="2"/>
      <c r="H89" s="9"/>
      <c r="I89" s="9"/>
      <c r="J89" s="9"/>
      <c r="K89" s="8"/>
    </row>
    <row x14ac:dyDescent="0.25" r="90" customHeight="1" ht="18.75">
      <c r="A90" s="3">
        <v>61</v>
      </c>
      <c r="B90" s="3">
        <v>4</v>
      </c>
      <c r="C90" s="3">
        <v>83</v>
      </c>
      <c r="D90" s="3">
        <v>2003</v>
      </c>
      <c r="E90" s="2"/>
      <c r="F90" s="2"/>
      <c r="G90" s="2"/>
      <c r="H90" s="9"/>
      <c r="I90" s="9"/>
      <c r="J90" s="9"/>
      <c r="K90" s="8"/>
    </row>
    <row x14ac:dyDescent="0.25" r="91" customHeight="1" ht="18.75">
      <c r="A91" s="3">
        <v>97</v>
      </c>
      <c r="B91" s="3">
        <v>4</v>
      </c>
      <c r="C91" s="3">
        <v>119</v>
      </c>
      <c r="D91" s="3">
        <v>2545</v>
      </c>
      <c r="E91" s="2"/>
      <c r="F91" s="2"/>
      <c r="G91" s="2"/>
      <c r="H91" s="9"/>
      <c r="I91" s="9"/>
      <c r="J91" s="9"/>
      <c r="K91" s="8"/>
    </row>
    <row x14ac:dyDescent="0.25" r="92" customHeight="1" ht="18.75">
      <c r="A92" s="3">
        <v>96</v>
      </c>
      <c r="B92" s="3">
        <v>4</v>
      </c>
      <c r="C92" s="3">
        <v>134</v>
      </c>
      <c r="D92" s="3">
        <v>2702</v>
      </c>
      <c r="E92" s="2"/>
      <c r="F92" s="2"/>
      <c r="G92" s="2"/>
      <c r="H92" s="9"/>
      <c r="I92" s="9"/>
      <c r="J92" s="9"/>
      <c r="K92" s="8"/>
    </row>
    <row x14ac:dyDescent="0.25" r="93" customHeight="1" ht="18.75">
      <c r="A93" s="3">
        <v>75</v>
      </c>
      <c r="B93" s="3">
        <v>4</v>
      </c>
      <c r="C93" s="3">
        <v>97</v>
      </c>
      <c r="D93" s="3">
        <v>2171</v>
      </c>
      <c r="E93" s="2"/>
      <c r="F93" s="2"/>
      <c r="G93" s="2"/>
      <c r="H93" s="9"/>
      <c r="I93" s="9"/>
      <c r="J93" s="9"/>
      <c r="K93" s="8"/>
    </row>
    <row x14ac:dyDescent="0.25" r="94" customHeight="1" ht="18.75">
      <c r="A94" s="3">
        <v>53</v>
      </c>
      <c r="B94" s="3">
        <v>4</v>
      </c>
      <c r="C94" s="3">
        <v>91</v>
      </c>
      <c r="D94" s="3">
        <v>1795</v>
      </c>
      <c r="E94" s="2"/>
      <c r="F94" s="2"/>
      <c r="G94" s="2"/>
      <c r="H94" s="9"/>
      <c r="I94" s="9"/>
      <c r="J94" s="9"/>
      <c r="K94" s="8"/>
    </row>
    <row x14ac:dyDescent="0.25" r="95" customHeight="1" ht="18.75">
      <c r="A95" s="3">
        <v>70</v>
      </c>
      <c r="B95" s="3">
        <v>4</v>
      </c>
      <c r="C95" s="3">
        <v>85</v>
      </c>
      <c r="D95" s="3">
        <v>1990</v>
      </c>
      <c r="E95" s="2"/>
      <c r="F95" s="2"/>
      <c r="G95" s="2"/>
      <c r="H95" s="9"/>
      <c r="I95" s="9"/>
      <c r="J95" s="9"/>
      <c r="K95" s="8"/>
    </row>
    <row x14ac:dyDescent="0.25" r="96" customHeight="1" ht="18.75">
      <c r="A96" s="3">
        <v>75</v>
      </c>
      <c r="B96" s="3">
        <v>4</v>
      </c>
      <c r="C96" s="3">
        <v>97</v>
      </c>
      <c r="D96" s="3">
        <v>2155</v>
      </c>
      <c r="E96" s="2"/>
      <c r="F96" s="2"/>
      <c r="G96" s="2"/>
      <c r="H96" s="9"/>
      <c r="I96" s="9"/>
      <c r="J96" s="9"/>
      <c r="K96" s="8"/>
    </row>
    <row x14ac:dyDescent="0.25" r="97" customHeight="1" ht="18.75">
      <c r="A97" s="3">
        <v>53</v>
      </c>
      <c r="B97" s="3">
        <v>4</v>
      </c>
      <c r="C97" s="3">
        <v>91</v>
      </c>
      <c r="D97" s="3">
        <v>1795</v>
      </c>
      <c r="E97" s="2"/>
      <c r="F97" s="2"/>
      <c r="G97" s="2"/>
      <c r="H97" s="9"/>
      <c r="I97" s="9"/>
      <c r="J97" s="9"/>
      <c r="K97" s="8"/>
    </row>
    <row x14ac:dyDescent="0.25" r="98" customHeight="1" ht="18.75">
      <c r="A98" s="3">
        <v>108</v>
      </c>
      <c r="B98" s="3">
        <v>6</v>
      </c>
      <c r="C98" s="3">
        <v>156</v>
      </c>
      <c r="D98" s="3">
        <v>2930</v>
      </c>
      <c r="E98" s="2"/>
      <c r="F98" s="2"/>
      <c r="G98" s="2"/>
      <c r="H98" s="9"/>
      <c r="I98" s="9"/>
      <c r="J98" s="9"/>
      <c r="K98" s="8"/>
    </row>
    <row x14ac:dyDescent="0.25" r="99" customHeight="1" ht="18.75">
      <c r="A99" s="3">
        <v>110</v>
      </c>
      <c r="B99" s="3">
        <v>3</v>
      </c>
      <c r="C99" s="3">
        <v>80</v>
      </c>
      <c r="D99" s="3">
        <v>2720</v>
      </c>
      <c r="E99" s="2"/>
      <c r="F99" s="2"/>
      <c r="G99" s="2"/>
      <c r="H99" s="9"/>
      <c r="I99" s="9"/>
      <c r="J99" s="9"/>
      <c r="K99" s="8"/>
    </row>
    <row x14ac:dyDescent="0.25" r="100" customHeight="1" ht="18.75">
      <c r="A100" s="3">
        <v>70</v>
      </c>
      <c r="B100" s="3">
        <v>4</v>
      </c>
      <c r="C100" s="3">
        <v>85</v>
      </c>
      <c r="D100" s="3">
        <v>1945</v>
      </c>
      <c r="E100" s="2"/>
      <c r="F100" s="2"/>
      <c r="G100" s="2"/>
      <c r="H100" s="9"/>
      <c r="I100" s="9"/>
      <c r="J100" s="9"/>
      <c r="K100" s="8"/>
    </row>
    <row x14ac:dyDescent="0.25" r="101" customHeight="1" ht="18.75">
      <c r="A101" s="3">
        <v>67</v>
      </c>
      <c r="B101" s="3">
        <v>4</v>
      </c>
      <c r="C101" s="3">
        <v>97</v>
      </c>
      <c r="D101" s="3">
        <v>1985</v>
      </c>
      <c r="E101" s="2"/>
      <c r="F101" s="2"/>
      <c r="G101" s="2"/>
      <c r="H101" s="9"/>
      <c r="I101" s="9"/>
      <c r="J101" s="9"/>
      <c r="K101" s="8"/>
    </row>
    <row x14ac:dyDescent="0.25" r="102" customHeight="1" ht="18.75">
      <c r="A102" s="3">
        <v>68</v>
      </c>
      <c r="B102" s="3">
        <v>4</v>
      </c>
      <c r="C102" s="3">
        <v>98</v>
      </c>
      <c r="D102" s="3">
        <v>2045</v>
      </c>
      <c r="E102" s="2"/>
      <c r="F102" s="2"/>
      <c r="G102" s="2"/>
      <c r="H102" s="9"/>
      <c r="I102" s="9"/>
      <c r="J102" s="9"/>
      <c r="K102" s="8"/>
    </row>
    <row x14ac:dyDescent="0.25" r="103" customHeight="1" ht="18.75">
      <c r="A103" s="3">
        <v>75</v>
      </c>
      <c r="B103" s="3">
        <v>4</v>
      </c>
      <c r="C103" s="3">
        <v>97</v>
      </c>
      <c r="D103" s="3">
        <v>2265</v>
      </c>
      <c r="E103" s="2"/>
      <c r="F103" s="2"/>
      <c r="G103" s="2"/>
      <c r="H103" s="9"/>
      <c r="I103" s="9"/>
      <c r="J103" s="9"/>
      <c r="K103" s="8"/>
    </row>
    <row x14ac:dyDescent="0.25" r="104" customHeight="1" ht="18.75">
      <c r="A104" s="3">
        <v>97</v>
      </c>
      <c r="B104" s="3">
        <v>6</v>
      </c>
      <c r="C104" s="3">
        <v>146</v>
      </c>
      <c r="D104" s="3">
        <v>2815</v>
      </c>
      <c r="E104" s="2"/>
      <c r="F104" s="2"/>
      <c r="G104" s="2"/>
      <c r="H104" s="9"/>
      <c r="I104" s="9"/>
      <c r="J104" s="9"/>
      <c r="K104" s="8"/>
    </row>
    <row x14ac:dyDescent="0.25" r="105" customHeight="1" ht="18.75">
      <c r="A105" s="3">
        <v>97</v>
      </c>
      <c r="B105" s="3">
        <v>4</v>
      </c>
      <c r="C105" s="3">
        <v>119</v>
      </c>
      <c r="D105" s="3">
        <v>2300</v>
      </c>
      <c r="E105" s="2"/>
      <c r="F105" s="2"/>
      <c r="G105" s="2"/>
      <c r="H105" s="9"/>
      <c r="I105" s="9"/>
      <c r="J105" s="9"/>
      <c r="K105" s="8"/>
    </row>
    <row x14ac:dyDescent="0.25" r="106" customHeight="1" ht="18.75">
      <c r="A106" s="3">
        <v>97</v>
      </c>
      <c r="B106" s="3">
        <v>4</v>
      </c>
      <c r="C106" s="3">
        <v>119</v>
      </c>
      <c r="D106" s="3">
        <v>2405</v>
      </c>
      <c r="E106" s="2"/>
      <c r="F106" s="2"/>
      <c r="G106" s="2"/>
      <c r="H106" s="9"/>
      <c r="I106" s="9"/>
      <c r="J106" s="9"/>
      <c r="K106" s="8"/>
    </row>
    <row x14ac:dyDescent="0.25" r="107" customHeight="1" ht="18.75">
      <c r="A107" s="3">
        <v>95</v>
      </c>
      <c r="B107" s="3">
        <v>4</v>
      </c>
      <c r="C107" s="3">
        <v>134</v>
      </c>
      <c r="D107" s="3">
        <v>2515</v>
      </c>
      <c r="E107" s="2"/>
      <c r="F107" s="2"/>
      <c r="G107" s="2"/>
      <c r="H107" s="9"/>
      <c r="I107" s="9"/>
      <c r="J107" s="9"/>
      <c r="K107" s="8"/>
    </row>
    <row x14ac:dyDescent="0.25" r="108" customHeight="1" ht="18.75">
      <c r="A108" s="3">
        <v>95</v>
      </c>
      <c r="B108" s="3">
        <v>4</v>
      </c>
      <c r="C108" s="3">
        <v>134</v>
      </c>
      <c r="D108" s="3">
        <v>2560</v>
      </c>
      <c r="E108" s="2"/>
      <c r="F108" s="2"/>
      <c r="G108" s="2"/>
      <c r="H108" s="9"/>
      <c r="I108" s="9"/>
      <c r="J108" s="9"/>
      <c r="K108" s="8"/>
    </row>
    <row x14ac:dyDescent="0.25" r="109" customHeight="1" ht="18.75">
      <c r="A109" s="3">
        <v>70</v>
      </c>
      <c r="B109" s="3">
        <v>4</v>
      </c>
      <c r="C109" s="3">
        <v>85</v>
      </c>
      <c r="D109" s="3">
        <v>2070</v>
      </c>
      <c r="E109" s="2"/>
      <c r="F109" s="2"/>
      <c r="G109" s="2"/>
      <c r="H109" s="9"/>
      <c r="I109" s="9"/>
      <c r="J109" s="9"/>
      <c r="K109" s="8"/>
    </row>
    <row x14ac:dyDescent="0.25" r="110" customHeight="1" ht="18.75">
      <c r="A110" s="3">
        <v>60</v>
      </c>
      <c r="B110" s="3">
        <v>4</v>
      </c>
      <c r="C110" s="3">
        <v>91</v>
      </c>
      <c r="D110" s="3">
        <v>1800</v>
      </c>
      <c r="E110" s="2"/>
      <c r="F110" s="2"/>
      <c r="G110" s="2"/>
      <c r="H110" s="9"/>
      <c r="I110" s="9"/>
      <c r="J110" s="9"/>
      <c r="K110" s="8"/>
    </row>
    <row x14ac:dyDescent="0.25" r="111" customHeight="1" ht="18.75">
      <c r="A111" s="3">
        <v>68</v>
      </c>
      <c r="B111" s="3">
        <v>4</v>
      </c>
      <c r="C111" s="3">
        <v>98</v>
      </c>
      <c r="D111" s="3">
        <v>2135</v>
      </c>
      <c r="E111" s="2"/>
      <c r="F111" s="2"/>
      <c r="G111" s="2"/>
      <c r="H111" s="9"/>
      <c r="I111" s="9"/>
      <c r="J111" s="9"/>
      <c r="K111" s="8"/>
    </row>
    <row x14ac:dyDescent="0.25" r="112" customHeight="1" ht="18.75">
      <c r="A112" s="3">
        <v>52</v>
      </c>
      <c r="B112" s="3">
        <v>4</v>
      </c>
      <c r="C112" s="3">
        <v>78</v>
      </c>
      <c r="D112" s="3">
        <v>1985</v>
      </c>
      <c r="E112" s="2"/>
      <c r="F112" s="2"/>
      <c r="G112" s="2"/>
      <c r="H112" s="9"/>
      <c r="I112" s="9"/>
      <c r="J112" s="9"/>
      <c r="K112" s="8"/>
    </row>
    <row x14ac:dyDescent="0.25" r="113" customHeight="1" ht="18.75">
      <c r="A113" s="3">
        <v>65</v>
      </c>
      <c r="B113" s="3">
        <v>4</v>
      </c>
      <c r="C113" s="3">
        <v>86</v>
      </c>
      <c r="D113" s="3">
        <v>1975</v>
      </c>
      <c r="E113" s="2"/>
      <c r="F113" s="2"/>
      <c r="G113" s="2"/>
      <c r="H113" s="9"/>
      <c r="I113" s="9"/>
      <c r="J113" s="9"/>
      <c r="K113" s="8"/>
    </row>
    <row x14ac:dyDescent="0.25" r="114" customHeight="1" ht="18.75">
      <c r="A114" s="3">
        <v>65</v>
      </c>
      <c r="B114" s="3">
        <v>4</v>
      </c>
      <c r="C114" s="3">
        <v>85</v>
      </c>
      <c r="D114" s="3">
        <v>2020</v>
      </c>
      <c r="E114" s="2"/>
      <c r="F114" s="2"/>
      <c r="G114" s="2"/>
      <c r="H114" s="9"/>
      <c r="I114" s="9"/>
      <c r="J114" s="9"/>
      <c r="K114" s="8"/>
    </row>
    <row x14ac:dyDescent="0.25" r="115" customHeight="1" ht="18.75">
      <c r="A115" s="3">
        <v>100</v>
      </c>
      <c r="B115" s="3">
        <v>3</v>
      </c>
      <c r="C115" s="3">
        <v>70</v>
      </c>
      <c r="D115" s="3">
        <v>2420</v>
      </c>
      <c r="E115" s="2"/>
      <c r="F115" s="2"/>
      <c r="G115" s="2"/>
      <c r="H115" s="9"/>
      <c r="I115" s="9"/>
      <c r="J115" s="9"/>
      <c r="K115" s="8"/>
    </row>
    <row x14ac:dyDescent="0.25" r="116" customHeight="1" ht="18.75">
      <c r="A116" s="3">
        <v>92</v>
      </c>
      <c r="B116" s="3">
        <v>4</v>
      </c>
      <c r="C116" s="3">
        <v>119</v>
      </c>
      <c r="D116" s="3">
        <v>2434</v>
      </c>
      <c r="E116" s="2"/>
      <c r="F116" s="2"/>
      <c r="G116" s="2"/>
      <c r="H116" s="9"/>
      <c r="I116" s="9"/>
      <c r="J116" s="9"/>
      <c r="K116" s="8"/>
    </row>
    <row x14ac:dyDescent="0.25" r="117" customHeight="1" ht="18.75">
      <c r="A117" s="3">
        <v>67</v>
      </c>
      <c r="B117" s="3">
        <v>4</v>
      </c>
      <c r="C117" s="3">
        <v>91</v>
      </c>
      <c r="D117" s="3">
        <v>1850</v>
      </c>
      <c r="E117" s="2"/>
      <c r="F117" s="2"/>
      <c r="G117" s="2"/>
      <c r="H117" s="9"/>
      <c r="I117" s="9"/>
      <c r="J117" s="9"/>
      <c r="K117" s="8"/>
    </row>
    <row x14ac:dyDescent="0.25" r="118" customHeight="1" ht="18.75">
      <c r="A118" s="3">
        <v>90</v>
      </c>
      <c r="B118" s="3">
        <v>4</v>
      </c>
      <c r="C118" s="3">
        <v>134</v>
      </c>
      <c r="D118" s="3">
        <v>2711</v>
      </c>
      <c r="E118" s="2"/>
      <c r="F118" s="2"/>
      <c r="G118" s="2"/>
      <c r="H118" s="9"/>
      <c r="I118" s="9"/>
      <c r="J118" s="9"/>
      <c r="K118" s="8"/>
    </row>
    <row x14ac:dyDescent="0.25" r="119" customHeight="1" ht="18.75">
      <c r="A119" s="3">
        <v>75</v>
      </c>
      <c r="B119" s="3">
        <v>4</v>
      </c>
      <c r="C119" s="3">
        <v>108</v>
      </c>
      <c r="D119" s="3">
        <v>2265</v>
      </c>
      <c r="E119" s="2"/>
      <c r="F119" s="2"/>
      <c r="G119" s="2"/>
      <c r="H119" s="9"/>
      <c r="I119" s="9"/>
      <c r="J119" s="9"/>
      <c r="K119" s="8"/>
    </row>
    <row x14ac:dyDescent="0.25" r="120" customHeight="1" ht="18.75">
      <c r="A120" s="3">
        <v>65</v>
      </c>
      <c r="B120" s="3">
        <v>4</v>
      </c>
      <c r="C120" s="3">
        <v>86</v>
      </c>
      <c r="D120" s="3">
        <v>2019</v>
      </c>
      <c r="E120" s="2"/>
      <c r="F120" s="2"/>
      <c r="G120" s="2"/>
      <c r="H120" s="9"/>
      <c r="I120" s="9"/>
      <c r="J120" s="9"/>
      <c r="K120" s="8"/>
    </row>
    <row x14ac:dyDescent="0.25" r="121" customHeight="1" ht="18.75">
      <c r="A121" s="3">
        <v>72</v>
      </c>
      <c r="B121" s="3">
        <v>4</v>
      </c>
      <c r="C121" s="3">
        <v>107</v>
      </c>
      <c r="D121" s="3">
        <v>2290</v>
      </c>
      <c r="E121" s="2"/>
      <c r="F121" s="2"/>
      <c r="G121" s="2"/>
      <c r="H121" s="9"/>
      <c r="I121" s="9"/>
      <c r="J121" s="9"/>
      <c r="K121" s="8"/>
    </row>
    <row x14ac:dyDescent="0.25" r="122" customHeight="1" ht="18.75">
      <c r="A122" s="3">
        <v>67</v>
      </c>
      <c r="B122" s="3">
        <v>4</v>
      </c>
      <c r="C122" s="3">
        <v>97</v>
      </c>
      <c r="D122" s="3">
        <v>2145</v>
      </c>
      <c r="E122" s="2"/>
      <c r="F122" s="2"/>
      <c r="G122" s="2"/>
      <c r="H122" s="9"/>
      <c r="I122" s="9"/>
      <c r="J122" s="9"/>
      <c r="K122" s="8"/>
    </row>
    <row x14ac:dyDescent="0.25" r="123" customHeight="1" ht="18.75">
      <c r="A123" s="3">
        <v>65</v>
      </c>
      <c r="B123" s="3">
        <v>4</v>
      </c>
      <c r="C123" s="3">
        <v>85</v>
      </c>
      <c r="D123" s="3">
        <v>2110</v>
      </c>
      <c r="E123" s="2"/>
      <c r="F123" s="2"/>
      <c r="G123" s="2"/>
      <c r="H123" s="9"/>
      <c r="I123" s="9"/>
      <c r="J123" s="9"/>
      <c r="K123" s="8"/>
    </row>
    <row x14ac:dyDescent="0.25" r="124" customHeight="1" ht="18.75">
      <c r="A124" s="3">
        <v>65</v>
      </c>
      <c r="B124" s="3">
        <v>4</v>
      </c>
      <c r="C124" s="3">
        <v>86</v>
      </c>
      <c r="D124" s="3">
        <v>2110</v>
      </c>
      <c r="E124" s="2"/>
      <c r="F124" s="2"/>
      <c r="G124" s="2"/>
      <c r="H124" s="9"/>
      <c r="I124" s="9"/>
      <c r="J124" s="9"/>
      <c r="K124" s="8"/>
    </row>
    <row x14ac:dyDescent="0.25" r="125" customHeight="1" ht="18.75">
      <c r="A125" s="3">
        <v>60</v>
      </c>
      <c r="B125" s="3">
        <v>4</v>
      </c>
      <c r="C125" s="3">
        <v>89</v>
      </c>
      <c r="D125" s="3">
        <v>1968</v>
      </c>
      <c r="E125" s="2"/>
      <c r="F125" s="2"/>
      <c r="G125" s="2"/>
      <c r="H125" s="9"/>
      <c r="I125" s="9"/>
      <c r="J125" s="9"/>
      <c r="K125" s="8"/>
    </row>
    <row x14ac:dyDescent="0.25" r="126" customHeight="1" ht="18.75">
      <c r="A126" s="3">
        <v>75</v>
      </c>
      <c r="B126" s="3">
        <v>4</v>
      </c>
      <c r="C126" s="3">
        <v>120</v>
      </c>
      <c r="D126" s="3">
        <v>2542</v>
      </c>
      <c r="E126" s="2"/>
      <c r="F126" s="2"/>
      <c r="G126" s="2"/>
      <c r="H126" s="9"/>
      <c r="I126" s="9"/>
      <c r="J126" s="9"/>
      <c r="K126" s="8"/>
    </row>
    <row x14ac:dyDescent="0.25" r="127" customHeight="1" ht="18.75">
      <c r="A127" s="3">
        <v>132</v>
      </c>
      <c r="B127" s="3">
        <v>6</v>
      </c>
      <c r="C127" s="3">
        <v>168</v>
      </c>
      <c r="D127" s="3">
        <v>2910</v>
      </c>
      <c r="E127" s="2"/>
      <c r="F127" s="2"/>
      <c r="G127" s="2"/>
      <c r="H127" s="9"/>
      <c r="I127" s="9"/>
      <c r="J127" s="9"/>
      <c r="K127" s="8"/>
    </row>
    <row x14ac:dyDescent="0.25" r="128" customHeight="1" ht="18.75">
      <c r="A128" s="3">
        <v>100</v>
      </c>
      <c r="B128" s="3">
        <v>4</v>
      </c>
      <c r="C128" s="3">
        <v>119</v>
      </c>
      <c r="D128" s="3">
        <v>2615</v>
      </c>
      <c r="E128" s="2"/>
      <c r="F128" s="2"/>
      <c r="G128" s="2"/>
      <c r="H128" s="9"/>
      <c r="I128" s="9"/>
      <c r="J128" s="9"/>
      <c r="K128" s="8"/>
    </row>
    <row x14ac:dyDescent="0.25" r="129" customHeight="1" ht="18.75">
      <c r="A129" s="3">
        <v>68</v>
      </c>
      <c r="B129" s="3">
        <v>4</v>
      </c>
      <c r="C129" s="3">
        <v>91</v>
      </c>
      <c r="D129" s="3">
        <v>1985</v>
      </c>
      <c r="E129" s="2"/>
      <c r="F129" s="2"/>
      <c r="G129" s="2"/>
      <c r="H129" s="9"/>
      <c r="I129" s="9"/>
      <c r="J129" s="9"/>
      <c r="K129" s="8"/>
    </row>
    <row x14ac:dyDescent="0.25" r="130" customHeight="1" ht="18.75">
      <c r="A130" s="3">
        <v>60</v>
      </c>
      <c r="B130" s="3">
        <v>4</v>
      </c>
      <c r="C130" s="3">
        <v>81</v>
      </c>
      <c r="D130" s="3">
        <v>1760</v>
      </c>
      <c r="E130" s="2"/>
      <c r="F130" s="2"/>
      <c r="G130" s="2"/>
      <c r="H130" s="9"/>
      <c r="I130" s="9"/>
      <c r="J130" s="9"/>
      <c r="K130" s="8"/>
    </row>
    <row x14ac:dyDescent="0.25" r="131" customHeight="1" ht="18.75">
      <c r="A131" s="3">
        <v>75</v>
      </c>
      <c r="B131" s="3">
        <v>4</v>
      </c>
      <c r="C131" s="3">
        <v>107</v>
      </c>
      <c r="D131" s="3">
        <v>2210</v>
      </c>
      <c r="E131" s="2"/>
      <c r="F131" s="2"/>
      <c r="G131" s="2"/>
      <c r="H131" s="9"/>
      <c r="I131" s="9"/>
      <c r="J131" s="9"/>
      <c r="K131" s="8"/>
    </row>
    <row x14ac:dyDescent="0.25" r="132" customHeight="1" ht="18.75">
      <c r="A132" s="3">
        <v>58</v>
      </c>
      <c r="B132" s="3">
        <v>4</v>
      </c>
      <c r="C132" s="3">
        <v>79</v>
      </c>
      <c r="D132" s="3">
        <v>1755</v>
      </c>
      <c r="E132" s="2"/>
      <c r="F132" s="2"/>
      <c r="G132" s="2"/>
      <c r="H132" s="9"/>
      <c r="I132" s="9"/>
      <c r="J132" s="9"/>
      <c r="K132" s="8"/>
    </row>
    <row x14ac:dyDescent="0.25" r="133" customHeight="1" ht="18.75">
      <c r="A133" s="3">
        <v>65</v>
      </c>
      <c r="B133" s="3">
        <v>4</v>
      </c>
      <c r="C133" s="3">
        <v>85</v>
      </c>
      <c r="D133" s="3">
        <v>1975</v>
      </c>
      <c r="E133" s="2"/>
      <c r="F133" s="2"/>
      <c r="G133" s="2"/>
      <c r="H133" s="9"/>
      <c r="I133" s="9"/>
      <c r="J133" s="9"/>
      <c r="K133" s="8"/>
    </row>
    <row x14ac:dyDescent="0.25" r="134" customHeight="1" ht="18.75">
      <c r="A134" s="3">
        <v>67</v>
      </c>
      <c r="B134" s="3">
        <v>4</v>
      </c>
      <c r="C134" s="3">
        <v>97</v>
      </c>
      <c r="D134" s="3">
        <v>2065</v>
      </c>
      <c r="E134" s="2"/>
      <c r="F134" s="2"/>
      <c r="G134" s="2"/>
      <c r="H134" s="9"/>
      <c r="I134" s="9"/>
      <c r="J134" s="9"/>
      <c r="K134" s="8"/>
    </row>
    <row x14ac:dyDescent="0.25" r="135" customHeight="1" ht="18.75">
      <c r="A135" s="3">
        <v>75</v>
      </c>
      <c r="B135" s="3">
        <v>4</v>
      </c>
      <c r="C135" s="3">
        <v>108</v>
      </c>
      <c r="D135" s="3">
        <v>2350</v>
      </c>
      <c r="E135" s="2"/>
      <c r="F135" s="2"/>
      <c r="G135" s="2"/>
      <c r="H135" s="9"/>
      <c r="I135" s="9"/>
      <c r="J135" s="9"/>
      <c r="K135" s="8"/>
    </row>
    <row x14ac:dyDescent="0.25" r="136" customHeight="1" ht="18.75">
      <c r="A136" s="3">
        <v>62</v>
      </c>
      <c r="B136" s="3">
        <v>4</v>
      </c>
      <c r="C136" s="3">
        <v>89</v>
      </c>
      <c r="D136" s="3">
        <v>2050</v>
      </c>
      <c r="E136" s="2"/>
      <c r="F136" s="2"/>
      <c r="G136" s="2"/>
      <c r="H136" s="9"/>
      <c r="I136" s="9"/>
      <c r="J136" s="9"/>
      <c r="K136" s="8"/>
    </row>
    <row x14ac:dyDescent="0.25" r="137" customHeight="1" ht="18.75">
      <c r="A137" s="3">
        <v>74</v>
      </c>
      <c r="B137" s="3">
        <v>4</v>
      </c>
      <c r="C137" s="3">
        <v>120</v>
      </c>
      <c r="D137" s="3">
        <v>2635</v>
      </c>
      <c r="E137" s="2"/>
      <c r="F137" s="2"/>
      <c r="G137" s="2"/>
      <c r="H137" s="9"/>
      <c r="I137" s="9"/>
      <c r="J137" s="9"/>
      <c r="K137" s="8"/>
    </row>
    <row x14ac:dyDescent="0.25" r="138" customHeight="1" ht="18.75">
      <c r="A138" s="3">
        <v>120</v>
      </c>
      <c r="B138" s="3">
        <v>6</v>
      </c>
      <c r="C138" s="3">
        <v>146</v>
      </c>
      <c r="D138" s="3">
        <v>2930</v>
      </c>
      <c r="E138" s="2"/>
      <c r="F138" s="2"/>
      <c r="G138" s="2"/>
      <c r="H138" s="9"/>
      <c r="I138" s="9"/>
      <c r="J138" s="9"/>
      <c r="K138" s="8"/>
    </row>
    <row x14ac:dyDescent="0.25" r="139" customHeight="1" ht="18.75">
      <c r="A139" s="3">
        <v>116</v>
      </c>
      <c r="B139" s="3">
        <v>6</v>
      </c>
      <c r="C139" s="3">
        <v>168</v>
      </c>
      <c r="D139" s="3">
        <v>2900</v>
      </c>
      <c r="E139" s="2"/>
      <c r="F139" s="2"/>
      <c r="G139" s="2"/>
      <c r="H139" s="9"/>
      <c r="I139" s="9"/>
      <c r="J139" s="9"/>
      <c r="K139" s="8"/>
    </row>
    <row x14ac:dyDescent="0.25" r="140" customHeight="1" ht="18.75">
      <c r="A140" s="3">
        <v>88</v>
      </c>
      <c r="B140" s="3">
        <v>4</v>
      </c>
      <c r="C140" s="3">
        <v>120</v>
      </c>
      <c r="D140" s="3">
        <v>2160</v>
      </c>
      <c r="E140" s="2"/>
      <c r="F140" s="2"/>
      <c r="G140" s="2"/>
      <c r="H140" s="9"/>
      <c r="I140" s="9"/>
      <c r="J140" s="9"/>
      <c r="K140" s="8"/>
    </row>
    <row x14ac:dyDescent="0.25" r="141" customHeight="1" ht="18.75">
      <c r="A141" s="3">
        <v>96</v>
      </c>
      <c r="B141" s="3">
        <v>4</v>
      </c>
      <c r="C141" s="3">
        <v>144</v>
      </c>
      <c r="D141" s="3">
        <v>2665</v>
      </c>
      <c r="E141" s="2"/>
      <c r="F141" s="2"/>
      <c r="G141" s="2"/>
      <c r="H141" s="9"/>
      <c r="I141" s="9"/>
      <c r="J141" s="9"/>
      <c r="K141" s="8"/>
    </row>
    <row x14ac:dyDescent="0.25" r="142" customHeight="1" ht="18.75">
      <c r="A142" s="3">
        <v>68</v>
      </c>
      <c r="B142" s="3">
        <v>4</v>
      </c>
      <c r="C142" s="3">
        <v>91</v>
      </c>
      <c r="D142" s="3">
        <v>1970</v>
      </c>
      <c r="E142" s="2"/>
      <c r="F142" s="2"/>
      <c r="G142" s="2"/>
      <c r="H142" s="9"/>
      <c r="I142" s="9"/>
      <c r="J142" s="9"/>
      <c r="K142" s="8"/>
    </row>
    <row x14ac:dyDescent="0.25" r="143" customHeight="1" ht="18.75">
      <c r="A143" s="3">
        <v>67</v>
      </c>
      <c r="B143" s="3">
        <v>4</v>
      </c>
      <c r="C143" s="3">
        <v>91</v>
      </c>
      <c r="D143" s="3">
        <v>1965</v>
      </c>
      <c r="E143" s="2"/>
      <c r="F143" s="2"/>
      <c r="G143" s="2"/>
      <c r="H143" s="9"/>
      <c r="I143" s="9"/>
      <c r="J143" s="9"/>
      <c r="K143" s="8"/>
    </row>
    <row x14ac:dyDescent="0.25" r="144" customHeight="1" ht="18.75">
      <c r="A144" s="3">
        <v>67</v>
      </c>
      <c r="B144" s="3">
        <v>4</v>
      </c>
      <c r="C144" s="3">
        <v>91</v>
      </c>
      <c r="D144" s="3">
        <v>1965</v>
      </c>
      <c r="E144" s="2"/>
      <c r="F144" s="2"/>
      <c r="G144" s="2"/>
      <c r="H144" s="9"/>
      <c r="I144" s="9"/>
      <c r="J144" s="9"/>
      <c r="K144" s="8"/>
    </row>
    <row x14ac:dyDescent="0.25" r="145" customHeight="1" ht="18.75">
      <c r="A145" s="3">
        <v>75</v>
      </c>
      <c r="B145" s="3">
        <v>4</v>
      </c>
      <c r="C145" s="3">
        <v>107</v>
      </c>
      <c r="D145" s="3">
        <v>2205</v>
      </c>
      <c r="E145" s="2"/>
      <c r="F145" s="2"/>
      <c r="G145" s="2"/>
      <c r="H145" s="9"/>
      <c r="I145" s="9"/>
      <c r="J145" s="9"/>
      <c r="K145" s="8"/>
    </row>
    <row x14ac:dyDescent="0.25" r="146" customHeight="1" ht="18.75">
      <c r="A146" s="3">
        <v>67</v>
      </c>
      <c r="B146" s="3">
        <v>4</v>
      </c>
      <c r="C146" s="3">
        <v>91</v>
      </c>
      <c r="D146" s="3">
        <v>1995</v>
      </c>
      <c r="E146" s="2"/>
      <c r="F146" s="2"/>
      <c r="G146" s="2"/>
      <c r="H146" s="9"/>
      <c r="I146" s="9"/>
      <c r="J146" s="9"/>
      <c r="K146" s="8"/>
    </row>
    <row x14ac:dyDescent="0.25" r="147" customHeight="1" ht="18.75">
      <c r="A147" s="3">
        <v>68</v>
      </c>
      <c r="B147" s="3">
        <v>4</v>
      </c>
      <c r="C147" s="3">
        <v>91</v>
      </c>
      <c r="D147" s="3">
        <v>2025</v>
      </c>
      <c r="E147" s="2"/>
      <c r="F147" s="2"/>
      <c r="G147" s="2"/>
      <c r="H147" s="9"/>
      <c r="I147" s="9"/>
      <c r="J147" s="9"/>
      <c r="K147" s="8"/>
    </row>
    <row x14ac:dyDescent="0.25" r="148" customHeight="1" ht="18.75">
      <c r="A148" s="3">
        <v>70</v>
      </c>
      <c r="B148" s="3">
        <v>4</v>
      </c>
      <c r="C148" s="3">
        <v>108</v>
      </c>
      <c r="D148" s="3">
        <v>2245</v>
      </c>
      <c r="E148" s="2"/>
      <c r="F148" s="2"/>
      <c r="G148" s="2"/>
      <c r="H148" s="9"/>
      <c r="I148" s="9"/>
      <c r="J148" s="9"/>
      <c r="K148" s="8"/>
    </row>
    <row x14ac:dyDescent="0.25" r="149" customHeight="1" ht="18.75">
      <c r="A149" s="3">
        <v>97</v>
      </c>
      <c r="B149" s="3">
        <v>6</v>
      </c>
      <c r="C149" s="3">
        <v>199</v>
      </c>
      <c r="D149" s="3">
        <v>2774</v>
      </c>
      <c r="E149" s="2"/>
      <c r="F149" s="2"/>
      <c r="G149" s="2"/>
      <c r="H149" s="9"/>
      <c r="I149" s="9"/>
      <c r="J149" s="9"/>
      <c r="K149" s="8"/>
    </row>
    <row x14ac:dyDescent="0.25" r="150" customHeight="1" ht="18.75">
      <c r="A150" s="3">
        <v>90</v>
      </c>
      <c r="B150" s="3">
        <v>6</v>
      </c>
      <c r="C150" s="3">
        <v>199</v>
      </c>
      <c r="D150" s="3">
        <v>2648</v>
      </c>
      <c r="E150" s="2"/>
      <c r="F150" s="2"/>
      <c r="G150" s="2"/>
      <c r="H150" s="9"/>
      <c r="I150" s="9"/>
      <c r="J150" s="9"/>
      <c r="K150" s="8"/>
    </row>
    <row x14ac:dyDescent="0.25" r="151" customHeight="1" ht="18.75">
      <c r="A151" s="3">
        <v>95</v>
      </c>
      <c r="B151" s="3">
        <v>6</v>
      </c>
      <c r="C151" s="3">
        <v>198</v>
      </c>
      <c r="D151" s="3">
        <v>2833</v>
      </c>
      <c r="E151" s="2"/>
      <c r="F151" s="2"/>
      <c r="G151" s="2"/>
      <c r="H151" s="9"/>
      <c r="I151" s="9"/>
      <c r="J151" s="9"/>
      <c r="K151" s="8"/>
    </row>
    <row x14ac:dyDescent="0.25" r="152" customHeight="1" ht="18.75">
      <c r="A152" s="3">
        <v>85</v>
      </c>
      <c r="B152" s="3">
        <v>6</v>
      </c>
      <c r="C152" s="3">
        <v>200</v>
      </c>
      <c r="D152" s="3">
        <v>2587</v>
      </c>
      <c r="E152" s="2"/>
      <c r="F152" s="2"/>
      <c r="G152" s="2"/>
      <c r="H152" s="9"/>
      <c r="I152" s="9"/>
      <c r="J152" s="9"/>
      <c r="K152" s="8"/>
    </row>
    <row x14ac:dyDescent="0.25" r="153" customHeight="1" ht="18.75">
      <c r="A153" s="3">
        <v>225</v>
      </c>
      <c r="B153" s="3">
        <v>8</v>
      </c>
      <c r="C153" s="3">
        <v>455</v>
      </c>
      <c r="D153" s="3">
        <v>3086</v>
      </c>
      <c r="E153" s="2"/>
      <c r="F153" s="2"/>
      <c r="G153" s="2"/>
      <c r="H153" s="9"/>
      <c r="I153" s="9"/>
      <c r="J153" s="9"/>
      <c r="K153" s="8"/>
    </row>
    <row x14ac:dyDescent="0.25" r="154" customHeight="1" ht="18.75">
      <c r="A154" s="3">
        <v>225</v>
      </c>
      <c r="B154" s="3">
        <v>8</v>
      </c>
      <c r="C154" s="3">
        <v>455</v>
      </c>
      <c r="D154" s="3">
        <v>4425</v>
      </c>
      <c r="E154" s="2"/>
      <c r="F154" s="2"/>
      <c r="G154" s="2"/>
      <c r="H154" s="9"/>
      <c r="I154" s="9"/>
      <c r="J154" s="9"/>
      <c r="K154" s="8"/>
    </row>
    <row x14ac:dyDescent="0.25" r="155" customHeight="1" ht="18.75">
      <c r="A155" s="3">
        <v>220</v>
      </c>
      <c r="B155" s="3">
        <v>8</v>
      </c>
      <c r="C155" s="3">
        <v>454</v>
      </c>
      <c r="D155" s="3">
        <v>4354</v>
      </c>
      <c r="E155" s="2"/>
      <c r="F155" s="2"/>
      <c r="G155" s="2"/>
      <c r="H155" s="9"/>
      <c r="I155" s="9"/>
      <c r="J155" s="9"/>
      <c r="K155" s="8"/>
    </row>
    <row x14ac:dyDescent="0.25" r="156" customHeight="1" ht="18.75">
      <c r="A156" s="3">
        <v>215</v>
      </c>
      <c r="B156" s="3">
        <v>8</v>
      </c>
      <c r="C156" s="3">
        <v>440</v>
      </c>
      <c r="D156" s="3">
        <v>4312</v>
      </c>
      <c r="E156" s="2"/>
      <c r="F156" s="2"/>
      <c r="G156" s="2"/>
      <c r="H156" s="9"/>
      <c r="I156" s="9"/>
      <c r="J156" s="9"/>
      <c r="K156" s="8"/>
    </row>
    <row x14ac:dyDescent="0.25" r="157" customHeight="1" ht="18.75">
      <c r="A157" s="3">
        <v>190</v>
      </c>
      <c r="B157" s="3">
        <v>8</v>
      </c>
      <c r="C157" s="3">
        <v>390</v>
      </c>
      <c r="D157" s="3">
        <v>3850</v>
      </c>
      <c r="E157" s="2"/>
      <c r="F157" s="2"/>
      <c r="G157" s="2"/>
      <c r="H157" s="9"/>
      <c r="I157" s="9"/>
      <c r="J157" s="9"/>
      <c r="K157" s="8"/>
    </row>
    <row x14ac:dyDescent="0.25" r="158" customHeight="1" ht="18.75">
      <c r="A158" s="3">
        <v>210</v>
      </c>
      <c r="B158" s="3">
        <v>8</v>
      </c>
      <c r="C158" s="3">
        <v>318</v>
      </c>
      <c r="D158" s="3">
        <v>4382</v>
      </c>
      <c r="E158" s="2"/>
      <c r="F158" s="2"/>
      <c r="G158" s="2"/>
      <c r="H158" s="9"/>
      <c r="I158" s="9"/>
      <c r="J158" s="9"/>
      <c r="K158" s="8"/>
    </row>
    <row x14ac:dyDescent="0.25" r="159" customHeight="1" ht="18.75">
      <c r="A159" s="3">
        <v>170</v>
      </c>
      <c r="B159" s="3">
        <v>8</v>
      </c>
      <c r="C159" s="3">
        <v>383</v>
      </c>
      <c r="D159" s="3">
        <v>3563</v>
      </c>
      <c r="E159" s="2"/>
      <c r="F159" s="2"/>
      <c r="G159" s="2"/>
      <c r="H159" s="9"/>
      <c r="I159" s="9"/>
      <c r="J159" s="9"/>
      <c r="K159" s="8"/>
    </row>
    <row x14ac:dyDescent="0.25" r="160" customHeight="1" ht="18.75">
      <c r="A160" s="3">
        <v>215</v>
      </c>
      <c r="B160" s="3">
        <v>8</v>
      </c>
      <c r="C160" s="3">
        <v>360</v>
      </c>
      <c r="D160" s="3">
        <v>4615</v>
      </c>
      <c r="E160" s="2"/>
      <c r="F160" s="2"/>
      <c r="G160" s="2"/>
      <c r="H160" s="9"/>
      <c r="I160" s="9"/>
      <c r="J160" s="9"/>
      <c r="K160" s="8"/>
    </row>
    <row x14ac:dyDescent="0.25" r="161" customHeight="1" ht="18.75">
      <c r="A161" s="3">
        <v>200</v>
      </c>
      <c r="B161" s="3">
        <v>8</v>
      </c>
      <c r="C161" s="3">
        <v>307</v>
      </c>
      <c r="D161" s="3">
        <v>4376</v>
      </c>
      <c r="E161" s="2"/>
      <c r="F161" s="2"/>
      <c r="G161" s="2"/>
      <c r="H161" s="9"/>
      <c r="I161" s="9"/>
      <c r="J161" s="9"/>
      <c r="K161" s="8"/>
    </row>
    <row x14ac:dyDescent="0.25" r="162" customHeight="1" ht="18.75">
      <c r="A162" s="3">
        <v>198</v>
      </c>
      <c r="B162" s="3">
        <v>8</v>
      </c>
      <c r="C162" s="3">
        <v>429</v>
      </c>
      <c r="D162" s="3">
        <v>4341</v>
      </c>
      <c r="E162" s="2"/>
      <c r="F162" s="2"/>
      <c r="G162" s="2"/>
      <c r="H162" s="9"/>
      <c r="I162" s="9"/>
      <c r="J162" s="9"/>
      <c r="K162" s="8"/>
    </row>
    <row x14ac:dyDescent="0.25" r="163" customHeight="1" ht="18.75">
      <c r="A163" s="3">
        <v>165</v>
      </c>
      <c r="B163" s="3">
        <v>8</v>
      </c>
      <c r="C163" s="3">
        <v>350</v>
      </c>
      <c r="D163" s="3">
        <v>3693</v>
      </c>
      <c r="E163" s="2"/>
      <c r="F163" s="2"/>
      <c r="G163" s="2"/>
      <c r="H163" s="9"/>
      <c r="I163" s="9"/>
      <c r="J163" s="9"/>
      <c r="K163" s="8"/>
    </row>
    <row x14ac:dyDescent="0.25" r="164" customHeight="1" ht="18.75">
      <c r="A164" s="3">
        <v>160</v>
      </c>
      <c r="B164" s="3">
        <v>8</v>
      </c>
      <c r="C164" s="3">
        <v>340</v>
      </c>
      <c r="D164" s="3">
        <v>3609</v>
      </c>
      <c r="E164" s="2"/>
      <c r="F164" s="2"/>
      <c r="G164" s="2"/>
      <c r="H164" s="9"/>
      <c r="I164" s="9"/>
      <c r="J164" s="9"/>
      <c r="K164" s="8"/>
    </row>
    <row x14ac:dyDescent="0.25" r="165" customHeight="1" ht="18.75">
      <c r="A165" s="3">
        <v>150</v>
      </c>
      <c r="B165" s="3">
        <v>8</v>
      </c>
      <c r="C165" s="3">
        <v>304</v>
      </c>
      <c r="D165" s="3">
        <v>3433</v>
      </c>
      <c r="E165" s="2"/>
      <c r="F165" s="2"/>
      <c r="G165" s="2"/>
      <c r="H165" s="9"/>
      <c r="I165" s="9"/>
      <c r="J165" s="9"/>
      <c r="K165" s="8"/>
    </row>
    <row x14ac:dyDescent="0.25" r="166" customHeight="1" ht="18.75">
      <c r="A166" s="3">
        <v>150</v>
      </c>
      <c r="B166" s="3">
        <v>8</v>
      </c>
      <c r="C166" s="3">
        <v>318</v>
      </c>
      <c r="D166" s="3">
        <v>3436</v>
      </c>
      <c r="E166" s="2"/>
      <c r="F166" s="2"/>
      <c r="G166" s="2"/>
      <c r="H166" s="9"/>
      <c r="I166" s="9"/>
      <c r="J166" s="9"/>
      <c r="K166" s="8"/>
    </row>
    <row x14ac:dyDescent="0.25" r="167" customHeight="1" ht="18.75">
      <c r="A167" s="3">
        <v>193</v>
      </c>
      <c r="B167" s="3">
        <v>8</v>
      </c>
      <c r="C167" s="3">
        <v>304</v>
      </c>
      <c r="D167" s="3">
        <v>4732</v>
      </c>
      <c r="E167" s="2"/>
      <c r="F167" s="2"/>
      <c r="G167" s="2"/>
      <c r="H167" s="9"/>
      <c r="I167" s="9"/>
      <c r="J167" s="9"/>
      <c r="K167" s="8"/>
    </row>
    <row x14ac:dyDescent="0.25" r="168" customHeight="1" ht="18.75">
      <c r="A168" s="3">
        <v>140</v>
      </c>
      <c r="B168" s="3">
        <v>8</v>
      </c>
      <c r="C168" s="3">
        <v>302</v>
      </c>
      <c r="D168" s="3">
        <v>3449</v>
      </c>
      <c r="E168" s="2"/>
      <c r="F168" s="2"/>
      <c r="G168" s="2"/>
      <c r="H168" s="9"/>
      <c r="I168" s="9"/>
      <c r="J168" s="9"/>
      <c r="K168" s="8"/>
    </row>
    <row x14ac:dyDescent="0.25" r="169" customHeight="1" ht="18.75">
      <c r="A169" s="3">
        <v>150</v>
      </c>
      <c r="B169" s="3">
        <v>8</v>
      </c>
      <c r="C169" s="3">
        <v>400</v>
      </c>
      <c r="D169" s="3">
        <v>3761</v>
      </c>
      <c r="E169" s="2"/>
      <c r="F169" s="2"/>
      <c r="G169" s="2"/>
      <c r="H169" s="9"/>
      <c r="I169" s="9"/>
      <c r="J169" s="9"/>
      <c r="K169" s="8"/>
    </row>
    <row x14ac:dyDescent="0.25" r="170" customHeight="1" ht="18.75">
      <c r="A170" s="3">
        <v>130</v>
      </c>
      <c r="B170" s="3">
        <v>8</v>
      </c>
      <c r="C170" s="3">
        <v>307</v>
      </c>
      <c r="D170" s="3">
        <v>3504</v>
      </c>
      <c r="E170" s="2"/>
      <c r="F170" s="2"/>
      <c r="G170" s="2"/>
      <c r="H170" s="9"/>
      <c r="I170" s="9"/>
      <c r="J170" s="9"/>
      <c r="K170" s="8"/>
    </row>
    <row x14ac:dyDescent="0.25" r="171" customHeight="1" ht="18.75">
      <c r="A171" s="3">
        <v>90</v>
      </c>
      <c r="B171" s="3">
        <v>4</v>
      </c>
      <c r="C171" s="3">
        <v>140</v>
      </c>
      <c r="D171" s="3">
        <v>2264</v>
      </c>
      <c r="E171" s="2"/>
      <c r="F171" s="2"/>
      <c r="G171" s="2"/>
      <c r="H171" s="9"/>
      <c r="I171" s="9"/>
      <c r="J171" s="9"/>
      <c r="K171" s="8"/>
    </row>
    <row x14ac:dyDescent="0.25" r="172" customHeight="1" ht="18.75">
      <c r="A172" s="3">
        <v>86</v>
      </c>
      <c r="B172" s="3">
        <v>4</v>
      </c>
      <c r="C172" s="3">
        <v>122</v>
      </c>
      <c r="D172" s="3">
        <v>2220</v>
      </c>
      <c r="E172" s="2"/>
      <c r="F172" s="2"/>
      <c r="G172" s="2"/>
      <c r="H172" s="9"/>
      <c r="I172" s="9"/>
      <c r="J172" s="9"/>
      <c r="K172" s="8"/>
    </row>
    <row x14ac:dyDescent="0.25" r="173" customHeight="1" ht="18.75">
      <c r="A173" s="3">
        <v>70</v>
      </c>
      <c r="B173" s="3">
        <v>4</v>
      </c>
      <c r="C173" s="3">
        <v>91</v>
      </c>
      <c r="D173" s="3">
        <v>1955</v>
      </c>
      <c r="E173" s="2"/>
      <c r="F173" s="2"/>
      <c r="G173" s="2"/>
      <c r="H173" s="9"/>
      <c r="I173" s="9"/>
      <c r="J173" s="9"/>
      <c r="K173" s="8"/>
    </row>
    <row x14ac:dyDescent="0.25" r="174" customHeight="1" ht="18.75">
      <c r="A174" s="3">
        <v>72</v>
      </c>
      <c r="B174" s="3">
        <v>4</v>
      </c>
      <c r="C174" s="3">
        <v>140</v>
      </c>
      <c r="D174" s="3">
        <v>2408</v>
      </c>
      <c r="E174" s="2"/>
      <c r="F174" s="2"/>
      <c r="G174" s="2"/>
      <c r="H174" s="9"/>
      <c r="I174" s="9"/>
      <c r="J174" s="9"/>
      <c r="K174" s="8"/>
    </row>
    <row x14ac:dyDescent="0.25" r="175" customHeight="1" ht="18.75">
      <c r="A175" s="3">
        <v>100</v>
      </c>
      <c r="B175" s="3">
        <v>6</v>
      </c>
      <c r="C175" s="3">
        <v>232</v>
      </c>
      <c r="D175" s="3">
        <v>2634</v>
      </c>
      <c r="E175" s="2"/>
      <c r="F175" s="2"/>
      <c r="G175" s="2"/>
      <c r="H175" s="9"/>
      <c r="I175" s="9"/>
      <c r="J175" s="9"/>
      <c r="K175" s="8"/>
    </row>
    <row x14ac:dyDescent="0.25" r="176" customHeight="1" ht="18.75">
      <c r="A176" s="3">
        <v>110</v>
      </c>
      <c r="B176" s="3">
        <v>6</v>
      </c>
      <c r="C176" s="3">
        <v>258</v>
      </c>
      <c r="D176" s="3">
        <v>2962</v>
      </c>
      <c r="E176" s="2"/>
      <c r="F176" s="2"/>
      <c r="G176" s="2"/>
      <c r="H176" s="9"/>
      <c r="I176" s="9"/>
      <c r="J176" s="9"/>
      <c r="K176" s="8"/>
    </row>
    <row x14ac:dyDescent="0.25" r="177" customHeight="1" ht="18.75">
      <c r="A177" s="3">
        <v>105</v>
      </c>
      <c r="B177" s="3">
        <v>6</v>
      </c>
      <c r="C177" s="3">
        <v>225</v>
      </c>
      <c r="D177" s="3">
        <v>3439</v>
      </c>
      <c r="E177" s="2"/>
      <c r="F177" s="2"/>
      <c r="G177" s="2"/>
      <c r="H177" s="9"/>
      <c r="I177" s="9"/>
      <c r="J177" s="9"/>
      <c r="K177" s="8"/>
    </row>
    <row x14ac:dyDescent="0.25" r="178" customHeight="1" ht="18.75">
      <c r="A178" s="3">
        <v>100</v>
      </c>
      <c r="B178" s="3">
        <v>6</v>
      </c>
      <c r="C178" s="3">
        <v>250</v>
      </c>
      <c r="D178" s="3">
        <v>3282</v>
      </c>
      <c r="E178" s="2"/>
      <c r="F178" s="2"/>
      <c r="G178" s="2"/>
      <c r="H178" s="9"/>
      <c r="I178" s="9"/>
      <c r="J178" s="9"/>
      <c r="K178" s="8"/>
    </row>
    <row x14ac:dyDescent="0.25" r="179" customHeight="1" ht="18.75">
      <c r="A179" s="3">
        <v>100</v>
      </c>
      <c r="B179" s="3">
        <v>6</v>
      </c>
      <c r="C179" s="3">
        <v>232</v>
      </c>
      <c r="D179" s="3">
        <v>3288</v>
      </c>
      <c r="E179" s="2"/>
      <c r="F179" s="2"/>
      <c r="G179" s="2"/>
      <c r="H179" s="9"/>
      <c r="I179" s="9"/>
      <c r="J179" s="9"/>
      <c r="K179" s="8"/>
    </row>
    <row x14ac:dyDescent="0.25" r="180" customHeight="1" ht="18.75">
      <c r="A180" s="3">
        <v>100</v>
      </c>
      <c r="B180" s="3">
        <v>6</v>
      </c>
      <c r="C180" s="3">
        <v>250</v>
      </c>
      <c r="D180" s="3">
        <v>3329</v>
      </c>
      <c r="E180" s="2"/>
      <c r="F180" s="2"/>
      <c r="G180" s="2"/>
      <c r="H180" s="9"/>
      <c r="I180" s="9"/>
      <c r="J180" s="9"/>
      <c r="K180" s="8"/>
    </row>
    <row x14ac:dyDescent="0.25" r="181" customHeight="1" ht="18.75">
      <c r="A181" s="3">
        <v>88</v>
      </c>
      <c r="B181" s="3">
        <v>6</v>
      </c>
      <c r="C181" s="3">
        <v>250</v>
      </c>
      <c r="D181" s="3">
        <v>3139</v>
      </c>
      <c r="E181" s="2"/>
      <c r="F181" s="2"/>
      <c r="G181" s="2"/>
      <c r="H181" s="9"/>
      <c r="I181" s="9"/>
      <c r="J181" s="9"/>
      <c r="K181" s="8"/>
    </row>
    <row x14ac:dyDescent="0.25" r="182" customHeight="1" ht="18.75">
      <c r="A182" s="3">
        <v>88</v>
      </c>
      <c r="B182" s="3">
        <v>6</v>
      </c>
      <c r="C182" s="3">
        <v>250</v>
      </c>
      <c r="D182" s="3">
        <v>3302</v>
      </c>
      <c r="E182" s="2"/>
      <c r="F182" s="2"/>
      <c r="G182" s="2"/>
      <c r="H182" s="9"/>
      <c r="I182" s="9"/>
      <c r="J182" s="9"/>
      <c r="K182" s="8"/>
    </row>
    <row x14ac:dyDescent="0.25" r="183" customHeight="1" ht="18.75">
      <c r="A183" s="3">
        <v>165</v>
      </c>
      <c r="B183" s="3">
        <v>8</v>
      </c>
      <c r="C183" s="3">
        <v>350</v>
      </c>
      <c r="D183" s="3">
        <v>4209</v>
      </c>
      <c r="E183" s="2"/>
      <c r="F183" s="2"/>
      <c r="G183" s="2"/>
      <c r="H183" s="9"/>
      <c r="I183" s="9"/>
      <c r="J183" s="9"/>
      <c r="K183" s="8"/>
    </row>
    <row x14ac:dyDescent="0.25" r="184" customHeight="1" ht="18.75">
      <c r="A184" s="3">
        <v>175</v>
      </c>
      <c r="B184" s="3">
        <v>8</v>
      </c>
      <c r="C184" s="3">
        <v>400</v>
      </c>
      <c r="D184" s="3">
        <v>4464</v>
      </c>
      <c r="E184" s="2"/>
      <c r="F184" s="2"/>
      <c r="G184" s="2"/>
      <c r="H184" s="9"/>
      <c r="I184" s="9"/>
      <c r="J184" s="9"/>
      <c r="K184" s="8"/>
    </row>
    <row x14ac:dyDescent="0.25" r="185" customHeight="1" ht="18.75">
      <c r="A185" s="3">
        <v>153</v>
      </c>
      <c r="B185" s="3">
        <v>8</v>
      </c>
      <c r="C185" s="3">
        <v>351</v>
      </c>
      <c r="D185" s="3">
        <v>4154</v>
      </c>
      <c r="E185" s="2"/>
      <c r="F185" s="2"/>
      <c r="G185" s="2"/>
      <c r="H185" s="9"/>
      <c r="I185" s="9"/>
      <c r="J185" s="9"/>
      <c r="K185" s="8"/>
    </row>
    <row x14ac:dyDescent="0.25" r="186" customHeight="1" ht="18.75">
      <c r="A186" s="3">
        <v>150</v>
      </c>
      <c r="B186" s="3">
        <v>8</v>
      </c>
      <c r="C186" s="3">
        <v>318</v>
      </c>
      <c r="D186" s="3">
        <v>4096</v>
      </c>
      <c r="E186" s="2"/>
      <c r="F186" s="2"/>
      <c r="G186" s="2"/>
      <c r="H186" s="9"/>
      <c r="I186" s="9"/>
      <c r="J186" s="9"/>
      <c r="K186" s="8"/>
    </row>
    <row x14ac:dyDescent="0.25" r="187" customHeight="1" ht="18.75">
      <c r="A187" s="3">
        <v>180</v>
      </c>
      <c r="B187" s="3">
        <v>8</v>
      </c>
      <c r="C187" s="3">
        <v>383</v>
      </c>
      <c r="D187" s="3">
        <v>4955</v>
      </c>
      <c r="E187" s="2"/>
      <c r="F187" s="2"/>
      <c r="G187" s="2"/>
      <c r="H187" s="9"/>
      <c r="I187" s="9"/>
      <c r="J187" s="9"/>
      <c r="K187" s="8"/>
    </row>
    <row x14ac:dyDescent="0.25" r="188" customHeight="1" ht="18.75">
      <c r="A188" s="3">
        <v>170</v>
      </c>
      <c r="B188" s="3">
        <v>8</v>
      </c>
      <c r="C188" s="3">
        <v>400</v>
      </c>
      <c r="D188" s="3">
        <v>4746</v>
      </c>
      <c r="E188" s="2"/>
      <c r="F188" s="2"/>
      <c r="G188" s="2"/>
      <c r="H188" s="9"/>
      <c r="I188" s="9"/>
      <c r="J188" s="9"/>
      <c r="K188" s="8"/>
    </row>
    <row x14ac:dyDescent="0.25" r="189" customHeight="1" ht="18.75">
      <c r="A189" s="3">
        <v>175</v>
      </c>
      <c r="B189" s="3">
        <v>8</v>
      </c>
      <c r="C189" s="3">
        <v>400</v>
      </c>
      <c r="D189" s="3">
        <v>5140</v>
      </c>
      <c r="E189" s="2"/>
      <c r="F189" s="2"/>
      <c r="G189" s="2"/>
      <c r="H189" s="9"/>
      <c r="I189" s="9"/>
      <c r="J189" s="9"/>
      <c r="K189" s="8"/>
    </row>
    <row x14ac:dyDescent="0.25" r="190" customHeight="1" ht="18.75">
      <c r="A190" s="3">
        <v>86</v>
      </c>
      <c r="B190" s="3">
        <v>4</v>
      </c>
      <c r="C190" s="3">
        <v>122</v>
      </c>
      <c r="D190" s="3">
        <v>2226</v>
      </c>
      <c r="E190" s="2"/>
      <c r="F190" s="2"/>
      <c r="G190" s="2"/>
      <c r="H190" s="9"/>
      <c r="I190" s="9"/>
      <c r="J190" s="9"/>
      <c r="K190" s="8"/>
    </row>
    <row x14ac:dyDescent="0.25" r="191" customHeight="1" ht="18.75">
      <c r="A191" s="3">
        <v>80</v>
      </c>
      <c r="B191" s="3">
        <v>4</v>
      </c>
      <c r="C191" s="11">
        <v>97.5</v>
      </c>
      <c r="D191" s="3">
        <v>2126</v>
      </c>
      <c r="E191" s="2"/>
      <c r="F191" s="2"/>
      <c r="G191" s="2"/>
      <c r="H191" s="9"/>
      <c r="I191" s="9"/>
      <c r="J191" s="9"/>
      <c r="K191" s="8"/>
    </row>
    <row x14ac:dyDescent="0.25" r="192" customHeight="1" ht="18.75">
      <c r="A192" s="3">
        <v>90</v>
      </c>
      <c r="B192" s="3">
        <v>4</v>
      </c>
      <c r="C192" s="3">
        <v>140</v>
      </c>
      <c r="D192" s="3">
        <v>2408</v>
      </c>
      <c r="E192" s="2"/>
      <c r="F192" s="2"/>
      <c r="G192" s="2"/>
      <c r="H192" s="9"/>
      <c r="I192" s="9"/>
      <c r="J192" s="9"/>
      <c r="K192" s="8"/>
    </row>
    <row x14ac:dyDescent="0.25" r="193" customHeight="1" ht="18.75">
      <c r="A193" s="3">
        <v>80</v>
      </c>
      <c r="B193" s="3">
        <v>4</v>
      </c>
      <c r="C193" s="3">
        <v>98</v>
      </c>
      <c r="D193" s="3">
        <v>2164</v>
      </c>
      <c r="E193" s="2"/>
      <c r="F193" s="2"/>
      <c r="G193" s="2"/>
      <c r="H193" s="9"/>
      <c r="I193" s="9"/>
      <c r="J193" s="9"/>
      <c r="K193" s="8"/>
    </row>
    <row x14ac:dyDescent="0.25" r="194" customHeight="1" ht="18.75">
      <c r="A194" s="3">
        <v>86</v>
      </c>
      <c r="B194" s="3">
        <v>4</v>
      </c>
      <c r="C194" s="3">
        <v>122</v>
      </c>
      <c r="D194" s="3">
        <v>2395</v>
      </c>
      <c r="E194" s="2"/>
      <c r="F194" s="2"/>
      <c r="G194" s="2"/>
      <c r="H194" s="9"/>
      <c r="I194" s="9"/>
      <c r="J194" s="9"/>
      <c r="K194" s="8"/>
    </row>
    <row x14ac:dyDescent="0.25" r="195" customHeight="1" ht="18.75">
      <c r="A195" s="3">
        <v>208</v>
      </c>
      <c r="B195" s="3">
        <v>8</v>
      </c>
      <c r="C195" s="3">
        <v>429</v>
      </c>
      <c r="D195" s="3">
        <v>4633</v>
      </c>
      <c r="E195" s="2"/>
      <c r="F195" s="2"/>
      <c r="G195" s="2"/>
      <c r="H195" s="9"/>
      <c r="I195" s="9"/>
      <c r="J195" s="9"/>
      <c r="K195" s="8"/>
    </row>
    <row x14ac:dyDescent="0.25" r="196" customHeight="1" ht="18.75">
      <c r="A196" s="3">
        <v>190</v>
      </c>
      <c r="B196" s="3">
        <v>8</v>
      </c>
      <c r="C196" s="3">
        <v>400</v>
      </c>
      <c r="D196" s="3">
        <v>4422</v>
      </c>
      <c r="E196" s="2"/>
      <c r="F196" s="2"/>
      <c r="G196" s="2"/>
      <c r="H196" s="9"/>
      <c r="I196" s="9"/>
      <c r="J196" s="9"/>
      <c r="K196" s="8"/>
    </row>
    <row x14ac:dyDescent="0.25" r="197" customHeight="1" ht="18.75">
      <c r="A197" s="3">
        <v>150</v>
      </c>
      <c r="B197" s="3">
        <v>8</v>
      </c>
      <c r="C197" s="3">
        <v>304</v>
      </c>
      <c r="D197" s="3">
        <v>3672</v>
      </c>
      <c r="E197" s="2"/>
      <c r="F197" s="2"/>
      <c r="G197" s="2"/>
      <c r="H197" s="9"/>
      <c r="I197" s="9"/>
      <c r="J197" s="9"/>
      <c r="K197" s="8"/>
    </row>
    <row x14ac:dyDescent="0.25" r="198" customHeight="1" ht="18.75">
      <c r="A198" s="3">
        <v>175</v>
      </c>
      <c r="B198" s="3">
        <v>8</v>
      </c>
      <c r="C198" s="3">
        <v>400</v>
      </c>
      <c r="D198" s="3">
        <v>4385</v>
      </c>
      <c r="E198" s="2"/>
      <c r="F198" s="2"/>
      <c r="G198" s="2"/>
      <c r="H198" s="9"/>
      <c r="I198" s="9"/>
      <c r="J198" s="9"/>
      <c r="K198" s="8"/>
    </row>
    <row x14ac:dyDescent="0.25" r="199" customHeight="1" ht="18.75">
      <c r="A199" s="3">
        <v>165</v>
      </c>
      <c r="B199" s="3">
        <v>8</v>
      </c>
      <c r="C199" s="3">
        <v>350</v>
      </c>
      <c r="D199" s="3">
        <v>4274</v>
      </c>
      <c r="E199" s="2"/>
      <c r="F199" s="2"/>
      <c r="G199" s="2"/>
      <c r="H199" s="9"/>
      <c r="I199" s="9"/>
      <c r="J199" s="9"/>
      <c r="K199" s="8"/>
    </row>
    <row x14ac:dyDescent="0.25" r="200" customHeight="1" ht="18.75">
      <c r="A200" s="3">
        <v>150</v>
      </c>
      <c r="B200" s="3">
        <v>8</v>
      </c>
      <c r="C200" s="3">
        <v>304</v>
      </c>
      <c r="D200" s="3">
        <v>3892</v>
      </c>
      <c r="E200" s="2"/>
      <c r="F200" s="2"/>
      <c r="G200" s="2"/>
      <c r="H200" s="9"/>
      <c r="I200" s="9"/>
      <c r="J200" s="9"/>
      <c r="K200" s="8"/>
    </row>
    <row x14ac:dyDescent="0.25" r="201" customHeight="1" ht="18.75">
      <c r="A201" s="3">
        <v>153</v>
      </c>
      <c r="B201" s="3">
        <v>8</v>
      </c>
      <c r="C201" s="3">
        <v>351</v>
      </c>
      <c r="D201" s="3">
        <v>4129</v>
      </c>
      <c r="E201" s="2"/>
      <c r="F201" s="2"/>
      <c r="G201" s="2"/>
      <c r="H201" s="9"/>
      <c r="I201" s="9"/>
      <c r="J201" s="9"/>
      <c r="K201" s="8"/>
    </row>
    <row x14ac:dyDescent="0.25" r="202" customHeight="1" ht="18.75">
      <c r="A202" s="3">
        <v>150</v>
      </c>
      <c r="B202" s="3">
        <v>8</v>
      </c>
      <c r="C202" s="3">
        <v>318</v>
      </c>
      <c r="D202" s="3">
        <v>4077</v>
      </c>
      <c r="E202" s="2"/>
      <c r="F202" s="2"/>
      <c r="G202" s="2"/>
      <c r="H202" s="9"/>
      <c r="I202" s="9"/>
      <c r="J202" s="9"/>
      <c r="K202" s="8"/>
    </row>
    <row x14ac:dyDescent="0.25" r="203" customHeight="1" ht="18.75">
      <c r="A203" s="3">
        <v>150</v>
      </c>
      <c r="B203" s="3">
        <v>8</v>
      </c>
      <c r="C203" s="3">
        <v>318</v>
      </c>
      <c r="D203" s="3">
        <v>4135</v>
      </c>
      <c r="E203" s="2"/>
      <c r="F203" s="2"/>
      <c r="G203" s="2"/>
      <c r="H203" s="9"/>
      <c r="I203" s="9"/>
      <c r="J203" s="9"/>
      <c r="K203" s="8"/>
    </row>
    <row x14ac:dyDescent="0.25" r="204" customHeight="1" ht="18.75">
      <c r="A204" s="3">
        <v>160</v>
      </c>
      <c r="B204" s="3">
        <v>8</v>
      </c>
      <c r="C204" s="3">
        <v>350</v>
      </c>
      <c r="D204" s="3">
        <v>4456</v>
      </c>
      <c r="E204" s="2"/>
      <c r="F204" s="2"/>
      <c r="G204" s="2"/>
      <c r="H204" s="9"/>
      <c r="I204" s="9"/>
      <c r="J204" s="9"/>
      <c r="K204" s="8"/>
    </row>
    <row x14ac:dyDescent="0.25" r="205" customHeight="1" ht="18.75">
      <c r="A205" s="3">
        <v>155</v>
      </c>
      <c r="B205" s="3">
        <v>8</v>
      </c>
      <c r="C205" s="3">
        <v>350</v>
      </c>
      <c r="D205" s="3">
        <v>4502</v>
      </c>
      <c r="E205" s="2"/>
      <c r="F205" s="2"/>
      <c r="G205" s="2"/>
      <c r="H205" s="9"/>
      <c r="I205" s="9"/>
      <c r="J205" s="9"/>
      <c r="K205" s="8"/>
    </row>
    <row x14ac:dyDescent="0.25" r="206" customHeight="1" ht="18.75">
      <c r="A206" s="3">
        <v>140</v>
      </c>
      <c r="B206" s="3">
        <v>8</v>
      </c>
      <c r="C206" s="3">
        <v>302</v>
      </c>
      <c r="D206" s="3">
        <v>4294</v>
      </c>
      <c r="E206" s="2"/>
      <c r="F206" s="2"/>
      <c r="G206" s="2"/>
      <c r="H206" s="9"/>
      <c r="I206" s="9"/>
      <c r="J206" s="9"/>
      <c r="K206" s="8"/>
    </row>
    <row x14ac:dyDescent="0.25" r="207" customHeight="1" ht="18.75">
      <c r="A207" s="3">
        <v>130</v>
      </c>
      <c r="B207" s="3">
        <v>8</v>
      </c>
      <c r="C207" s="3">
        <v>307</v>
      </c>
      <c r="D207" s="3">
        <v>4098</v>
      </c>
      <c r="E207" s="2"/>
      <c r="F207" s="2"/>
      <c r="G207" s="2"/>
      <c r="H207" s="9"/>
      <c r="I207" s="9"/>
      <c r="J207" s="9"/>
      <c r="K207" s="8"/>
    </row>
    <row x14ac:dyDescent="0.25" r="208" customHeight="1" ht="18.75">
      <c r="A208" s="3">
        <v>85</v>
      </c>
      <c r="B208" s="3">
        <v>4</v>
      </c>
      <c r="C208" s="3">
        <v>122</v>
      </c>
      <c r="D208" s="3">
        <v>2310</v>
      </c>
      <c r="E208" s="2"/>
      <c r="F208" s="2"/>
      <c r="G208" s="2"/>
      <c r="H208" s="9"/>
      <c r="I208" s="9"/>
      <c r="J208" s="9"/>
      <c r="K208" s="8"/>
    </row>
    <row x14ac:dyDescent="0.25" r="209" customHeight="1" ht="18.75">
      <c r="A209" s="3">
        <v>72</v>
      </c>
      <c r="B209" s="3">
        <v>4</v>
      </c>
      <c r="C209" s="3">
        <v>140</v>
      </c>
      <c r="D209" s="3">
        <v>2401</v>
      </c>
      <c r="E209" s="2"/>
      <c r="F209" s="2"/>
      <c r="G209" s="2"/>
      <c r="H209" s="9"/>
      <c r="I209" s="9"/>
      <c r="J209" s="9"/>
      <c r="K209" s="8"/>
    </row>
    <row x14ac:dyDescent="0.25" r="210" customHeight="1" ht="18.75">
      <c r="A210" s="3">
        <v>107</v>
      </c>
      <c r="B210" s="3">
        <v>6</v>
      </c>
      <c r="C210" s="3">
        <v>155</v>
      </c>
      <c r="D210" s="3">
        <v>2472</v>
      </c>
      <c r="E210" s="2"/>
      <c r="F210" s="2"/>
      <c r="G210" s="2"/>
      <c r="H210" s="9"/>
      <c r="I210" s="9"/>
      <c r="J210" s="9"/>
      <c r="K210" s="8"/>
    </row>
    <row x14ac:dyDescent="0.25" r="211" customHeight="1" ht="18.75">
      <c r="A211" s="3">
        <v>100</v>
      </c>
      <c r="B211" s="3">
        <v>6</v>
      </c>
      <c r="C211" s="3">
        <v>232</v>
      </c>
      <c r="D211" s="3">
        <v>2789</v>
      </c>
      <c r="E211" s="2"/>
      <c r="F211" s="2"/>
      <c r="G211" s="2"/>
      <c r="H211" s="9"/>
      <c r="I211" s="9"/>
      <c r="J211" s="9"/>
      <c r="K211" s="8"/>
    </row>
    <row x14ac:dyDescent="0.25" r="212" customHeight="1" ht="18.75">
      <c r="A212" s="3">
        <v>100</v>
      </c>
      <c r="B212" s="3">
        <v>6</v>
      </c>
      <c r="C212" s="3">
        <v>232</v>
      </c>
      <c r="D212" s="3">
        <v>2945</v>
      </c>
      <c r="E212" s="2"/>
      <c r="F212" s="2"/>
      <c r="G212" s="2"/>
      <c r="H212" s="9"/>
      <c r="I212" s="9"/>
      <c r="J212" s="9"/>
      <c r="K212" s="8"/>
    </row>
    <row x14ac:dyDescent="0.25" r="213" customHeight="1" ht="18.75">
      <c r="A213" s="3">
        <v>105</v>
      </c>
      <c r="B213" s="3">
        <v>6</v>
      </c>
      <c r="C213" s="3">
        <v>225</v>
      </c>
      <c r="D213" s="3">
        <v>3121</v>
      </c>
      <c r="E213" s="2"/>
      <c r="F213" s="2"/>
      <c r="G213" s="2"/>
      <c r="H213" s="9"/>
      <c r="I213" s="9"/>
      <c r="J213" s="9"/>
      <c r="K213" s="8"/>
    </row>
    <row x14ac:dyDescent="0.25" r="214" customHeight="1" ht="18.75">
      <c r="A214" s="3">
        <v>95</v>
      </c>
      <c r="B214" s="3">
        <v>6</v>
      </c>
      <c r="C214" s="3">
        <v>198</v>
      </c>
      <c r="D214" s="3">
        <v>2904</v>
      </c>
      <c r="E214" s="2"/>
      <c r="F214" s="2"/>
      <c r="G214" s="2"/>
      <c r="H214" s="9"/>
      <c r="I214" s="9"/>
      <c r="J214" s="9"/>
      <c r="K214" s="8"/>
    </row>
    <row x14ac:dyDescent="0.25" r="215" customHeight="1" ht="18.75">
      <c r="A215" s="3">
        <v>100</v>
      </c>
      <c r="B215" s="3">
        <v>6</v>
      </c>
      <c r="C215" s="3">
        <v>250</v>
      </c>
      <c r="D215" s="3">
        <v>3278</v>
      </c>
      <c r="E215" s="2"/>
      <c r="F215" s="2"/>
      <c r="G215" s="2"/>
      <c r="H215" s="9"/>
      <c r="I215" s="9"/>
      <c r="J215" s="9"/>
      <c r="K215" s="8"/>
    </row>
    <row x14ac:dyDescent="0.25" r="216" customHeight="1" ht="18.75">
      <c r="A216" s="3">
        <v>88</v>
      </c>
      <c r="B216" s="3">
        <v>6</v>
      </c>
      <c r="C216" s="3">
        <v>250</v>
      </c>
      <c r="D216" s="3">
        <v>3021</v>
      </c>
      <c r="E216" s="2"/>
      <c r="F216" s="2"/>
      <c r="G216" s="2"/>
      <c r="H216" s="9"/>
      <c r="I216" s="9"/>
      <c r="J216" s="9"/>
      <c r="K216" s="8"/>
    </row>
    <row x14ac:dyDescent="0.25" r="217" customHeight="1" ht="18.75">
      <c r="A217" s="3">
        <v>230</v>
      </c>
      <c r="B217" s="3">
        <v>8</v>
      </c>
      <c r="C217" s="3">
        <v>400</v>
      </c>
      <c r="D217" s="3">
        <v>4278</v>
      </c>
      <c r="E217" s="2"/>
      <c r="F217" s="2"/>
      <c r="G217" s="2"/>
      <c r="H217" s="9"/>
      <c r="I217" s="9"/>
      <c r="J217" s="9"/>
      <c r="K217" s="8"/>
    </row>
    <row x14ac:dyDescent="0.25" r="218" customHeight="1" ht="18.75">
      <c r="A218" s="3">
        <v>180</v>
      </c>
      <c r="B218" s="3">
        <v>8</v>
      </c>
      <c r="C218" s="3">
        <v>350</v>
      </c>
      <c r="D218" s="3">
        <v>3664</v>
      </c>
      <c r="E218" s="2"/>
      <c r="F218" s="2"/>
      <c r="G218" s="2"/>
      <c r="H218" s="9"/>
      <c r="I218" s="9"/>
      <c r="J218" s="9"/>
      <c r="K218" s="8"/>
    </row>
    <row x14ac:dyDescent="0.25" r="219" customHeight="1" ht="18.75">
      <c r="A219" s="3">
        <v>175</v>
      </c>
      <c r="B219" s="3">
        <v>8</v>
      </c>
      <c r="C219" s="3">
        <v>360</v>
      </c>
      <c r="D219" s="3">
        <v>3821</v>
      </c>
      <c r="E219" s="2"/>
      <c r="F219" s="2"/>
      <c r="G219" s="2"/>
      <c r="H219" s="9"/>
      <c r="I219" s="9"/>
      <c r="J219" s="9"/>
      <c r="K219" s="8"/>
    </row>
    <row x14ac:dyDescent="0.25" r="220" customHeight="1" ht="18.75">
      <c r="A220" s="3">
        <v>225</v>
      </c>
      <c r="B220" s="3">
        <v>8</v>
      </c>
      <c r="C220" s="3">
        <v>455</v>
      </c>
      <c r="D220" s="3">
        <v>4951</v>
      </c>
      <c r="E220" s="2"/>
      <c r="F220" s="2"/>
      <c r="G220" s="2"/>
      <c r="H220" s="9"/>
      <c r="I220" s="9"/>
      <c r="J220" s="9"/>
      <c r="K220" s="8"/>
    </row>
    <row x14ac:dyDescent="0.25" r="221" customHeight="1" ht="18.75">
      <c r="A221" s="3">
        <v>215</v>
      </c>
      <c r="B221" s="3">
        <v>8</v>
      </c>
      <c r="C221" s="3">
        <v>440</v>
      </c>
      <c r="D221" s="3">
        <v>4735</v>
      </c>
      <c r="E221" s="2"/>
      <c r="F221" s="2"/>
      <c r="G221" s="2"/>
      <c r="H221" s="9"/>
      <c r="I221" s="9"/>
      <c r="J221" s="9"/>
      <c r="K221" s="8"/>
    </row>
    <row x14ac:dyDescent="0.25" r="222" customHeight="1" ht="18.75">
      <c r="A222" s="3">
        <v>150</v>
      </c>
      <c r="B222" s="3">
        <v>8</v>
      </c>
      <c r="C222" s="3">
        <v>318</v>
      </c>
      <c r="D222" s="3">
        <v>3399</v>
      </c>
      <c r="E222" s="2"/>
      <c r="F222" s="2"/>
      <c r="G222" s="2"/>
      <c r="H222" s="9"/>
      <c r="I222" s="9"/>
      <c r="J222" s="9"/>
      <c r="K222" s="8"/>
    </row>
    <row x14ac:dyDescent="0.25" r="223" customHeight="1" ht="18.75">
      <c r="A223" s="3">
        <v>175</v>
      </c>
      <c r="B223" s="3">
        <v>8</v>
      </c>
      <c r="C223" s="3">
        <v>350</v>
      </c>
      <c r="D223" s="3">
        <v>4100</v>
      </c>
      <c r="E223" s="2"/>
      <c r="F223" s="2"/>
      <c r="G223" s="2"/>
      <c r="H223" s="9"/>
      <c r="I223" s="9"/>
      <c r="J223" s="9"/>
      <c r="K223" s="8"/>
    </row>
    <row x14ac:dyDescent="0.25" r="224" customHeight="1" ht="18.75">
      <c r="A224" s="3">
        <v>150</v>
      </c>
      <c r="B224" s="3">
        <v>8</v>
      </c>
      <c r="C224" s="3">
        <v>304</v>
      </c>
      <c r="D224" s="3">
        <v>3672</v>
      </c>
      <c r="E224" s="2"/>
      <c r="F224" s="2"/>
      <c r="G224" s="2"/>
      <c r="H224" s="9"/>
      <c r="I224" s="9"/>
      <c r="J224" s="9"/>
      <c r="K224" s="8"/>
    </row>
    <row x14ac:dyDescent="0.25" r="225" customHeight="1" ht="18.75">
      <c r="A225" s="3">
        <v>198</v>
      </c>
      <c r="B225" s="3">
        <v>8</v>
      </c>
      <c r="C225" s="3">
        <v>429</v>
      </c>
      <c r="D225" s="3">
        <v>4952</v>
      </c>
      <c r="E225" s="2"/>
      <c r="F225" s="2"/>
      <c r="G225" s="2"/>
      <c r="H225" s="9"/>
      <c r="I225" s="9"/>
      <c r="J225" s="9"/>
      <c r="K225" s="8"/>
    </row>
    <row x14ac:dyDescent="0.25" r="226" customHeight="1" ht="18.75">
      <c r="A226" s="3">
        <v>180</v>
      </c>
      <c r="B226" s="3">
        <v>8</v>
      </c>
      <c r="C226" s="3">
        <v>350</v>
      </c>
      <c r="D226" s="3">
        <v>4499</v>
      </c>
      <c r="E226" s="2"/>
      <c r="F226" s="2"/>
      <c r="G226" s="2"/>
      <c r="H226" s="9"/>
      <c r="I226" s="9"/>
      <c r="J226" s="9"/>
      <c r="K226" s="8"/>
    </row>
    <row x14ac:dyDescent="0.25" r="227" customHeight="1" ht="18.75">
      <c r="A227" s="3">
        <v>150</v>
      </c>
      <c r="B227" s="3">
        <v>8</v>
      </c>
      <c r="C227" s="3">
        <v>318</v>
      </c>
      <c r="D227" s="3">
        <v>3777</v>
      </c>
      <c r="E227" s="2"/>
      <c r="F227" s="2"/>
      <c r="G227" s="2"/>
      <c r="H227" s="9"/>
      <c r="I227" s="9"/>
      <c r="J227" s="9"/>
      <c r="K227" s="8"/>
    </row>
    <row x14ac:dyDescent="0.25" r="228" customHeight="1" ht="18.75">
      <c r="A228" s="3">
        <v>170</v>
      </c>
      <c r="B228" s="3">
        <v>8</v>
      </c>
      <c r="C228" s="3">
        <v>360</v>
      </c>
      <c r="D228" s="3">
        <v>4654</v>
      </c>
      <c r="E228" s="2"/>
      <c r="F228" s="2"/>
      <c r="G228" s="2"/>
      <c r="H228" s="9"/>
      <c r="I228" s="9"/>
      <c r="J228" s="9"/>
      <c r="K228" s="8"/>
    </row>
    <row x14ac:dyDescent="0.25" r="229" customHeight="1" ht="18.75">
      <c r="A229" s="3">
        <v>145</v>
      </c>
      <c r="B229" s="3">
        <v>8</v>
      </c>
      <c r="C229" s="3">
        <v>350</v>
      </c>
      <c r="D229" s="3">
        <v>3988</v>
      </c>
      <c r="E229" s="2"/>
      <c r="F229" s="2"/>
      <c r="G229" s="2"/>
      <c r="H229" s="9"/>
      <c r="I229" s="9"/>
      <c r="J229" s="9"/>
      <c r="K229" s="8"/>
    </row>
    <row x14ac:dyDescent="0.25" r="230" customHeight="1" ht="18.75">
      <c r="A230" s="3">
        <v>158</v>
      </c>
      <c r="B230" s="3">
        <v>8</v>
      </c>
      <c r="C230" s="3">
        <v>351</v>
      </c>
      <c r="D230" s="3">
        <v>4363</v>
      </c>
      <c r="E230" s="2"/>
      <c r="F230" s="2"/>
      <c r="G230" s="2"/>
      <c r="H230" s="9"/>
      <c r="I230" s="9"/>
      <c r="J230" s="9"/>
      <c r="K230" s="8"/>
    </row>
    <row x14ac:dyDescent="0.25" r="231" customHeight="1" ht="18.75">
      <c r="A231" s="3">
        <v>145</v>
      </c>
      <c r="B231" s="3">
        <v>8</v>
      </c>
      <c r="C231" s="3">
        <v>350</v>
      </c>
      <c r="D231" s="3">
        <v>4082</v>
      </c>
      <c r="E231" s="2"/>
      <c r="F231" s="2"/>
      <c r="G231" s="2"/>
      <c r="H231" s="9"/>
      <c r="I231" s="9"/>
      <c r="J231" s="9"/>
      <c r="K231" s="8"/>
    </row>
    <row x14ac:dyDescent="0.25" r="232" customHeight="1" ht="18.75">
      <c r="A232" s="3">
        <v>150</v>
      </c>
      <c r="B232" s="3">
        <v>8</v>
      </c>
      <c r="C232" s="3">
        <v>318</v>
      </c>
      <c r="D232" s="3">
        <v>4237</v>
      </c>
      <c r="E232" s="2"/>
      <c r="F232" s="2"/>
      <c r="G232" s="2"/>
      <c r="H232" s="9"/>
      <c r="I232" s="9"/>
      <c r="J232" s="9"/>
      <c r="K232" s="8"/>
    </row>
    <row x14ac:dyDescent="0.25" r="233" customHeight="1" ht="18.75">
      <c r="A233" s="3">
        <v>167</v>
      </c>
      <c r="B233" s="3">
        <v>8</v>
      </c>
      <c r="C233" s="3">
        <v>400</v>
      </c>
      <c r="D233" s="3">
        <v>4906</v>
      </c>
      <c r="E233" s="2"/>
      <c r="F233" s="2"/>
      <c r="G233" s="2"/>
      <c r="H233" s="9"/>
      <c r="I233" s="9"/>
      <c r="J233" s="9"/>
      <c r="K233" s="8"/>
    </row>
    <row x14ac:dyDescent="0.25" r="234" customHeight="1" ht="18.75">
      <c r="A234" s="3">
        <v>137</v>
      </c>
      <c r="B234" s="3">
        <v>8</v>
      </c>
      <c r="C234" s="3">
        <v>302</v>
      </c>
      <c r="D234" s="3">
        <v>4042</v>
      </c>
      <c r="E234" s="2"/>
      <c r="F234" s="2"/>
      <c r="G234" s="2"/>
      <c r="H234" s="9"/>
      <c r="I234" s="9"/>
      <c r="J234" s="9"/>
      <c r="K234" s="8"/>
    </row>
    <row x14ac:dyDescent="0.25" r="235" customHeight="1" ht="18.75">
      <c r="A235" s="3">
        <v>150</v>
      </c>
      <c r="B235" s="3">
        <v>8</v>
      </c>
      <c r="C235" s="3">
        <v>400</v>
      </c>
      <c r="D235" s="3">
        <v>4464</v>
      </c>
      <c r="E235" s="2"/>
      <c r="F235" s="2"/>
      <c r="G235" s="2"/>
      <c r="H235" s="9"/>
      <c r="I235" s="9"/>
      <c r="J235" s="9"/>
      <c r="K235" s="8"/>
    </row>
    <row x14ac:dyDescent="0.25" r="236" customHeight="1" ht="18.75">
      <c r="A236" s="3">
        <v>150</v>
      </c>
      <c r="B236" s="3">
        <v>8</v>
      </c>
      <c r="C236" s="3">
        <v>400</v>
      </c>
      <c r="D236" s="3">
        <v>4997</v>
      </c>
      <c r="E236" s="2"/>
      <c r="F236" s="2"/>
      <c r="G236" s="2"/>
      <c r="H236" s="9"/>
      <c r="I236" s="9"/>
      <c r="J236" s="9"/>
      <c r="K236" s="8"/>
    </row>
    <row x14ac:dyDescent="0.25" r="237" customHeight="1" ht="18.75">
      <c r="A237" s="3">
        <v>75</v>
      </c>
      <c r="B237" s="3">
        <v>4</v>
      </c>
      <c r="C237" s="3">
        <v>90</v>
      </c>
      <c r="D237" s="3">
        <v>2125</v>
      </c>
      <c r="E237" s="2"/>
      <c r="F237" s="2"/>
      <c r="G237" s="2"/>
      <c r="H237" s="9"/>
      <c r="I237" s="9"/>
      <c r="J237" s="9"/>
      <c r="K237" s="8"/>
    </row>
    <row x14ac:dyDescent="0.25" r="238" customHeight="1" ht="18.75">
      <c r="A238" s="3">
        <v>80</v>
      </c>
      <c r="B238" s="3">
        <v>4</v>
      </c>
      <c r="C238" s="3">
        <v>122</v>
      </c>
      <c r="D238" s="3">
        <v>2451</v>
      </c>
      <c r="E238" s="2"/>
      <c r="F238" s="2"/>
      <c r="G238" s="2"/>
      <c r="H238" s="9"/>
      <c r="I238" s="9"/>
      <c r="J238" s="9"/>
      <c r="K238" s="8"/>
    </row>
    <row x14ac:dyDescent="0.25" r="239" customHeight="1" ht="18.75">
      <c r="A239" s="3">
        <v>75</v>
      </c>
      <c r="B239" s="3">
        <v>4</v>
      </c>
      <c r="C239" s="3">
        <v>140</v>
      </c>
      <c r="D239" s="3">
        <v>2542</v>
      </c>
      <c r="E239" s="2"/>
      <c r="F239" s="2"/>
      <c r="G239" s="2"/>
      <c r="H239" s="9"/>
      <c r="I239" s="9"/>
      <c r="J239" s="9"/>
      <c r="K239" s="8"/>
    </row>
    <row x14ac:dyDescent="0.25" r="240" customHeight="1" ht="18.75">
      <c r="A240" s="3">
        <v>100</v>
      </c>
      <c r="B240" s="3">
        <v>6</v>
      </c>
      <c r="C240" s="3">
        <v>232</v>
      </c>
      <c r="D240" s="3">
        <v>2901</v>
      </c>
      <c r="E240" s="2"/>
      <c r="F240" s="2"/>
      <c r="G240" s="2"/>
      <c r="H240" s="9"/>
      <c r="I240" s="9"/>
      <c r="J240" s="9"/>
      <c r="K240" s="8"/>
    </row>
    <row x14ac:dyDescent="0.25" r="241" customHeight="1" ht="18.75">
      <c r="A241" s="3">
        <v>95</v>
      </c>
      <c r="B241" s="3">
        <v>6</v>
      </c>
      <c r="C241" s="3">
        <v>198</v>
      </c>
      <c r="D241" s="3">
        <v>3102</v>
      </c>
      <c r="E241" s="2"/>
      <c r="F241" s="2"/>
      <c r="G241" s="2"/>
      <c r="H241" s="9"/>
      <c r="I241" s="9"/>
      <c r="J241" s="9"/>
      <c r="K241" s="8"/>
    </row>
    <row x14ac:dyDescent="0.25" r="242" customHeight="1" ht="18.75">
      <c r="A242" s="3">
        <v>110</v>
      </c>
      <c r="B242" s="3">
        <v>6</v>
      </c>
      <c r="C242" s="3">
        <v>258</v>
      </c>
      <c r="D242" s="3">
        <v>3632</v>
      </c>
      <c r="E242" s="2"/>
      <c r="F242" s="2"/>
      <c r="G242" s="2"/>
      <c r="H242" s="9"/>
      <c r="I242" s="9"/>
      <c r="J242" s="9"/>
      <c r="K242" s="8"/>
    </row>
    <row x14ac:dyDescent="0.25" r="243" customHeight="1" ht="18.75">
      <c r="A243" s="3">
        <v>100</v>
      </c>
      <c r="B243" s="3">
        <v>6</v>
      </c>
      <c r="C243" s="3">
        <v>250</v>
      </c>
      <c r="D243" s="3">
        <v>3336</v>
      </c>
      <c r="E243" s="2"/>
      <c r="F243" s="2"/>
      <c r="G243" s="2"/>
      <c r="H243" s="9"/>
      <c r="I243" s="9"/>
      <c r="J243" s="9"/>
      <c r="K243" s="8"/>
    </row>
    <row x14ac:dyDescent="0.25" r="244" customHeight="1" ht="18.75">
      <c r="A244" s="3">
        <v>105</v>
      </c>
      <c r="B244" s="3">
        <v>6</v>
      </c>
      <c r="C244" s="3">
        <v>225</v>
      </c>
      <c r="D244" s="3">
        <v>3613</v>
      </c>
      <c r="E244" s="2"/>
      <c r="F244" s="2"/>
      <c r="G244" s="2"/>
      <c r="H244" s="9"/>
      <c r="I244" s="9"/>
      <c r="J244" s="9"/>
      <c r="K244" s="8"/>
    </row>
    <row x14ac:dyDescent="0.25" r="245" customHeight="1" ht="18.75">
      <c r="A245" s="3">
        <v>100</v>
      </c>
      <c r="B245" s="3">
        <v>6</v>
      </c>
      <c r="C245" s="3">
        <v>250</v>
      </c>
      <c r="D245" s="3">
        <v>3781</v>
      </c>
      <c r="E245" s="2"/>
      <c r="F245" s="2"/>
      <c r="G245" s="2"/>
      <c r="H245" s="9"/>
      <c r="I245" s="9"/>
      <c r="J245" s="9"/>
      <c r="K245" s="8"/>
    </row>
    <row x14ac:dyDescent="0.25" r="246" customHeight="1" ht="18.75">
      <c r="A246" s="3">
        <v>150</v>
      </c>
      <c r="B246" s="3">
        <v>8</v>
      </c>
      <c r="C246" s="3">
        <v>304</v>
      </c>
      <c r="D246" s="3">
        <v>4257</v>
      </c>
      <c r="E246" s="2"/>
      <c r="F246" s="2"/>
      <c r="G246" s="2"/>
      <c r="H246" s="9"/>
      <c r="I246" s="9"/>
      <c r="J246" s="9"/>
      <c r="K246" s="8"/>
    </row>
    <row x14ac:dyDescent="0.25" r="247" customHeight="1" ht="18.75">
      <c r="A247" s="3">
        <v>140</v>
      </c>
      <c r="B247" s="3">
        <v>8</v>
      </c>
      <c r="C247" s="3">
        <v>302</v>
      </c>
      <c r="D247" s="3">
        <v>4141</v>
      </c>
      <c r="E247" s="2"/>
      <c r="F247" s="2"/>
      <c r="G247" s="2"/>
      <c r="H247" s="9"/>
      <c r="I247" s="9"/>
      <c r="J247" s="9"/>
      <c r="K247" s="8"/>
    </row>
    <row x14ac:dyDescent="0.25" r="248" customHeight="1" ht="18.75">
      <c r="A248" s="3">
        <v>150</v>
      </c>
      <c r="B248" s="3">
        <v>8</v>
      </c>
      <c r="C248" s="3">
        <v>318</v>
      </c>
      <c r="D248" s="3">
        <v>4457</v>
      </c>
      <c r="E248" s="2"/>
      <c r="F248" s="2"/>
      <c r="G248" s="2"/>
      <c r="H248" s="9"/>
      <c r="I248" s="9"/>
      <c r="J248" s="9"/>
      <c r="K248" s="8"/>
    </row>
    <row x14ac:dyDescent="0.25" r="249" customHeight="1" ht="18.75">
      <c r="A249" s="3">
        <v>150</v>
      </c>
      <c r="B249" s="3">
        <v>8</v>
      </c>
      <c r="C249" s="3">
        <v>350</v>
      </c>
      <c r="D249" s="3">
        <v>4699</v>
      </c>
      <c r="E249" s="2"/>
      <c r="F249" s="2"/>
      <c r="G249" s="2"/>
      <c r="H249" s="9"/>
      <c r="I249" s="9"/>
      <c r="J249" s="9"/>
      <c r="K249" s="8"/>
    </row>
    <row x14ac:dyDescent="0.25" r="250" customHeight="1" ht="18.75">
      <c r="A250" s="3">
        <v>140</v>
      </c>
      <c r="B250" s="3">
        <v>8</v>
      </c>
      <c r="C250" s="3">
        <v>302</v>
      </c>
      <c r="D250" s="3">
        <v>4638</v>
      </c>
      <c r="E250" s="2"/>
      <c r="F250" s="2"/>
      <c r="G250" s="2"/>
      <c r="H250" s="9"/>
      <c r="I250" s="9"/>
      <c r="J250" s="9"/>
      <c r="K250" s="8"/>
    </row>
    <row x14ac:dyDescent="0.25" r="251" customHeight="1" ht="18.75">
      <c r="A251" s="3">
        <v>83</v>
      </c>
      <c r="B251" s="3">
        <v>4</v>
      </c>
      <c r="C251" s="3">
        <v>140</v>
      </c>
      <c r="D251" s="3">
        <v>2639</v>
      </c>
      <c r="E251" s="2"/>
      <c r="F251" s="2"/>
      <c r="G251" s="2"/>
      <c r="H251" s="9"/>
      <c r="I251" s="9"/>
      <c r="J251" s="9"/>
      <c r="K251" s="8"/>
    </row>
    <row x14ac:dyDescent="0.25" r="252" customHeight="1" ht="18.75">
      <c r="A252" s="3">
        <v>78</v>
      </c>
      <c r="B252" s="3">
        <v>4</v>
      </c>
      <c r="C252" s="3">
        <v>140</v>
      </c>
      <c r="D252" s="3">
        <v>2592</v>
      </c>
      <c r="E252" s="2"/>
      <c r="F252" s="2"/>
      <c r="G252" s="2"/>
      <c r="H252" s="9"/>
      <c r="I252" s="9"/>
      <c r="J252" s="9"/>
      <c r="K252" s="8"/>
    </row>
    <row x14ac:dyDescent="0.25" r="253" customHeight="1" ht="18.75">
      <c r="A253" s="3">
        <v>110</v>
      </c>
      <c r="B253" s="3">
        <v>6</v>
      </c>
      <c r="C253" s="3">
        <v>231</v>
      </c>
      <c r="D253" s="3">
        <v>3039</v>
      </c>
      <c r="E253" s="2"/>
      <c r="F253" s="2"/>
      <c r="G253" s="2"/>
      <c r="H253" s="9"/>
      <c r="I253" s="9"/>
      <c r="J253" s="9"/>
      <c r="K253" s="8"/>
    </row>
    <row x14ac:dyDescent="0.25" r="254" customHeight="1" ht="18.75">
      <c r="A254" s="3">
        <v>100</v>
      </c>
      <c r="B254" s="3">
        <v>6</v>
      </c>
      <c r="C254" s="3">
        <v>232</v>
      </c>
      <c r="D254" s="3">
        <v>2914</v>
      </c>
      <c r="E254" s="2"/>
      <c r="F254" s="2"/>
      <c r="G254" s="2"/>
      <c r="H254" s="9"/>
      <c r="I254" s="9"/>
      <c r="J254" s="9"/>
      <c r="K254" s="8"/>
    </row>
    <row x14ac:dyDescent="0.25" r="255" customHeight="1" ht="18.75">
      <c r="A255" s="3">
        <v>97</v>
      </c>
      <c r="B255" s="3">
        <v>6</v>
      </c>
      <c r="C255" s="3">
        <v>171</v>
      </c>
      <c r="D255" s="3">
        <v>2984</v>
      </c>
      <c r="E255" s="2"/>
      <c r="F255" s="2"/>
      <c r="G255" s="2"/>
      <c r="H255" s="9"/>
      <c r="I255" s="9"/>
      <c r="J255" s="9"/>
      <c r="K255" s="8"/>
    </row>
    <row x14ac:dyDescent="0.25" r="256" customHeight="1" ht="18.75">
      <c r="A256" s="3">
        <v>105</v>
      </c>
      <c r="B256" s="3">
        <v>6</v>
      </c>
      <c r="C256" s="3">
        <v>250</v>
      </c>
      <c r="D256" s="3">
        <v>3459</v>
      </c>
      <c r="E256" s="2"/>
      <c r="F256" s="2"/>
      <c r="G256" s="2"/>
      <c r="H256" s="9"/>
      <c r="I256" s="9"/>
      <c r="J256" s="9"/>
      <c r="K256" s="8"/>
    </row>
    <row x14ac:dyDescent="0.25" r="257" customHeight="1" ht="18.75">
      <c r="A257" s="3">
        <v>110</v>
      </c>
      <c r="B257" s="3">
        <v>6</v>
      </c>
      <c r="C257" s="3">
        <v>258</v>
      </c>
      <c r="D257" s="3">
        <v>3730</v>
      </c>
      <c r="E257" s="2"/>
      <c r="F257" s="2"/>
      <c r="G257" s="2"/>
      <c r="H257" s="9"/>
      <c r="I257" s="9"/>
      <c r="J257" s="9"/>
      <c r="K257" s="8"/>
    </row>
    <row x14ac:dyDescent="0.25" r="258" customHeight="1" ht="18.75">
      <c r="A258" s="3">
        <v>95</v>
      </c>
      <c r="B258" s="3">
        <v>6</v>
      </c>
      <c r="C258" s="3">
        <v>225</v>
      </c>
      <c r="D258" s="3">
        <v>3264</v>
      </c>
      <c r="E258" s="2"/>
      <c r="F258" s="2"/>
      <c r="G258" s="2"/>
      <c r="H258" s="9"/>
      <c r="I258" s="9"/>
      <c r="J258" s="9"/>
      <c r="K258" s="8"/>
    </row>
    <row x14ac:dyDescent="0.25" r="259" customHeight="1" ht="18.75">
      <c r="A259" s="3">
        <v>110</v>
      </c>
      <c r="B259" s="3">
        <v>6</v>
      </c>
      <c r="C259" s="3">
        <v>231</v>
      </c>
      <c r="D259" s="3">
        <v>3907</v>
      </c>
      <c r="E259" s="2"/>
      <c r="F259" s="2"/>
      <c r="G259" s="2"/>
      <c r="H259" s="9"/>
      <c r="I259" s="9"/>
      <c r="J259" s="9"/>
      <c r="K259" s="8"/>
    </row>
    <row x14ac:dyDescent="0.25" r="260" customHeight="1" ht="18.75">
      <c r="A260" s="3">
        <v>90</v>
      </c>
      <c r="B260" s="3">
        <v>6</v>
      </c>
      <c r="C260" s="3">
        <v>232</v>
      </c>
      <c r="D260" s="3">
        <v>3211</v>
      </c>
      <c r="E260" s="2"/>
      <c r="F260" s="2"/>
      <c r="G260" s="2"/>
      <c r="H260" s="9"/>
      <c r="I260" s="9"/>
      <c r="J260" s="9"/>
      <c r="K260" s="8"/>
    </row>
    <row x14ac:dyDescent="0.25" r="261" customHeight="1" ht="18.75">
      <c r="A261" s="3">
        <v>105</v>
      </c>
      <c r="B261" s="3">
        <v>6</v>
      </c>
      <c r="C261" s="3">
        <v>250</v>
      </c>
      <c r="D261" s="3">
        <v>3897</v>
      </c>
      <c r="E261" s="2"/>
      <c r="F261" s="2"/>
      <c r="G261" s="2"/>
      <c r="H261" s="9"/>
      <c r="I261" s="9"/>
      <c r="J261" s="9"/>
      <c r="K261" s="8"/>
    </row>
    <row x14ac:dyDescent="0.25" r="262" customHeight="1" ht="18.75">
      <c r="A262" s="3">
        <v>95</v>
      </c>
      <c r="B262" s="3">
        <v>6</v>
      </c>
      <c r="C262" s="3">
        <v>225</v>
      </c>
      <c r="D262" s="3">
        <v>3785</v>
      </c>
      <c r="E262" s="2"/>
      <c r="F262" s="2"/>
      <c r="G262" s="2"/>
      <c r="H262" s="9"/>
      <c r="I262" s="9"/>
      <c r="J262" s="9"/>
      <c r="K262" s="8"/>
    </row>
    <row x14ac:dyDescent="0.25" r="263" customHeight="1" ht="18.75">
      <c r="A263" s="3">
        <v>72</v>
      </c>
      <c r="B263" s="3">
        <v>6</v>
      </c>
      <c r="C263" s="3">
        <v>250</v>
      </c>
      <c r="D263" s="3">
        <v>3158</v>
      </c>
      <c r="E263" s="2"/>
      <c r="F263" s="2"/>
      <c r="G263" s="2"/>
      <c r="H263" s="9"/>
      <c r="I263" s="9"/>
      <c r="J263" s="9"/>
      <c r="K263" s="8"/>
    </row>
    <row x14ac:dyDescent="0.25" r="264" customHeight="1" ht="18.75">
      <c r="A264" s="3">
        <v>72</v>
      </c>
      <c r="B264" s="3">
        <v>6</v>
      </c>
      <c r="C264" s="3">
        <v>250</v>
      </c>
      <c r="D264" s="3">
        <v>3432</v>
      </c>
      <c r="E264" s="2"/>
      <c r="F264" s="2"/>
      <c r="G264" s="2"/>
      <c r="H264" s="9"/>
      <c r="I264" s="9"/>
      <c r="J264" s="9"/>
      <c r="K264" s="8"/>
    </row>
    <row x14ac:dyDescent="0.25" r="265" customHeight="1" ht="18.75">
      <c r="A265" s="3">
        <v>129</v>
      </c>
      <c r="B265" s="3">
        <v>8</v>
      </c>
      <c r="C265" s="3">
        <v>302</v>
      </c>
      <c r="D265" s="3">
        <v>3169</v>
      </c>
      <c r="E265" s="2"/>
      <c r="F265" s="2"/>
      <c r="G265" s="2"/>
      <c r="H265" s="9"/>
      <c r="I265" s="9"/>
      <c r="J265" s="9"/>
      <c r="K265" s="8"/>
    </row>
    <row x14ac:dyDescent="0.25" r="266" customHeight="1" ht="18.75">
      <c r="A266" s="3">
        <v>170</v>
      </c>
      <c r="B266" s="3">
        <v>8</v>
      </c>
      <c r="C266" s="3">
        <v>400</v>
      </c>
      <c r="D266" s="3">
        <v>4668</v>
      </c>
      <c r="E266" s="2"/>
      <c r="F266" s="2"/>
      <c r="G266" s="2"/>
      <c r="H266" s="9"/>
      <c r="I266" s="9"/>
      <c r="J266" s="9"/>
      <c r="K266" s="8"/>
    </row>
    <row x14ac:dyDescent="0.25" r="267" customHeight="1" ht="18.75">
      <c r="A267" s="3">
        <v>110</v>
      </c>
      <c r="B267" s="3">
        <v>8</v>
      </c>
      <c r="C267" s="3">
        <v>262</v>
      </c>
      <c r="D267" s="3">
        <v>3221</v>
      </c>
      <c r="E267" s="2"/>
      <c r="F267" s="2"/>
      <c r="G267" s="2"/>
      <c r="H267" s="9"/>
      <c r="I267" s="9"/>
      <c r="J267" s="9"/>
      <c r="K267" s="8"/>
    </row>
    <row x14ac:dyDescent="0.25" r="268" customHeight="1" ht="18.75">
      <c r="A268" s="3">
        <v>150</v>
      </c>
      <c r="B268" s="3">
        <v>8</v>
      </c>
      <c r="C268" s="3">
        <v>318</v>
      </c>
      <c r="D268" s="3">
        <v>4498</v>
      </c>
      <c r="E268" s="2"/>
      <c r="F268" s="2"/>
      <c r="G268" s="2"/>
      <c r="H268" s="9"/>
      <c r="I268" s="9"/>
      <c r="J268" s="9"/>
      <c r="K268" s="8"/>
    </row>
    <row x14ac:dyDescent="0.25" r="269" customHeight="1" ht="18.75">
      <c r="A269" s="3">
        <v>145</v>
      </c>
      <c r="B269" s="3">
        <v>8</v>
      </c>
      <c r="C269" s="3">
        <v>350</v>
      </c>
      <c r="D269" s="3">
        <v>4440</v>
      </c>
      <c r="E269" s="2"/>
      <c r="F269" s="2"/>
      <c r="G269" s="2"/>
      <c r="H269" s="9"/>
      <c r="I269" s="9"/>
      <c r="J269" s="9"/>
      <c r="K269" s="8"/>
    </row>
    <row x14ac:dyDescent="0.25" r="270" customHeight="1" ht="18.75">
      <c r="A270" s="3">
        <v>148</v>
      </c>
      <c r="B270" s="3">
        <v>8</v>
      </c>
      <c r="C270" s="3">
        <v>351</v>
      </c>
      <c r="D270" s="3">
        <v>4657</v>
      </c>
      <c r="E270" s="2"/>
      <c r="F270" s="2"/>
      <c r="G270" s="2"/>
      <c r="H270" s="9"/>
      <c r="I270" s="9"/>
      <c r="J270" s="9"/>
      <c r="K270" s="8"/>
    </row>
    <row x14ac:dyDescent="0.25" r="271" customHeight="1" ht="18.75">
      <c r="A271" s="3">
        <v>92</v>
      </c>
      <c r="B271" s="3">
        <v>4</v>
      </c>
      <c r="C271" s="3">
        <v>140</v>
      </c>
      <c r="D271" s="3">
        <v>2572</v>
      </c>
      <c r="E271" s="2"/>
      <c r="F271" s="2"/>
      <c r="G271" s="2"/>
      <c r="H271" s="9"/>
      <c r="I271" s="9"/>
      <c r="J271" s="9"/>
      <c r="K271" s="8"/>
    </row>
    <row x14ac:dyDescent="0.25" r="272" customHeight="1" ht="18.75">
      <c r="A272" s="3">
        <v>79</v>
      </c>
      <c r="B272" s="3">
        <v>4</v>
      </c>
      <c r="C272" s="3">
        <v>98</v>
      </c>
      <c r="D272" s="3">
        <v>2255</v>
      </c>
      <c r="E272" s="2"/>
      <c r="F272" s="2"/>
      <c r="G272" s="2"/>
      <c r="H272" s="9"/>
      <c r="I272" s="9"/>
      <c r="J272" s="9"/>
      <c r="K272" s="8"/>
    </row>
    <row x14ac:dyDescent="0.25" r="273" customHeight="1" ht="18.75">
      <c r="A273" s="3">
        <v>72</v>
      </c>
      <c r="B273" s="3">
        <v>4</v>
      </c>
      <c r="C273" s="3">
        <v>140</v>
      </c>
      <c r="D273" s="3">
        <v>2565</v>
      </c>
      <c r="E273" s="2"/>
      <c r="F273" s="2"/>
      <c r="G273" s="2"/>
      <c r="H273" s="9"/>
      <c r="I273" s="9"/>
      <c r="J273" s="9"/>
      <c r="K273" s="8"/>
    </row>
    <row x14ac:dyDescent="0.25" r="274" customHeight="1" ht="18.75">
      <c r="A274" s="3">
        <v>60</v>
      </c>
      <c r="B274" s="3">
        <v>4</v>
      </c>
      <c r="C274" s="3">
        <v>98</v>
      </c>
      <c r="D274" s="3">
        <v>2164</v>
      </c>
      <c r="E274" s="2"/>
      <c r="F274" s="2"/>
      <c r="G274" s="2"/>
      <c r="H274" s="9"/>
      <c r="I274" s="9"/>
      <c r="J274" s="9"/>
      <c r="K274" s="8"/>
    </row>
    <row x14ac:dyDescent="0.25" r="275" customHeight="1" ht="18.75">
      <c r="A275" s="3">
        <v>52</v>
      </c>
      <c r="B275" s="3">
        <v>4</v>
      </c>
      <c r="C275" s="3">
        <v>85</v>
      </c>
      <c r="D275" s="3">
        <v>2035</v>
      </c>
      <c r="E275" s="2"/>
      <c r="F275" s="2"/>
      <c r="G275" s="2"/>
      <c r="H275" s="9"/>
      <c r="I275" s="9"/>
      <c r="J275" s="9"/>
      <c r="K275" s="8"/>
    </row>
    <row x14ac:dyDescent="0.25" r="276" customHeight="1" ht="18.75">
      <c r="A276" s="3">
        <v>105</v>
      </c>
      <c r="B276" s="3">
        <v>6</v>
      </c>
      <c r="C276" s="3">
        <v>250</v>
      </c>
      <c r="D276" s="3">
        <v>3353</v>
      </c>
      <c r="E276" s="2"/>
      <c r="F276" s="2"/>
      <c r="G276" s="2"/>
      <c r="H276" s="9"/>
      <c r="I276" s="9"/>
      <c r="J276" s="9"/>
      <c r="K276" s="8"/>
    </row>
    <row x14ac:dyDescent="0.25" r="277" customHeight="1" ht="18.75">
      <c r="A277" s="3">
        <v>100</v>
      </c>
      <c r="B277" s="3">
        <v>6</v>
      </c>
      <c r="C277" s="3">
        <v>225</v>
      </c>
      <c r="D277" s="3">
        <v>3233</v>
      </c>
      <c r="E277" s="2"/>
      <c r="F277" s="2"/>
      <c r="G277" s="2"/>
      <c r="H277" s="9"/>
      <c r="I277" s="9"/>
      <c r="J277" s="9"/>
      <c r="K277" s="8"/>
    </row>
    <row x14ac:dyDescent="0.25" r="278" customHeight="1" ht="18.75">
      <c r="A278" s="3">
        <v>110</v>
      </c>
      <c r="B278" s="3">
        <v>6</v>
      </c>
      <c r="C278" s="3">
        <v>250</v>
      </c>
      <c r="D278" s="3">
        <v>3645</v>
      </c>
      <c r="E278" s="2"/>
      <c r="F278" s="2"/>
      <c r="G278" s="2"/>
      <c r="H278" s="9"/>
      <c r="I278" s="9"/>
      <c r="J278" s="9"/>
      <c r="K278" s="8"/>
    </row>
    <row x14ac:dyDescent="0.25" r="279" customHeight="1" ht="18.75">
      <c r="A279" s="3">
        <v>95</v>
      </c>
      <c r="B279" s="3">
        <v>6</v>
      </c>
      <c r="C279" s="3">
        <v>258</v>
      </c>
      <c r="D279" s="3">
        <v>3193</v>
      </c>
      <c r="E279" s="2"/>
      <c r="F279" s="2"/>
      <c r="G279" s="2"/>
      <c r="H279" s="9"/>
      <c r="I279" s="9"/>
      <c r="J279" s="9"/>
      <c r="K279" s="8"/>
    </row>
    <row x14ac:dyDescent="0.25" r="280" customHeight="1" ht="18.75">
      <c r="A280" s="3">
        <v>90</v>
      </c>
      <c r="B280" s="3">
        <v>6</v>
      </c>
      <c r="C280" s="3">
        <v>232</v>
      </c>
      <c r="D280" s="3">
        <v>3085</v>
      </c>
      <c r="E280" s="2"/>
      <c r="F280" s="2"/>
      <c r="G280" s="2"/>
      <c r="H280" s="9"/>
      <c r="I280" s="9"/>
      <c r="J280" s="9"/>
      <c r="K280" s="8"/>
    </row>
    <row x14ac:dyDescent="0.25" r="281" customHeight="1" ht="18.75">
      <c r="A281" s="3">
        <v>100</v>
      </c>
      <c r="B281" s="3">
        <v>6</v>
      </c>
      <c r="C281" s="3">
        <v>225</v>
      </c>
      <c r="D281" s="3">
        <v>3651</v>
      </c>
      <c r="E281" s="2"/>
      <c r="F281" s="2"/>
      <c r="G281" s="2"/>
      <c r="H281" s="9"/>
      <c r="I281" s="9"/>
      <c r="J281" s="9"/>
      <c r="K281" s="8"/>
    </row>
    <row x14ac:dyDescent="0.25" r="282" customHeight="1" ht="18.75">
      <c r="A282" s="3">
        <v>81</v>
      </c>
      <c r="B282" s="3">
        <v>6</v>
      </c>
      <c r="C282" s="3">
        <v>200</v>
      </c>
      <c r="D282" s="3">
        <v>3012</v>
      </c>
      <c r="E282" s="2"/>
      <c r="F282" s="2"/>
      <c r="G282" s="2"/>
      <c r="H282" s="9"/>
      <c r="I282" s="9"/>
      <c r="J282" s="9"/>
      <c r="K282" s="8"/>
    </row>
    <row x14ac:dyDescent="0.25" r="283" customHeight="1" ht="18.75">
      <c r="A283" s="3">
        <v>78</v>
      </c>
      <c r="B283" s="3">
        <v>6</v>
      </c>
      <c r="C283" s="3">
        <v>250</v>
      </c>
      <c r="D283" s="3">
        <v>3574</v>
      </c>
      <c r="E283" s="2"/>
      <c r="F283" s="2"/>
      <c r="G283" s="2"/>
      <c r="H283" s="9"/>
      <c r="I283" s="9"/>
      <c r="J283" s="9"/>
      <c r="K283" s="8"/>
    </row>
    <row x14ac:dyDescent="0.25" r="284" customHeight="1" ht="18.75">
      <c r="A284" s="3">
        <v>180</v>
      </c>
      <c r="B284" s="3">
        <v>8</v>
      </c>
      <c r="C284" s="3">
        <v>350</v>
      </c>
      <c r="D284" s="3">
        <v>4380</v>
      </c>
      <c r="E284" s="2"/>
      <c r="F284" s="2"/>
      <c r="G284" s="2"/>
      <c r="H284" s="9"/>
      <c r="I284" s="9"/>
      <c r="J284" s="9"/>
      <c r="K284" s="8"/>
    </row>
    <row x14ac:dyDescent="0.25" r="285" customHeight="1" ht="18.75">
      <c r="A285" s="3">
        <v>150</v>
      </c>
      <c r="B285" s="3">
        <v>8</v>
      </c>
      <c r="C285" s="3">
        <v>318</v>
      </c>
      <c r="D285" s="3">
        <v>3755</v>
      </c>
      <c r="E285" s="2"/>
      <c r="F285" s="2"/>
      <c r="G285" s="2"/>
      <c r="H285" s="9"/>
      <c r="I285" s="9"/>
      <c r="J285" s="9"/>
      <c r="K285" s="8"/>
    </row>
    <row x14ac:dyDescent="0.25" r="286" customHeight="1" ht="18.75">
      <c r="A286" s="3">
        <v>150</v>
      </c>
      <c r="B286" s="3">
        <v>8</v>
      </c>
      <c r="C286" s="3">
        <v>318</v>
      </c>
      <c r="D286" s="3">
        <v>3940</v>
      </c>
      <c r="E286" s="2"/>
      <c r="F286" s="2"/>
      <c r="G286" s="2"/>
      <c r="H286" s="9"/>
      <c r="I286" s="9"/>
      <c r="J286" s="9"/>
      <c r="K286" s="8"/>
    </row>
    <row x14ac:dyDescent="0.25" r="287" customHeight="1" ht="18.75">
      <c r="A287" s="3">
        <v>152</v>
      </c>
      <c r="B287" s="3">
        <v>8</v>
      </c>
      <c r="C287" s="3">
        <v>351</v>
      </c>
      <c r="D287" s="3">
        <v>4215</v>
      </c>
      <c r="E287" s="2"/>
      <c r="F287" s="2"/>
      <c r="G287" s="2"/>
      <c r="H287" s="9"/>
      <c r="I287" s="9"/>
      <c r="J287" s="9"/>
      <c r="K287" s="8"/>
    </row>
    <row x14ac:dyDescent="0.25" r="288" customHeight="1" ht="18.75">
      <c r="A288" s="3">
        <v>145</v>
      </c>
      <c r="B288" s="3">
        <v>8</v>
      </c>
      <c r="C288" s="3">
        <v>350</v>
      </c>
      <c r="D288" s="3">
        <v>4055</v>
      </c>
      <c r="E288" s="2"/>
      <c r="F288" s="2"/>
      <c r="G288" s="2"/>
      <c r="H288" s="9"/>
      <c r="I288" s="9"/>
      <c r="J288" s="9"/>
      <c r="K288" s="8"/>
    </row>
    <row x14ac:dyDescent="0.25" r="289" customHeight="1" ht="18.75">
      <c r="A289" s="3">
        <v>150</v>
      </c>
      <c r="B289" s="3">
        <v>8</v>
      </c>
      <c r="C289" s="3">
        <v>318</v>
      </c>
      <c r="D289" s="3">
        <v>4190</v>
      </c>
      <c r="E289" s="2"/>
      <c r="F289" s="2"/>
      <c r="G289" s="2"/>
      <c r="H289" s="9"/>
      <c r="I289" s="9"/>
      <c r="J289" s="9"/>
      <c r="K289" s="8"/>
    </row>
    <row x14ac:dyDescent="0.25" r="290" customHeight="1" ht="18.75">
      <c r="A290" s="3">
        <v>130</v>
      </c>
      <c r="B290" s="3">
        <v>8</v>
      </c>
      <c r="C290" s="3">
        <v>302</v>
      </c>
      <c r="D290" s="3">
        <v>3870</v>
      </c>
      <c r="E290" s="2"/>
      <c r="F290" s="2"/>
      <c r="G290" s="2"/>
      <c r="H290" s="9"/>
      <c r="I290" s="9"/>
      <c r="J290" s="9"/>
      <c r="K290" s="8"/>
    </row>
    <row x14ac:dyDescent="0.25" r="291" customHeight="1" ht="18.75">
      <c r="A291" s="3">
        <v>140</v>
      </c>
      <c r="B291" s="3">
        <v>8</v>
      </c>
      <c r="C291" s="3">
        <v>305</v>
      </c>
      <c r="D291" s="3">
        <v>4215</v>
      </c>
      <c r="E291" s="2"/>
      <c r="F291" s="2"/>
      <c r="G291" s="2"/>
      <c r="H291" s="9"/>
      <c r="I291" s="9"/>
      <c r="J291" s="9"/>
      <c r="K291" s="8"/>
    </row>
    <row x14ac:dyDescent="0.25" r="292" customHeight="1" ht="18.75">
      <c r="A292" s="3">
        <v>120</v>
      </c>
      <c r="B292" s="3">
        <v>8</v>
      </c>
      <c r="C292" s="3">
        <v>304</v>
      </c>
      <c r="D292" s="3">
        <v>3962</v>
      </c>
      <c r="E292" s="2"/>
      <c r="F292" s="2"/>
      <c r="G292" s="2"/>
      <c r="H292" s="9"/>
      <c r="I292" s="9"/>
      <c r="J292" s="9"/>
      <c r="K292" s="8"/>
    </row>
    <row x14ac:dyDescent="0.25" r="293" customHeight="1" ht="18.75">
      <c r="A293" s="3">
        <v>96</v>
      </c>
      <c r="B293" s="3">
        <v>4</v>
      </c>
      <c r="C293" s="3">
        <v>122</v>
      </c>
      <c r="D293" s="3">
        <v>2300</v>
      </c>
      <c r="E293" s="2"/>
      <c r="F293" s="2"/>
      <c r="G293" s="2"/>
      <c r="H293" s="9"/>
      <c r="I293" s="9"/>
      <c r="J293" s="9"/>
      <c r="K293" s="8"/>
    </row>
    <row x14ac:dyDescent="0.25" r="294" customHeight="1" ht="18.75">
      <c r="A294" s="3">
        <v>83</v>
      </c>
      <c r="B294" s="3">
        <v>4</v>
      </c>
      <c r="C294" s="3">
        <v>98</v>
      </c>
      <c r="D294" s="3">
        <v>2075</v>
      </c>
      <c r="E294" s="2"/>
      <c r="F294" s="2"/>
      <c r="G294" s="2"/>
      <c r="H294" s="9"/>
      <c r="I294" s="9"/>
      <c r="J294" s="9"/>
      <c r="K294" s="8"/>
    </row>
    <row x14ac:dyDescent="0.25" r="295" customHeight="1" ht="18.75">
      <c r="A295" s="3">
        <v>80</v>
      </c>
      <c r="B295" s="3">
        <v>4</v>
      </c>
      <c r="C295" s="3">
        <v>111</v>
      </c>
      <c r="D295" s="3">
        <v>2155</v>
      </c>
      <c r="E295" s="2"/>
      <c r="F295" s="2"/>
      <c r="G295" s="2"/>
      <c r="H295" s="9"/>
      <c r="I295" s="9"/>
      <c r="J295" s="9"/>
      <c r="K295" s="8"/>
    </row>
    <row x14ac:dyDescent="0.25" r="296" customHeight="1" ht="18.75">
      <c r="A296" s="3">
        <v>89</v>
      </c>
      <c r="B296" s="3">
        <v>4</v>
      </c>
      <c r="C296" s="3">
        <v>140</v>
      </c>
      <c r="D296" s="3">
        <v>2755</v>
      </c>
      <c r="E296" s="2"/>
      <c r="F296" s="2"/>
      <c r="G296" s="2"/>
      <c r="H296" s="9"/>
      <c r="I296" s="9"/>
      <c r="J296" s="9"/>
      <c r="K296" s="8"/>
    </row>
    <row x14ac:dyDescent="0.25" r="297" customHeight="1" ht="18.75">
      <c r="A297" s="3">
        <v>88</v>
      </c>
      <c r="B297" s="3">
        <v>4</v>
      </c>
      <c r="C297" s="3">
        <v>151</v>
      </c>
      <c r="D297" s="3">
        <v>2740</v>
      </c>
      <c r="E297" s="2"/>
      <c r="F297" s="2"/>
      <c r="G297" s="2"/>
      <c r="H297" s="9"/>
      <c r="I297" s="9"/>
      <c r="J297" s="9"/>
      <c r="K297" s="8"/>
    </row>
    <row x14ac:dyDescent="0.25" r="298" customHeight="1" ht="18.75">
      <c r="A298" s="3">
        <v>63</v>
      </c>
      <c r="B298" s="3">
        <v>4</v>
      </c>
      <c r="C298" s="3">
        <v>98</v>
      </c>
      <c r="D298" s="3">
        <v>2051</v>
      </c>
      <c r="E298" s="2"/>
      <c r="F298" s="2"/>
      <c r="G298" s="2"/>
      <c r="H298" s="9"/>
      <c r="I298" s="9"/>
      <c r="J298" s="9"/>
      <c r="K298" s="8"/>
    </row>
    <row x14ac:dyDescent="0.25" r="299" customHeight="1" ht="18.75">
      <c r="A299" s="3">
        <v>110</v>
      </c>
      <c r="B299" s="3">
        <v>6</v>
      </c>
      <c r="C299" s="3">
        <v>250</v>
      </c>
      <c r="D299" s="3">
        <v>3520</v>
      </c>
      <c r="E299" s="2"/>
      <c r="F299" s="2"/>
      <c r="G299" s="2"/>
      <c r="H299" s="9"/>
      <c r="I299" s="9"/>
      <c r="J299" s="9"/>
      <c r="K299" s="8"/>
    </row>
    <row x14ac:dyDescent="0.25" r="300" customHeight="1" ht="18.75">
      <c r="A300" s="3">
        <v>105</v>
      </c>
      <c r="B300" s="3">
        <v>6</v>
      </c>
      <c r="C300" s="3">
        <v>231</v>
      </c>
      <c r="D300" s="3">
        <v>3425</v>
      </c>
      <c r="E300" s="2"/>
      <c r="F300" s="2"/>
      <c r="G300" s="2"/>
      <c r="H300" s="9"/>
      <c r="I300" s="9"/>
      <c r="J300" s="9"/>
      <c r="K300" s="8"/>
    </row>
    <row x14ac:dyDescent="0.25" r="301" customHeight="1" ht="18.75">
      <c r="A301" s="3">
        <v>98</v>
      </c>
      <c r="B301" s="3">
        <v>6</v>
      </c>
      <c r="C301" s="3">
        <v>250</v>
      </c>
      <c r="D301" s="3">
        <v>3525</v>
      </c>
      <c r="E301" s="2"/>
      <c r="F301" s="2"/>
      <c r="G301" s="2"/>
      <c r="H301" s="9"/>
      <c r="I301" s="9"/>
      <c r="J301" s="9"/>
      <c r="K301" s="8"/>
    </row>
    <row x14ac:dyDescent="0.25" r="302" customHeight="1" ht="18.75">
      <c r="A302" s="3">
        <v>100</v>
      </c>
      <c r="B302" s="3">
        <v>6</v>
      </c>
      <c r="C302" s="3">
        <v>225</v>
      </c>
      <c r="D302" s="3">
        <v>3630</v>
      </c>
      <c r="E302" s="2"/>
      <c r="F302" s="2"/>
      <c r="G302" s="2"/>
      <c r="H302" s="9"/>
      <c r="I302" s="9"/>
      <c r="J302" s="9"/>
      <c r="K302" s="8"/>
    </row>
    <row x14ac:dyDescent="0.25" r="303" customHeight="1" ht="18.75">
      <c r="A303" s="3">
        <v>190</v>
      </c>
      <c r="B303" s="3">
        <v>8</v>
      </c>
      <c r="C303" s="3">
        <v>400</v>
      </c>
      <c r="D303" s="3">
        <v>4325</v>
      </c>
      <c r="E303" s="2"/>
      <c r="F303" s="2"/>
      <c r="G303" s="2"/>
      <c r="H303" s="9"/>
      <c r="I303" s="9"/>
      <c r="J303" s="9"/>
      <c r="K303" s="8"/>
    </row>
    <row x14ac:dyDescent="0.25" r="304" customHeight="1" ht="18.75">
      <c r="A304" s="3">
        <v>180</v>
      </c>
      <c r="B304" s="3">
        <v>8</v>
      </c>
      <c r="C304" s="3">
        <v>400</v>
      </c>
      <c r="D304" s="3">
        <v>4220</v>
      </c>
      <c r="E304" s="2"/>
      <c r="F304" s="2"/>
      <c r="G304" s="2"/>
      <c r="H304" s="9"/>
      <c r="I304" s="9"/>
      <c r="J304" s="9"/>
      <c r="K304" s="8"/>
    </row>
    <row x14ac:dyDescent="0.25" r="305" customHeight="1" ht="18.75">
      <c r="A305" s="3">
        <v>170</v>
      </c>
      <c r="B305" s="3">
        <v>8</v>
      </c>
      <c r="C305" s="3">
        <v>350</v>
      </c>
      <c r="D305" s="3">
        <v>4165</v>
      </c>
      <c r="E305" s="2"/>
      <c r="F305" s="2"/>
      <c r="G305" s="2"/>
      <c r="H305" s="9"/>
      <c r="I305" s="9"/>
      <c r="J305" s="9"/>
      <c r="K305" s="8"/>
    </row>
    <row x14ac:dyDescent="0.25" r="306" customHeight="1" ht="18.75">
      <c r="A306" s="3">
        <v>145</v>
      </c>
      <c r="B306" s="3">
        <v>8</v>
      </c>
      <c r="C306" s="3">
        <v>305</v>
      </c>
      <c r="D306" s="3">
        <v>3880</v>
      </c>
      <c r="E306" s="2"/>
      <c r="F306" s="2"/>
      <c r="G306" s="2"/>
      <c r="H306" s="9"/>
      <c r="I306" s="9"/>
      <c r="J306" s="9"/>
      <c r="K306" s="8"/>
    </row>
    <row x14ac:dyDescent="0.25" r="307" customHeight="1" ht="18.75">
      <c r="A307" s="3">
        <v>145</v>
      </c>
      <c r="B307" s="3">
        <v>8</v>
      </c>
      <c r="C307" s="3">
        <v>318</v>
      </c>
      <c r="D307" s="3">
        <v>4140</v>
      </c>
      <c r="E307" s="2"/>
      <c r="F307" s="2"/>
      <c r="G307" s="2"/>
      <c r="H307" s="9"/>
      <c r="I307" s="9"/>
      <c r="J307" s="9"/>
      <c r="K307" s="8"/>
    </row>
    <row x14ac:dyDescent="0.25" r="308" customHeight="1" ht="18.75">
      <c r="A308" s="3">
        <v>149</v>
      </c>
      <c r="B308" s="3">
        <v>8</v>
      </c>
      <c r="C308" s="3">
        <v>351</v>
      </c>
      <c r="D308" s="3">
        <v>4335</v>
      </c>
      <c r="E308" s="2"/>
      <c r="F308" s="2"/>
      <c r="G308" s="2"/>
      <c r="H308" s="9"/>
      <c r="I308" s="9"/>
      <c r="J308" s="9"/>
      <c r="K308" s="8"/>
    </row>
    <row x14ac:dyDescent="0.25" r="309" customHeight="1" ht="18.75">
      <c r="A309" s="3">
        <v>130</v>
      </c>
      <c r="B309" s="3">
        <v>8</v>
      </c>
      <c r="C309" s="3">
        <v>302</v>
      </c>
      <c r="D309" s="3">
        <v>4295</v>
      </c>
      <c r="E309" s="2"/>
      <c r="F309" s="2"/>
      <c r="G309" s="2"/>
      <c r="H309" s="9"/>
      <c r="I309" s="9"/>
      <c r="J309" s="9"/>
      <c r="K309" s="8"/>
    </row>
    <row x14ac:dyDescent="0.25" r="310" customHeight="1" ht="18.75">
      <c r="A310" s="3">
        <v>110</v>
      </c>
      <c r="B310" s="3">
        <v>8</v>
      </c>
      <c r="C310" s="3">
        <v>260</v>
      </c>
      <c r="D310" s="3">
        <v>4060</v>
      </c>
      <c r="E310" s="2"/>
      <c r="F310" s="2"/>
      <c r="G310" s="2"/>
      <c r="H310" s="9"/>
      <c r="I310" s="9"/>
      <c r="J310" s="9"/>
      <c r="K310" s="8"/>
    </row>
    <row x14ac:dyDescent="0.25" r="311" customHeight="1" ht="18.75">
      <c r="A311" s="3">
        <v>105</v>
      </c>
      <c r="B311" s="3">
        <v>4</v>
      </c>
      <c r="C311" s="3">
        <v>156</v>
      </c>
      <c r="D311" s="3">
        <v>2745</v>
      </c>
      <c r="E311" s="2"/>
      <c r="F311" s="2"/>
      <c r="G311" s="2"/>
      <c r="H311" s="9"/>
      <c r="I311" s="9"/>
      <c r="J311" s="9"/>
      <c r="K311" s="8"/>
    </row>
    <row x14ac:dyDescent="0.25" r="312" customHeight="1" ht="18.75">
      <c r="A312" s="3">
        <v>66</v>
      </c>
      <c r="B312" s="3">
        <v>4</v>
      </c>
      <c r="C312" s="3">
        <v>98</v>
      </c>
      <c r="D312" s="3">
        <v>1800</v>
      </c>
      <c r="E312" s="2"/>
      <c r="F312" s="2"/>
      <c r="G312" s="2"/>
      <c r="H312" s="9"/>
      <c r="I312" s="9"/>
      <c r="J312" s="9"/>
      <c r="K312" s="8"/>
    </row>
    <row x14ac:dyDescent="0.25" r="313" customHeight="1" ht="18.75">
      <c r="A313" s="3">
        <v>75</v>
      </c>
      <c r="B313" s="3">
        <v>4</v>
      </c>
      <c r="C313" s="3">
        <v>105</v>
      </c>
      <c r="D313" s="3">
        <v>2230</v>
      </c>
      <c r="E313" s="2"/>
      <c r="F313" s="2"/>
      <c r="G313" s="2"/>
      <c r="H313" s="9"/>
      <c r="I313" s="9"/>
      <c r="J313" s="9"/>
      <c r="K313" s="8"/>
    </row>
    <row x14ac:dyDescent="0.25" r="314" customHeight="1" ht="18.75">
      <c r="A314" s="3">
        <v>88</v>
      </c>
      <c r="B314" s="3">
        <v>4</v>
      </c>
      <c r="C314" s="3">
        <v>140</v>
      </c>
      <c r="D314" s="3">
        <v>2720</v>
      </c>
      <c r="E314" s="2"/>
      <c r="F314" s="2"/>
      <c r="G314" s="2"/>
      <c r="H314" s="9"/>
      <c r="I314" s="9"/>
      <c r="J314" s="9"/>
      <c r="K314" s="8"/>
    </row>
    <row x14ac:dyDescent="0.25" r="315" customHeight="1" ht="18.75">
      <c r="A315" s="3">
        <v>68</v>
      </c>
      <c r="B315" s="3">
        <v>4</v>
      </c>
      <c r="C315" s="3">
        <v>98</v>
      </c>
      <c r="D315" s="3">
        <v>2155</v>
      </c>
      <c r="E315" s="2"/>
      <c r="F315" s="2"/>
      <c r="G315" s="2"/>
      <c r="H315" s="9"/>
      <c r="I315" s="9"/>
      <c r="J315" s="9"/>
      <c r="K315" s="8"/>
    </row>
    <row x14ac:dyDescent="0.25" r="316" customHeight="1" ht="18.75">
      <c r="A316" s="3">
        <v>85</v>
      </c>
      <c r="B316" s="3">
        <v>4</v>
      </c>
      <c r="C316" s="3">
        <v>151</v>
      </c>
      <c r="D316" s="3">
        <v>2855</v>
      </c>
      <c r="E316" s="2"/>
      <c r="F316" s="2"/>
      <c r="G316" s="2"/>
      <c r="H316" s="9"/>
      <c r="I316" s="9"/>
      <c r="J316" s="9"/>
      <c r="K316" s="8"/>
    </row>
    <row x14ac:dyDescent="0.25" r="317" customHeight="1" ht="18.75">
      <c r="A317" s="3">
        <v>165</v>
      </c>
      <c r="B317" s="3">
        <v>6</v>
      </c>
      <c r="C317" s="3">
        <v>231</v>
      </c>
      <c r="D317" s="3">
        <v>3445</v>
      </c>
      <c r="E317" s="2"/>
      <c r="F317" s="2"/>
      <c r="G317" s="2"/>
      <c r="H317" s="9"/>
      <c r="I317" s="9"/>
      <c r="J317" s="9"/>
      <c r="K317" s="8"/>
    </row>
    <row x14ac:dyDescent="0.25" r="318" customHeight="1" ht="18.75">
      <c r="A318" s="3">
        <v>120</v>
      </c>
      <c r="B318" s="3">
        <v>6</v>
      </c>
      <c r="C318" s="3">
        <v>258</v>
      </c>
      <c r="D318" s="3">
        <v>3410</v>
      </c>
      <c r="E318" s="2"/>
      <c r="F318" s="2"/>
      <c r="G318" s="2"/>
      <c r="H318" s="9"/>
      <c r="I318" s="9"/>
      <c r="J318" s="9"/>
      <c r="K318" s="8"/>
    </row>
    <row x14ac:dyDescent="0.25" r="319" customHeight="1" ht="18.75">
      <c r="A319" s="3">
        <v>105</v>
      </c>
      <c r="B319" s="3">
        <v>6</v>
      </c>
      <c r="C319" s="3">
        <v>231</v>
      </c>
      <c r="D319" s="3">
        <v>3380</v>
      </c>
      <c r="E319" s="2"/>
      <c r="F319" s="2"/>
      <c r="G319" s="2"/>
      <c r="H319" s="9"/>
      <c r="I319" s="9"/>
      <c r="J319" s="9"/>
      <c r="K319" s="8"/>
    </row>
    <row x14ac:dyDescent="0.25" r="320" customHeight="1" ht="18.75">
      <c r="A320" s="3">
        <v>110</v>
      </c>
      <c r="B320" s="3">
        <v>6</v>
      </c>
      <c r="C320" s="3">
        <v>225</v>
      </c>
      <c r="D320" s="3">
        <v>3620</v>
      </c>
      <c r="E320" s="2"/>
      <c r="F320" s="2"/>
      <c r="G320" s="2"/>
      <c r="H320" s="9"/>
      <c r="I320" s="9"/>
      <c r="J320" s="9"/>
      <c r="K320" s="8"/>
    </row>
    <row x14ac:dyDescent="0.25" r="321" customHeight="1" ht="18.75">
      <c r="A321" s="3">
        <v>95</v>
      </c>
      <c r="B321" s="3">
        <v>6</v>
      </c>
      <c r="C321" s="3">
        <v>200</v>
      </c>
      <c r="D321" s="3">
        <v>3155</v>
      </c>
      <c r="E321" s="2"/>
      <c r="F321" s="2"/>
      <c r="G321" s="2"/>
      <c r="H321" s="9"/>
      <c r="I321" s="9"/>
      <c r="J321" s="9"/>
      <c r="K321" s="8"/>
    </row>
    <row x14ac:dyDescent="0.25" r="322" customHeight="1" ht="18.75">
      <c r="A322" s="3">
        <v>105</v>
      </c>
      <c r="B322" s="3">
        <v>6</v>
      </c>
      <c r="C322" s="3">
        <v>231</v>
      </c>
      <c r="D322" s="3">
        <v>3535</v>
      </c>
      <c r="E322" s="2"/>
      <c r="F322" s="2"/>
      <c r="G322" s="2"/>
      <c r="H322" s="9"/>
      <c r="I322" s="9"/>
      <c r="J322" s="9"/>
      <c r="K322" s="8"/>
    </row>
    <row x14ac:dyDescent="0.25" r="323" customHeight="1" ht="18.75">
      <c r="A323" s="3">
        <v>100</v>
      </c>
      <c r="B323" s="3">
        <v>6</v>
      </c>
      <c r="C323" s="3">
        <v>225</v>
      </c>
      <c r="D323" s="3">
        <v>3430</v>
      </c>
      <c r="E323" s="2"/>
      <c r="F323" s="2"/>
      <c r="G323" s="2"/>
      <c r="H323" s="9"/>
      <c r="I323" s="9"/>
      <c r="J323" s="9"/>
      <c r="K323" s="8"/>
    </row>
    <row x14ac:dyDescent="0.25" r="324" customHeight="1" ht="18.75">
      <c r="A324" s="3">
        <v>85</v>
      </c>
      <c r="B324" s="3">
        <v>6</v>
      </c>
      <c r="C324" s="3">
        <v>200</v>
      </c>
      <c r="D324" s="3">
        <v>2965</v>
      </c>
      <c r="E324" s="2"/>
      <c r="F324" s="2"/>
      <c r="G324" s="2"/>
      <c r="H324" s="9"/>
      <c r="I324" s="9"/>
      <c r="J324" s="9"/>
      <c r="K324" s="8"/>
    </row>
    <row x14ac:dyDescent="0.25" r="325" customHeight="1" ht="18.75">
      <c r="A325" s="3">
        <v>90</v>
      </c>
      <c r="B325" s="3">
        <v>6</v>
      </c>
      <c r="C325" s="3">
        <v>232</v>
      </c>
      <c r="D325" s="3">
        <v>3210</v>
      </c>
      <c r="E325" s="2"/>
      <c r="F325" s="2"/>
      <c r="G325" s="2"/>
      <c r="H325" s="9"/>
      <c r="I325" s="9"/>
      <c r="J325" s="9"/>
      <c r="K325" s="8"/>
    </row>
    <row x14ac:dyDescent="0.25" r="326" customHeight="1" ht="18.75">
      <c r="A326" s="3">
        <v>85</v>
      </c>
      <c r="B326" s="3">
        <v>6</v>
      </c>
      <c r="C326" s="3">
        <v>200</v>
      </c>
      <c r="D326" s="3">
        <v>3070</v>
      </c>
      <c r="E326" s="2"/>
      <c r="F326" s="2"/>
      <c r="G326" s="2"/>
      <c r="H326" s="9"/>
      <c r="I326" s="9"/>
      <c r="J326" s="9"/>
      <c r="K326" s="8"/>
    </row>
    <row x14ac:dyDescent="0.25" r="327" customHeight="1" ht="18.75">
      <c r="A327" s="3">
        <v>139</v>
      </c>
      <c r="B327" s="3">
        <v>8</v>
      </c>
      <c r="C327" s="3">
        <v>302</v>
      </c>
      <c r="D327" s="3">
        <v>3205</v>
      </c>
      <c r="E327" s="2"/>
      <c r="F327" s="2"/>
      <c r="G327" s="2"/>
      <c r="H327" s="9"/>
      <c r="I327" s="9"/>
      <c r="J327" s="9"/>
      <c r="K327" s="8"/>
    </row>
    <row x14ac:dyDescent="0.25" r="328" customHeight="1" ht="18.75">
      <c r="A328" s="3">
        <v>145</v>
      </c>
      <c r="B328" s="3">
        <v>8</v>
      </c>
      <c r="C328" s="3">
        <v>305</v>
      </c>
      <c r="D328" s="3">
        <v>3425</v>
      </c>
      <c r="E328" s="2"/>
      <c r="F328" s="2"/>
      <c r="G328" s="2"/>
      <c r="H328" s="9"/>
      <c r="I328" s="9"/>
      <c r="J328" s="9"/>
      <c r="K328" s="8"/>
    </row>
    <row x14ac:dyDescent="0.25" r="329" customHeight="1" ht="18.75">
      <c r="A329" s="3">
        <v>139</v>
      </c>
      <c r="B329" s="3">
        <v>8</v>
      </c>
      <c r="C329" s="3">
        <v>302</v>
      </c>
      <c r="D329" s="3">
        <v>3570</v>
      </c>
      <c r="E329" s="2"/>
      <c r="F329" s="2"/>
      <c r="G329" s="2"/>
      <c r="H329" s="9"/>
      <c r="I329" s="9"/>
      <c r="J329" s="9"/>
      <c r="K329" s="8"/>
    </row>
    <row x14ac:dyDescent="0.25" r="330" customHeight="1" ht="18.75">
      <c r="A330" s="3">
        <v>140</v>
      </c>
      <c r="B330" s="3">
        <v>8</v>
      </c>
      <c r="C330" s="3">
        <v>318</v>
      </c>
      <c r="D330" s="3">
        <v>3735</v>
      </c>
      <c r="E330" s="2"/>
      <c r="F330" s="2"/>
      <c r="G330" s="2"/>
      <c r="H330" s="9"/>
      <c r="I330" s="9"/>
      <c r="J330" s="9"/>
      <c r="K330" s="8"/>
    </row>
    <row x14ac:dyDescent="0.25" r="331" customHeight="1" ht="18.75">
      <c r="A331" s="3">
        <v>140</v>
      </c>
      <c r="B331" s="3">
        <v>8</v>
      </c>
      <c r="C331" s="3">
        <v>318</v>
      </c>
      <c r="D331" s="3">
        <v>4080</v>
      </c>
      <c r="E331" s="2"/>
      <c r="F331" s="2"/>
      <c r="G331" s="2"/>
      <c r="H331" s="9"/>
      <c r="I331" s="9"/>
      <c r="J331" s="9"/>
      <c r="K331" s="8"/>
    </row>
    <row x14ac:dyDescent="0.25" r="332" customHeight="1" ht="18.75">
      <c r="A332" s="3">
        <v>110</v>
      </c>
      <c r="B332" s="3">
        <v>8</v>
      </c>
      <c r="C332" s="3">
        <v>260</v>
      </c>
      <c r="D332" s="3">
        <v>3365</v>
      </c>
      <c r="E332" s="2"/>
      <c r="F332" s="2"/>
      <c r="G332" s="2"/>
      <c r="H332" s="9"/>
      <c r="I332" s="9"/>
      <c r="J332" s="9"/>
      <c r="K332" s="8"/>
    </row>
    <row x14ac:dyDescent="0.25" r="333" customHeight="1" ht="18.75">
      <c r="A333" s="3">
        <v>80</v>
      </c>
      <c r="B333" s="3">
        <v>4</v>
      </c>
      <c r="C333" s="3">
        <v>98</v>
      </c>
      <c r="D333" s="3">
        <v>1915</v>
      </c>
      <c r="E333" s="2"/>
      <c r="F333" s="2"/>
      <c r="G333" s="2"/>
      <c r="H333" s="9"/>
      <c r="I333" s="9"/>
      <c r="J333" s="9"/>
      <c r="K333" s="8"/>
    </row>
    <row x14ac:dyDescent="0.25" r="334" customHeight="1" ht="18.75">
      <c r="A334" s="3">
        <v>90</v>
      </c>
      <c r="B334" s="3">
        <v>4</v>
      </c>
      <c r="C334" s="3">
        <v>151</v>
      </c>
      <c r="D334" s="3">
        <v>2556</v>
      </c>
      <c r="E334" s="2"/>
      <c r="F334" s="2"/>
      <c r="G334" s="2"/>
      <c r="H334" s="9"/>
      <c r="I334" s="9"/>
      <c r="J334" s="9"/>
      <c r="K334" s="8"/>
    </row>
    <row x14ac:dyDescent="0.25" r="335" customHeight="1" ht="18.75">
      <c r="A335" s="3">
        <v>90</v>
      </c>
      <c r="B335" s="3">
        <v>4</v>
      </c>
      <c r="C335" s="3">
        <v>151</v>
      </c>
      <c r="D335" s="3">
        <v>2670</v>
      </c>
      <c r="E335" s="2"/>
      <c r="F335" s="2"/>
      <c r="G335" s="2"/>
      <c r="H335" s="9"/>
      <c r="I335" s="9"/>
      <c r="J335" s="9"/>
      <c r="K335" s="8"/>
    </row>
    <row x14ac:dyDescent="0.25" r="336" customHeight="1" ht="18.75">
      <c r="A336" s="3">
        <v>70</v>
      </c>
      <c r="B336" s="3">
        <v>4</v>
      </c>
      <c r="C336" s="3">
        <v>105</v>
      </c>
      <c r="D336" s="3">
        <v>2150</v>
      </c>
      <c r="E336" s="2"/>
      <c r="F336" s="2"/>
      <c r="G336" s="2"/>
      <c r="H336" s="9"/>
      <c r="I336" s="9"/>
      <c r="J336" s="9"/>
      <c r="K336" s="8"/>
    </row>
    <row x14ac:dyDescent="0.25" r="337" customHeight="1" ht="18.75">
      <c r="A337" s="3">
        <v>70</v>
      </c>
      <c r="B337" s="3">
        <v>4</v>
      </c>
      <c r="C337" s="3">
        <v>105</v>
      </c>
      <c r="D337" s="3">
        <v>2200</v>
      </c>
      <c r="E337" s="2"/>
      <c r="F337" s="2"/>
      <c r="G337" s="2"/>
      <c r="H337" s="9"/>
      <c r="I337" s="9"/>
      <c r="J337" s="9"/>
      <c r="K337" s="8"/>
    </row>
    <row x14ac:dyDescent="0.25" r="338" customHeight="1" ht="18.75">
      <c r="A338" s="3">
        <v>88</v>
      </c>
      <c r="B338" s="3">
        <v>4</v>
      </c>
      <c r="C338" s="3">
        <v>140</v>
      </c>
      <c r="D338" s="3">
        <v>2890</v>
      </c>
      <c r="E338" s="2"/>
      <c r="F338" s="2"/>
      <c r="G338" s="2"/>
      <c r="H338" s="9"/>
      <c r="I338" s="9"/>
      <c r="J338" s="9"/>
      <c r="K338" s="8"/>
    </row>
    <row x14ac:dyDescent="0.25" r="339" customHeight="1" ht="18.75">
      <c r="A339" s="3">
        <v>80</v>
      </c>
      <c r="B339" s="3">
        <v>4</v>
      </c>
      <c r="C339" s="3">
        <v>121</v>
      </c>
      <c r="D339" s="3">
        <v>2670</v>
      </c>
      <c r="E339" s="2"/>
      <c r="F339" s="2"/>
      <c r="G339" s="2"/>
      <c r="H339" s="9"/>
      <c r="I339" s="9"/>
      <c r="J339" s="9"/>
      <c r="K339" s="8"/>
    </row>
    <row x14ac:dyDescent="0.25" r="340" customHeight="1" ht="18.75">
      <c r="A340" s="3">
        <v>115</v>
      </c>
      <c r="B340" s="3">
        <v>6</v>
      </c>
      <c r="C340" s="3">
        <v>173</v>
      </c>
      <c r="D340" s="3">
        <v>2595</v>
      </c>
      <c r="E340" s="2"/>
      <c r="F340" s="2"/>
      <c r="G340" s="2"/>
      <c r="H340" s="9"/>
      <c r="I340" s="9"/>
      <c r="J340" s="9"/>
      <c r="K340" s="8"/>
    </row>
    <row x14ac:dyDescent="0.25" r="341" customHeight="1" ht="18.75">
      <c r="A341" s="3">
        <v>115</v>
      </c>
      <c r="B341" s="3">
        <v>6</v>
      </c>
      <c r="C341" s="3">
        <v>173</v>
      </c>
      <c r="D341" s="3">
        <v>2700</v>
      </c>
      <c r="E341" s="2"/>
      <c r="F341" s="2"/>
      <c r="G341" s="2"/>
      <c r="H341" s="9"/>
      <c r="I341" s="9"/>
      <c r="J341" s="9"/>
      <c r="K341" s="8"/>
    </row>
    <row x14ac:dyDescent="0.25" r="342" customHeight="1" ht="18.75">
      <c r="A342" s="3">
        <v>115</v>
      </c>
      <c r="B342" s="3">
        <v>6</v>
      </c>
      <c r="C342" s="3">
        <v>231</v>
      </c>
      <c r="D342" s="3">
        <v>3245</v>
      </c>
      <c r="E342" s="2"/>
      <c r="F342" s="2"/>
      <c r="G342" s="2"/>
      <c r="H342" s="9"/>
      <c r="I342" s="9"/>
      <c r="J342" s="9"/>
      <c r="K342" s="8"/>
    </row>
    <row x14ac:dyDescent="0.25" r="343" customHeight="1" ht="18.75">
      <c r="A343" s="3">
        <v>110</v>
      </c>
      <c r="B343" s="3">
        <v>6</v>
      </c>
      <c r="C343" s="3">
        <v>225</v>
      </c>
      <c r="D343" s="3">
        <v>3360</v>
      </c>
      <c r="E343" s="2"/>
      <c r="F343" s="2"/>
      <c r="G343" s="2"/>
      <c r="H343" s="9"/>
      <c r="I343" s="9"/>
      <c r="J343" s="9"/>
      <c r="K343" s="8"/>
    </row>
    <row x14ac:dyDescent="0.25" r="344" customHeight="1" ht="18.75">
      <c r="A344" s="3">
        <v>85</v>
      </c>
      <c r="B344" s="3">
        <v>6</v>
      </c>
      <c r="C344" s="3">
        <v>200</v>
      </c>
      <c r="D344" s="3">
        <v>2990</v>
      </c>
      <c r="E344" s="2"/>
      <c r="F344" s="2"/>
      <c r="G344" s="2"/>
      <c r="H344" s="9"/>
      <c r="I344" s="9"/>
      <c r="J344" s="9"/>
      <c r="K344" s="8"/>
    </row>
    <row x14ac:dyDescent="0.25" r="345" customHeight="1" ht="18.75">
      <c r="A345" s="3">
        <v>90</v>
      </c>
      <c r="B345" s="3">
        <v>6</v>
      </c>
      <c r="C345" s="3">
        <v>232</v>
      </c>
      <c r="D345" s="3">
        <v>3265</v>
      </c>
      <c r="E345" s="2"/>
      <c r="F345" s="2"/>
      <c r="G345" s="2"/>
      <c r="H345" s="9"/>
      <c r="I345" s="9"/>
      <c r="J345" s="9"/>
      <c r="K345" s="8"/>
    </row>
    <row x14ac:dyDescent="0.25" r="346" customHeight="1" ht="18.75">
      <c r="A346" s="3">
        <v>150</v>
      </c>
      <c r="B346" s="3">
        <v>8</v>
      </c>
      <c r="C346" s="3">
        <v>360</v>
      </c>
      <c r="D346" s="3">
        <v>3940</v>
      </c>
      <c r="E346" s="2"/>
      <c r="F346" s="2"/>
      <c r="G346" s="2"/>
      <c r="H346" s="9"/>
      <c r="I346" s="9"/>
      <c r="J346" s="9"/>
      <c r="K346" s="8"/>
    </row>
    <row x14ac:dyDescent="0.25" r="347" customHeight="1" ht="18.75">
      <c r="A347" s="3">
        <v>155</v>
      </c>
      <c r="B347" s="3">
        <v>8</v>
      </c>
      <c r="C347" s="3">
        <v>350</v>
      </c>
      <c r="D347" s="3">
        <v>4360</v>
      </c>
      <c r="E347" s="2"/>
      <c r="F347" s="2"/>
      <c r="G347" s="2"/>
      <c r="H347" s="9"/>
      <c r="I347" s="9"/>
      <c r="J347" s="9"/>
      <c r="K347" s="8"/>
    </row>
    <row x14ac:dyDescent="0.25" r="348" customHeight="1" ht="18.75">
      <c r="A348" s="3">
        <v>135</v>
      </c>
      <c r="B348" s="3">
        <v>8</v>
      </c>
      <c r="C348" s="3">
        <v>318</v>
      </c>
      <c r="D348" s="3">
        <v>3830</v>
      </c>
      <c r="E348" s="2"/>
      <c r="F348" s="2"/>
      <c r="G348" s="2"/>
      <c r="H348" s="9"/>
      <c r="I348" s="9"/>
      <c r="J348" s="9"/>
      <c r="K348" s="8"/>
    </row>
    <row x14ac:dyDescent="0.25" r="349" customHeight="1" ht="18.75">
      <c r="A349" s="3">
        <v>142</v>
      </c>
      <c r="B349" s="3">
        <v>8</v>
      </c>
      <c r="C349" s="3">
        <v>351</v>
      </c>
      <c r="D349" s="3">
        <v>4054</v>
      </c>
      <c r="E349" s="2"/>
      <c r="F349" s="2"/>
      <c r="G349" s="2"/>
      <c r="H349" s="9"/>
      <c r="I349" s="9"/>
      <c r="J349" s="9"/>
      <c r="K349" s="8"/>
    </row>
    <row x14ac:dyDescent="0.25" r="350" customHeight="1" ht="18.75">
      <c r="A350" s="3">
        <v>138</v>
      </c>
      <c r="B350" s="3">
        <v>8</v>
      </c>
      <c r="C350" s="3">
        <v>351</v>
      </c>
      <c r="D350" s="3">
        <v>3955</v>
      </c>
      <c r="E350" s="2"/>
      <c r="F350" s="2"/>
      <c r="G350" s="2"/>
      <c r="H350" s="9"/>
      <c r="I350" s="9"/>
      <c r="J350" s="9"/>
      <c r="K350" s="8"/>
    </row>
    <row x14ac:dyDescent="0.25" r="351" customHeight="1" ht="18.75">
      <c r="A351" s="3">
        <v>125</v>
      </c>
      <c r="B351" s="3">
        <v>8</v>
      </c>
      <c r="C351" s="3">
        <v>267</v>
      </c>
      <c r="D351" s="3">
        <v>3605</v>
      </c>
      <c r="E351" s="2"/>
      <c r="F351" s="2"/>
      <c r="G351" s="2"/>
      <c r="H351" s="9"/>
      <c r="I351" s="9"/>
      <c r="J351" s="9"/>
      <c r="K351" s="8"/>
    </row>
    <row x14ac:dyDescent="0.25" r="352" customHeight="1" ht="18.75">
      <c r="A352" s="3">
        <v>129</v>
      </c>
      <c r="B352" s="3">
        <v>8</v>
      </c>
      <c r="C352" s="3">
        <v>302</v>
      </c>
      <c r="D352" s="3">
        <v>3725</v>
      </c>
      <c r="E352" s="2"/>
      <c r="F352" s="2"/>
      <c r="G352" s="2"/>
      <c r="H352" s="9"/>
      <c r="I352" s="9"/>
      <c r="J352" s="9"/>
      <c r="K352" s="8"/>
    </row>
    <row x14ac:dyDescent="0.25" r="353" customHeight="1" ht="18.75">
      <c r="A353" s="3">
        <v>130</v>
      </c>
      <c r="B353" s="3">
        <v>8</v>
      </c>
      <c r="C353" s="3">
        <v>305</v>
      </c>
      <c r="D353" s="3">
        <v>3840</v>
      </c>
      <c r="E353" s="2"/>
      <c r="F353" s="2"/>
      <c r="G353" s="2"/>
      <c r="H353" s="9"/>
      <c r="I353" s="9"/>
      <c r="J353" s="9"/>
      <c r="K353" s="8"/>
    </row>
    <row x14ac:dyDescent="0.25" r="354" customHeight="1" ht="18.75">
      <c r="A354" s="3">
        <v>125</v>
      </c>
      <c r="B354" s="3">
        <v>8</v>
      </c>
      <c r="C354" s="3">
        <v>350</v>
      </c>
      <c r="D354" s="3">
        <v>3900</v>
      </c>
      <c r="E354" s="2"/>
      <c r="F354" s="2"/>
      <c r="G354" s="2"/>
      <c r="H354" s="9"/>
      <c r="I354" s="9"/>
      <c r="J354" s="9"/>
      <c r="K354" s="8"/>
    </row>
    <row x14ac:dyDescent="0.25" r="355" customHeight="1" ht="18.75">
      <c r="A355" s="3">
        <v>90</v>
      </c>
      <c r="B355" s="3">
        <v>8</v>
      </c>
      <c r="C355" s="3">
        <v>260</v>
      </c>
      <c r="D355" s="3">
        <v>3420</v>
      </c>
      <c r="E355" s="2"/>
      <c r="F355" s="2"/>
      <c r="G355" s="2"/>
      <c r="H355" s="9"/>
      <c r="I355" s="9"/>
      <c r="J355" s="9"/>
      <c r="K355" s="8"/>
    </row>
    <row x14ac:dyDescent="0.25" r="356" customHeight="1" ht="18.75">
      <c r="A356" s="3">
        <v>105</v>
      </c>
      <c r="B356" s="3">
        <v>4</v>
      </c>
      <c r="C356" s="3">
        <v>156</v>
      </c>
      <c r="D356" s="3">
        <v>2800</v>
      </c>
      <c r="E356" s="2"/>
      <c r="F356" s="2"/>
      <c r="G356" s="2"/>
      <c r="H356" s="9"/>
      <c r="I356" s="9"/>
      <c r="J356" s="9"/>
      <c r="K356" s="8"/>
    </row>
    <row x14ac:dyDescent="0.25" r="357" customHeight="1" ht="18.75">
      <c r="A357" s="3">
        <v>90</v>
      </c>
      <c r="B357" s="3">
        <v>4</v>
      </c>
      <c r="C357" s="3">
        <v>151</v>
      </c>
      <c r="D357" s="3">
        <v>2678</v>
      </c>
      <c r="E357" s="2"/>
      <c r="F357" s="2"/>
      <c r="G357" s="2"/>
      <c r="H357" s="9"/>
      <c r="I357" s="9"/>
      <c r="J357" s="9"/>
      <c r="K357" s="8"/>
    </row>
    <row x14ac:dyDescent="0.25" r="358" customHeight="1" ht="18.75">
      <c r="A358" s="3">
        <v>70</v>
      </c>
      <c r="B358" s="3">
        <v>4</v>
      </c>
      <c r="C358" s="3">
        <v>98</v>
      </c>
      <c r="D358" s="3">
        <v>2120</v>
      </c>
      <c r="E358" s="2"/>
      <c r="F358" s="2"/>
      <c r="G358" s="2"/>
      <c r="H358" s="9"/>
      <c r="I358" s="9"/>
      <c r="J358" s="9"/>
      <c r="K358" s="8"/>
    </row>
    <row x14ac:dyDescent="0.25" r="359" customHeight="1" ht="18.75">
      <c r="A359" s="3">
        <v>88</v>
      </c>
      <c r="B359" s="3">
        <v>4</v>
      </c>
      <c r="C359" s="3">
        <v>140</v>
      </c>
      <c r="D359" s="3">
        <v>2870</v>
      </c>
      <c r="E359" s="2"/>
      <c r="F359" s="2"/>
      <c r="G359" s="2"/>
      <c r="H359" s="9"/>
      <c r="I359" s="9"/>
      <c r="J359" s="9"/>
      <c r="K359" s="8"/>
    </row>
    <row x14ac:dyDescent="0.25" r="360" customHeight="1" ht="18.75">
      <c r="A360" s="3">
        <v>90</v>
      </c>
      <c r="B360" s="3">
        <v>4</v>
      </c>
      <c r="C360" s="3">
        <v>151</v>
      </c>
      <c r="D360" s="3">
        <v>3003</v>
      </c>
      <c r="E360" s="2"/>
      <c r="F360" s="2"/>
      <c r="G360" s="2"/>
      <c r="H360" s="9"/>
      <c r="I360" s="9"/>
      <c r="J360" s="9"/>
      <c r="K360" s="8"/>
    </row>
    <row x14ac:dyDescent="0.25" r="361" customHeight="1" ht="18.75">
      <c r="A361" s="3">
        <v>90</v>
      </c>
      <c r="B361" s="3">
        <v>6</v>
      </c>
      <c r="C361" s="3">
        <v>225</v>
      </c>
      <c r="D361" s="3">
        <v>3381</v>
      </c>
      <c r="E361" s="2"/>
      <c r="F361" s="2"/>
      <c r="G361" s="2"/>
      <c r="H361" s="9"/>
      <c r="I361" s="9"/>
      <c r="J361" s="9"/>
      <c r="K361" s="8"/>
    </row>
    <row x14ac:dyDescent="0.25" r="362" customHeight="1" ht="18.75">
      <c r="A362" s="3">
        <v>84</v>
      </c>
      <c r="B362" s="3">
        <v>4</v>
      </c>
      <c r="C362" s="3">
        <v>135</v>
      </c>
      <c r="D362" s="3">
        <v>2385</v>
      </c>
      <c r="E362" s="2"/>
      <c r="F362" s="2"/>
      <c r="G362" s="2"/>
      <c r="H362" s="9"/>
      <c r="I362" s="9"/>
      <c r="J362" s="9"/>
      <c r="K362" s="8"/>
    </row>
    <row x14ac:dyDescent="0.25" r="363" customHeight="1" ht="18.75">
      <c r="A363" s="3">
        <v>92</v>
      </c>
      <c r="B363" s="3">
        <v>4</v>
      </c>
      <c r="C363" s="3">
        <v>156</v>
      </c>
      <c r="D363" s="3">
        <v>2620</v>
      </c>
      <c r="E363" s="2"/>
      <c r="F363" s="2"/>
      <c r="G363" s="2"/>
      <c r="H363" s="9"/>
      <c r="I363" s="9"/>
      <c r="J363" s="9"/>
      <c r="K363" s="8"/>
    </row>
    <row x14ac:dyDescent="0.25" r="364" customHeight="1" ht="18.75">
      <c r="A364" s="3">
        <v>64</v>
      </c>
      <c r="B364" s="3">
        <v>4</v>
      </c>
      <c r="C364" s="3">
        <v>86</v>
      </c>
      <c r="D364" s="3">
        <v>1875</v>
      </c>
      <c r="E364" s="2"/>
      <c r="F364" s="2"/>
      <c r="G364" s="2"/>
      <c r="H364" s="9"/>
      <c r="I364" s="9"/>
      <c r="J364" s="9"/>
      <c r="K364" s="8"/>
    </row>
    <row x14ac:dyDescent="0.25" r="365" customHeight="1" ht="18.75">
      <c r="A365" s="3">
        <v>84</v>
      </c>
      <c r="B365" s="3">
        <v>4</v>
      </c>
      <c r="C365" s="3">
        <v>135</v>
      </c>
      <c r="D365" s="3">
        <v>2490</v>
      </c>
      <c r="E365" s="2"/>
      <c r="F365" s="2"/>
      <c r="G365" s="2"/>
      <c r="H365" s="9"/>
      <c r="I365" s="9"/>
      <c r="J365" s="9"/>
      <c r="K365" s="8"/>
    </row>
    <row x14ac:dyDescent="0.25" r="366" customHeight="1" ht="18.75">
      <c r="A366" s="3">
        <v>84</v>
      </c>
      <c r="B366" s="3">
        <v>4</v>
      </c>
      <c r="C366" s="3">
        <v>151</v>
      </c>
      <c r="D366" s="3">
        <v>2635</v>
      </c>
      <c r="E366" s="2"/>
      <c r="F366" s="2"/>
      <c r="G366" s="2"/>
      <c r="H366" s="9"/>
      <c r="I366" s="9"/>
      <c r="J366" s="9"/>
      <c r="K366" s="8"/>
    </row>
    <row x14ac:dyDescent="0.25" r="367" customHeight="1" ht="18.75">
      <c r="A367" s="3">
        <v>65</v>
      </c>
      <c r="B367" s="3">
        <v>4</v>
      </c>
      <c r="C367" s="3">
        <v>98</v>
      </c>
      <c r="D367" s="3">
        <v>2045</v>
      </c>
      <c r="E367" s="2"/>
      <c r="F367" s="2"/>
      <c r="G367" s="2"/>
      <c r="H367" s="9"/>
      <c r="I367" s="9"/>
      <c r="J367" s="9"/>
      <c r="K367" s="8"/>
    </row>
    <row x14ac:dyDescent="0.25" r="368" customHeight="1" ht="18.75">
      <c r="A368" s="3">
        <v>63</v>
      </c>
      <c r="B368" s="3">
        <v>4</v>
      </c>
      <c r="C368" s="3">
        <v>105</v>
      </c>
      <c r="D368" s="3">
        <v>2215</v>
      </c>
      <c r="E368" s="2"/>
      <c r="F368" s="2"/>
      <c r="G368" s="2"/>
      <c r="H368" s="9"/>
      <c r="I368" s="9"/>
      <c r="J368" s="9"/>
      <c r="K368" s="8"/>
    </row>
    <row x14ac:dyDescent="0.25" r="369" customHeight="1" ht="18.75">
      <c r="A369" s="3">
        <v>65</v>
      </c>
      <c r="B369" s="3">
        <v>4</v>
      </c>
      <c r="C369" s="3">
        <v>98</v>
      </c>
      <c r="D369" s="3">
        <v>2380</v>
      </c>
      <c r="E369" s="2"/>
      <c r="F369" s="2"/>
      <c r="G369" s="2"/>
      <c r="H369" s="9"/>
      <c r="I369" s="9"/>
      <c r="J369" s="9"/>
      <c r="K369" s="8"/>
    </row>
    <row x14ac:dyDescent="0.25" r="370" customHeight="1" ht="18.75">
      <c r="A370" s="3">
        <v>110</v>
      </c>
      <c r="B370" s="3">
        <v>6</v>
      </c>
      <c r="C370" s="3">
        <v>173</v>
      </c>
      <c r="D370" s="3">
        <v>2725</v>
      </c>
      <c r="E370" s="2"/>
      <c r="F370" s="2"/>
      <c r="G370" s="2"/>
      <c r="H370" s="9"/>
      <c r="I370" s="9"/>
      <c r="J370" s="9"/>
      <c r="K370" s="8"/>
    </row>
    <row x14ac:dyDescent="0.25" r="371" customHeight="1" ht="18.75">
      <c r="A371" s="3">
        <v>110</v>
      </c>
      <c r="B371" s="3">
        <v>6</v>
      </c>
      <c r="C371" s="3">
        <v>231</v>
      </c>
      <c r="D371" s="3">
        <v>3415</v>
      </c>
      <c r="E371" s="2"/>
      <c r="F371" s="2"/>
      <c r="G371" s="2"/>
      <c r="H371" s="9"/>
      <c r="I371" s="9"/>
      <c r="J371" s="9"/>
      <c r="K371" s="8"/>
    </row>
    <row x14ac:dyDescent="0.25" r="372" customHeight="1" ht="18.75">
      <c r="A372" s="3">
        <v>88</v>
      </c>
      <c r="B372" s="3">
        <v>6</v>
      </c>
      <c r="C372" s="3">
        <v>200</v>
      </c>
      <c r="D372" s="3">
        <v>3060</v>
      </c>
      <c r="E372" s="2"/>
      <c r="F372" s="2"/>
      <c r="G372" s="2"/>
      <c r="H372" s="9"/>
      <c r="I372" s="9"/>
      <c r="J372" s="9"/>
      <c r="K372" s="8"/>
    </row>
    <row x14ac:dyDescent="0.25" r="373" customHeight="1" ht="18.75">
      <c r="A373" s="3">
        <v>85</v>
      </c>
      <c r="B373" s="3">
        <v>6</v>
      </c>
      <c r="C373" s="3">
        <v>225</v>
      </c>
      <c r="D373" s="3">
        <v>3465</v>
      </c>
      <c r="E373" s="2"/>
      <c r="F373" s="2"/>
      <c r="G373" s="2"/>
      <c r="H373" s="9"/>
      <c r="I373" s="9"/>
      <c r="J373" s="9"/>
      <c r="K373" s="8"/>
    </row>
    <row x14ac:dyDescent="0.25" r="374" customHeight="1" ht="18.75">
      <c r="A374" s="3">
        <v>105</v>
      </c>
      <c r="B374" s="3">
        <v>8</v>
      </c>
      <c r="C374" s="3">
        <v>350</v>
      </c>
      <c r="D374" s="3">
        <v>3725</v>
      </c>
      <c r="E374" s="2"/>
      <c r="F374" s="2"/>
      <c r="G374" s="2"/>
      <c r="H374" s="9"/>
      <c r="I374" s="9"/>
      <c r="J374" s="9"/>
      <c r="K374" s="8"/>
    </row>
    <row x14ac:dyDescent="0.25" r="375" customHeight="1" ht="18.75">
      <c r="A375" s="3">
        <v>88</v>
      </c>
      <c r="B375" s="3">
        <v>4</v>
      </c>
      <c r="C375" s="3">
        <v>112</v>
      </c>
      <c r="D375" s="3">
        <v>2395</v>
      </c>
      <c r="E375" s="2"/>
      <c r="F375" s="2"/>
      <c r="G375" s="2"/>
      <c r="H375" s="9"/>
      <c r="I375" s="9"/>
      <c r="J375" s="9"/>
      <c r="K375" s="8"/>
    </row>
    <row x14ac:dyDescent="0.25" r="376" customHeight="1" ht="18.75">
      <c r="A376" s="3">
        <v>84</v>
      </c>
      <c r="B376" s="3">
        <v>4</v>
      </c>
      <c r="C376" s="3">
        <v>135</v>
      </c>
      <c r="D376" s="3">
        <v>2295</v>
      </c>
      <c r="E376" s="2"/>
      <c r="F376" s="2"/>
      <c r="G376" s="2"/>
      <c r="H376" s="9"/>
      <c r="I376" s="9"/>
      <c r="J376" s="9"/>
      <c r="K376" s="8"/>
    </row>
    <row x14ac:dyDescent="0.25" r="377" customHeight="1" ht="18.75">
      <c r="A377" s="3">
        <v>92</v>
      </c>
      <c r="B377" s="3">
        <v>4</v>
      </c>
      <c r="C377" s="3">
        <v>156</v>
      </c>
      <c r="D377" s="3">
        <v>2585</v>
      </c>
      <c r="E377" s="2"/>
      <c r="F377" s="2"/>
      <c r="G377" s="2"/>
      <c r="H377" s="9"/>
      <c r="I377" s="9"/>
      <c r="J377" s="9"/>
      <c r="K377" s="8"/>
    </row>
    <row x14ac:dyDescent="0.25" r="378" customHeight="1" ht="18.75">
      <c r="A378" s="3">
        <v>84</v>
      </c>
      <c r="B378" s="3">
        <v>4</v>
      </c>
      <c r="C378" s="3">
        <v>135</v>
      </c>
      <c r="D378" s="3">
        <v>2370</v>
      </c>
      <c r="E378" s="2"/>
      <c r="F378" s="2"/>
      <c r="G378" s="2"/>
      <c r="H378" s="9"/>
      <c r="I378" s="9"/>
      <c r="J378" s="9"/>
      <c r="K378" s="8"/>
    </row>
    <row x14ac:dyDescent="0.25" r="379" customHeight="1" ht="18.75">
      <c r="A379" s="3">
        <v>88</v>
      </c>
      <c r="B379" s="3">
        <v>4</v>
      </c>
      <c r="C379" s="3">
        <v>112</v>
      </c>
      <c r="D379" s="3">
        <v>2605</v>
      </c>
      <c r="E379" s="2"/>
      <c r="F379" s="2"/>
      <c r="G379" s="2"/>
      <c r="H379" s="9"/>
      <c r="I379" s="9"/>
      <c r="J379" s="9"/>
      <c r="K379" s="8"/>
    </row>
    <row x14ac:dyDescent="0.25" r="380" customHeight="1" ht="18.75">
      <c r="A380" s="3">
        <v>88</v>
      </c>
      <c r="B380" s="3">
        <v>4</v>
      </c>
      <c r="C380" s="3">
        <v>112</v>
      </c>
      <c r="D380" s="3">
        <v>2640</v>
      </c>
      <c r="E380" s="2"/>
      <c r="F380" s="2"/>
      <c r="G380" s="2"/>
      <c r="H380" s="9"/>
      <c r="I380" s="9"/>
      <c r="J380" s="9"/>
      <c r="K380" s="8"/>
    </row>
    <row x14ac:dyDescent="0.25" r="381" customHeight="1" ht="18.75">
      <c r="A381" s="3">
        <v>84</v>
      </c>
      <c r="B381" s="3">
        <v>4</v>
      </c>
      <c r="C381" s="3">
        <v>135</v>
      </c>
      <c r="D381" s="3">
        <v>2525</v>
      </c>
      <c r="E381" s="2"/>
      <c r="F381" s="2"/>
      <c r="G381" s="2"/>
      <c r="H381" s="9"/>
      <c r="I381" s="9"/>
      <c r="J381" s="9"/>
      <c r="K381" s="8"/>
    </row>
    <row x14ac:dyDescent="0.25" r="382" customHeight="1" ht="18.75">
      <c r="A382" s="3">
        <v>85</v>
      </c>
      <c r="B382" s="3">
        <v>4</v>
      </c>
      <c r="C382" s="3">
        <v>112</v>
      </c>
      <c r="D382" s="3">
        <v>2575</v>
      </c>
      <c r="E382" s="2"/>
      <c r="F382" s="2"/>
      <c r="G382" s="2"/>
      <c r="H382" s="9"/>
      <c r="I382" s="9"/>
      <c r="J382" s="9"/>
      <c r="K382" s="8"/>
    </row>
    <row x14ac:dyDescent="0.25" r="383" customHeight="1" ht="18.75">
      <c r="A383" s="3">
        <v>70</v>
      </c>
      <c r="B383" s="3">
        <v>4</v>
      </c>
      <c r="C383" s="3">
        <v>98</v>
      </c>
      <c r="D383" s="3">
        <v>2125</v>
      </c>
      <c r="E383" s="2"/>
      <c r="F383" s="2"/>
      <c r="G383" s="2"/>
      <c r="H383" s="9"/>
      <c r="I383" s="9"/>
      <c r="J383" s="9"/>
      <c r="K383" s="8"/>
    </row>
    <row x14ac:dyDescent="0.25" r="384" customHeight="1" ht="18.75">
      <c r="A384" s="3">
        <v>90</v>
      </c>
      <c r="B384" s="3">
        <v>4</v>
      </c>
      <c r="C384" s="3">
        <v>151</v>
      </c>
      <c r="D384" s="3">
        <v>2735</v>
      </c>
      <c r="E384" s="2"/>
      <c r="F384" s="2"/>
      <c r="G384" s="2"/>
      <c r="H384" s="9"/>
      <c r="I384" s="9"/>
      <c r="J384" s="9"/>
      <c r="K384" s="8"/>
    </row>
    <row x14ac:dyDescent="0.25" r="385" customHeight="1" ht="18.75">
      <c r="A385" s="3">
        <v>92</v>
      </c>
      <c r="B385" s="3">
        <v>4</v>
      </c>
      <c r="C385" s="3">
        <v>140</v>
      </c>
      <c r="D385" s="3">
        <v>2865</v>
      </c>
      <c r="E385" s="2"/>
      <c r="F385" s="2"/>
      <c r="G385" s="2"/>
      <c r="H385" s="9"/>
      <c r="I385" s="9"/>
      <c r="J385" s="9"/>
      <c r="K385" s="8"/>
    </row>
    <row x14ac:dyDescent="0.25" r="386" customHeight="1" ht="18.75">
      <c r="A386" s="3">
        <v>86</v>
      </c>
      <c r="B386" s="3">
        <v>4</v>
      </c>
      <c r="C386" s="3">
        <v>140</v>
      </c>
      <c r="D386" s="3">
        <v>2790</v>
      </c>
      <c r="E386" s="2"/>
      <c r="F386" s="2"/>
      <c r="G386" s="2"/>
      <c r="H386" s="9"/>
      <c r="I386" s="9"/>
      <c r="J386" s="9"/>
      <c r="K386" s="8"/>
    </row>
    <row x14ac:dyDescent="0.25" r="387" customHeight="1" ht="18.75">
      <c r="A387" s="3">
        <v>90</v>
      </c>
      <c r="B387" s="3">
        <v>4</v>
      </c>
      <c r="C387" s="3">
        <v>151</v>
      </c>
      <c r="D387" s="3">
        <v>2950</v>
      </c>
      <c r="E387" s="2"/>
      <c r="F387" s="2"/>
      <c r="G387" s="2"/>
      <c r="H387" s="9"/>
      <c r="I387" s="9"/>
      <c r="J387" s="9"/>
      <c r="K387" s="8"/>
    </row>
    <row x14ac:dyDescent="0.25" r="388" customHeight="1" ht="18.75">
      <c r="A388" s="3">
        <v>82</v>
      </c>
      <c r="B388" s="3">
        <v>4</v>
      </c>
      <c r="C388" s="3">
        <v>119</v>
      </c>
      <c r="D388" s="3">
        <v>2720</v>
      </c>
      <c r="E388" s="2"/>
      <c r="F388" s="2"/>
      <c r="G388" s="2"/>
      <c r="H388" s="9"/>
      <c r="I388" s="9"/>
      <c r="J388" s="9"/>
      <c r="K388" s="8"/>
    </row>
    <row x14ac:dyDescent="0.25" r="389" customHeight="1" ht="18.75">
      <c r="A389" s="3">
        <v>79</v>
      </c>
      <c r="B389" s="3">
        <v>4</v>
      </c>
      <c r="C389" s="3">
        <v>120</v>
      </c>
      <c r="D389" s="3">
        <v>2625</v>
      </c>
      <c r="E389" s="2"/>
      <c r="F389" s="2"/>
      <c r="G389" s="2"/>
      <c r="H389" s="9"/>
      <c r="I389" s="9"/>
      <c r="J389" s="9"/>
      <c r="K389" s="8"/>
    </row>
    <row x14ac:dyDescent="0.25" r="390" customHeight="1" ht="18.75">
      <c r="A390" s="3">
        <v>63</v>
      </c>
      <c r="B390" s="3">
        <v>4</v>
      </c>
      <c r="C390" s="3">
        <v>105</v>
      </c>
      <c r="D390" s="3">
        <v>2125</v>
      </c>
      <c r="E390" s="2"/>
      <c r="F390" s="2"/>
      <c r="G390" s="2"/>
      <c r="H390" s="9"/>
      <c r="I390" s="9"/>
      <c r="J390" s="9"/>
      <c r="K390" s="8"/>
    </row>
    <row x14ac:dyDescent="0.25" r="391" customHeight="1" ht="18.75">
      <c r="A391" s="3">
        <v>112</v>
      </c>
      <c r="B391" s="3">
        <v>6</v>
      </c>
      <c r="C391" s="3">
        <v>232</v>
      </c>
      <c r="D391" s="3">
        <v>2835</v>
      </c>
      <c r="E391" s="2"/>
      <c r="F391" s="2"/>
      <c r="G391" s="2"/>
      <c r="H391" s="9"/>
      <c r="I391" s="9"/>
      <c r="J391" s="9"/>
      <c r="K391" s="8"/>
    </row>
    <row x14ac:dyDescent="0.25" r="392" customHeight="1" ht="18.75">
      <c r="A392" s="3">
        <v>110</v>
      </c>
      <c r="B392" s="3">
        <v>6</v>
      </c>
      <c r="C392" s="3">
        <v>181</v>
      </c>
      <c r="D392" s="3">
        <v>2945</v>
      </c>
      <c r="E392" s="2"/>
      <c r="F392" s="2"/>
      <c r="G392" s="2"/>
      <c r="H392" s="9"/>
      <c r="I392" s="9"/>
      <c r="J392" s="9"/>
      <c r="K392" s="8"/>
    </row>
    <row x14ac:dyDescent="0.25" r="393" customHeight="1" ht="18.75">
      <c r="A393" s="3">
        <v>85</v>
      </c>
      <c r="B393" s="3">
        <v>6</v>
      </c>
      <c r="C393" s="3">
        <v>262</v>
      </c>
      <c r="D393" s="3">
        <v>3015</v>
      </c>
      <c r="E393" s="2"/>
      <c r="F393" s="2"/>
      <c r="G393" s="2"/>
      <c r="H393" s="9"/>
      <c r="I393" s="9"/>
      <c r="J393" s="9"/>
      <c r="K393" s="8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N20"/>
  <sheetViews>
    <sheetView workbookViewId="0"/>
  </sheetViews>
  <sheetFormatPr defaultRowHeight="15" x14ac:dyDescent="0.25"/>
  <cols>
    <col min="1" max="1" style="5" width="17.433571428571426" customWidth="1" bestFit="1"/>
    <col min="2" max="2" style="14" width="12.005" customWidth="1" bestFit="1"/>
    <col min="3" max="3" style="14" width="13.43357142857143" customWidth="1" bestFit="1"/>
    <col min="4" max="4" style="14" width="12.719285714285713" customWidth="1" bestFit="1"/>
    <col min="5" max="5" style="14" width="12.005" customWidth="1" bestFit="1"/>
    <col min="6" max="6" style="14" width="12.719285714285713" customWidth="1" bestFit="1"/>
    <col min="7" max="7" style="14" width="12.005" customWidth="1" bestFit="1"/>
    <col min="8" max="8" style="14" width="12.719285714285713" customWidth="1" bestFit="1"/>
    <col min="9" max="9" style="14" width="12.147857142857141" customWidth="1" bestFit="1"/>
    <col min="10" max="10" style="5" width="28.719285714285714" customWidth="1" bestFit="1"/>
    <col min="11" max="11" style="16" width="7.576428571428571" customWidth="1" bestFit="1"/>
    <col min="12" max="12" style="16" width="13.576428571428572" customWidth="1" bestFit="1"/>
    <col min="13" max="13" style="16" width="13.576428571428572" customWidth="1" bestFit="1"/>
    <col min="14" max="14" style="15" width="13.576428571428572" customWidth="1" bestFit="1"/>
  </cols>
  <sheetData>
    <row x14ac:dyDescent="0.25" r="1" customHeight="1" ht="18.75">
      <c r="A1" s="2" t="s">
        <v>346</v>
      </c>
      <c r="B1" s="7"/>
      <c r="C1" s="7"/>
      <c r="D1" s="7"/>
      <c r="E1" s="7"/>
      <c r="F1" s="7"/>
      <c r="G1" s="7"/>
      <c r="H1" s="7"/>
      <c r="I1" s="7"/>
      <c r="J1" s="2" t="s">
        <v>347</v>
      </c>
      <c r="K1" s="9"/>
      <c r="L1" s="9"/>
      <c r="M1" s="9"/>
      <c r="N1" s="8"/>
    </row>
    <row x14ac:dyDescent="0.25" r="2" customHeight="1" ht="18.75">
      <c r="A2" s="2"/>
      <c r="B2" s="7"/>
      <c r="C2" s="7"/>
      <c r="D2" s="7"/>
      <c r="E2" s="7"/>
      <c r="F2" s="7"/>
      <c r="G2" s="7"/>
      <c r="H2" s="7"/>
      <c r="I2" s="7"/>
      <c r="J2" s="22" t="s">
        <v>348</v>
      </c>
      <c r="K2" s="23" t="s">
        <v>35</v>
      </c>
      <c r="L2" s="23" t="s">
        <v>34</v>
      </c>
      <c r="M2" s="23" t="s">
        <v>32</v>
      </c>
      <c r="N2" s="24" t="s">
        <v>349</v>
      </c>
    </row>
    <row x14ac:dyDescent="0.25" r="3" customHeight="1" ht="18.75">
      <c r="A3" s="25" t="s">
        <v>350</v>
      </c>
      <c r="B3" s="26"/>
      <c r="C3" s="7"/>
      <c r="D3" s="7"/>
      <c r="E3" s="7"/>
      <c r="F3" s="7"/>
      <c r="G3" s="7"/>
      <c r="H3" s="7"/>
      <c r="I3" s="7"/>
      <c r="J3" s="22" t="s">
        <v>91</v>
      </c>
      <c r="K3" s="27">
        <v>85</v>
      </c>
      <c r="L3" s="27">
        <v>1835</v>
      </c>
      <c r="M3" s="27">
        <v>4</v>
      </c>
      <c r="N3" s="28">
        <f>$B$17 + ($B$18 * K3) + ($B$19 * L3) + ($B$20 * M3)</f>
      </c>
    </row>
    <row x14ac:dyDescent="0.25" r="4" customHeight="1" ht="18.75">
      <c r="A4" s="2" t="s">
        <v>351</v>
      </c>
      <c r="B4" s="11">
        <v>0.9013722686231497</v>
      </c>
      <c r="C4" s="7"/>
      <c r="D4" s="7"/>
      <c r="E4" s="7"/>
      <c r="F4" s="7"/>
      <c r="G4" s="7"/>
      <c r="H4" s="7"/>
      <c r="I4" s="7"/>
      <c r="J4" s="22" t="s">
        <v>95</v>
      </c>
      <c r="K4" s="27">
        <v>100</v>
      </c>
      <c r="L4" s="27">
        <v>2320</v>
      </c>
      <c r="M4" s="27">
        <v>4</v>
      </c>
      <c r="N4" s="28">
        <f>$B$17 + ($B$18 * K4) + ($B$19 * L4) + ($B$20 * M4)</f>
      </c>
    </row>
    <row x14ac:dyDescent="0.25" r="5" customHeight="1" ht="18.75">
      <c r="A5" s="2" t="s">
        <v>352</v>
      </c>
      <c r="B5" s="11">
        <v>0.8124719666428435</v>
      </c>
      <c r="C5" s="7"/>
      <c r="D5" s="7"/>
      <c r="E5" s="7"/>
      <c r="F5" s="7"/>
      <c r="G5" s="7"/>
      <c r="H5" s="7"/>
      <c r="I5" s="7"/>
      <c r="J5" s="22" t="s">
        <v>185</v>
      </c>
      <c r="K5" s="27">
        <v>98</v>
      </c>
      <c r="L5" s="27">
        <v>2046</v>
      </c>
      <c r="M5" s="27">
        <v>4</v>
      </c>
      <c r="N5" s="28">
        <f>$B$17 + ($B$18 * K5) + ($B$19 * L5) + ($B$20 * M5)</f>
      </c>
    </row>
    <row x14ac:dyDescent="0.25" r="6" customHeight="1" ht="18.75">
      <c r="A6" s="2" t="s">
        <v>353</v>
      </c>
      <c r="B6" s="11">
        <v>0.8110220076220407</v>
      </c>
      <c r="C6" s="7"/>
      <c r="D6" s="7"/>
      <c r="E6" s="7"/>
      <c r="F6" s="7"/>
      <c r="G6" s="7"/>
      <c r="H6" s="7"/>
      <c r="I6" s="7"/>
      <c r="J6" s="22" t="s">
        <v>162</v>
      </c>
      <c r="K6" s="27">
        <v>200</v>
      </c>
      <c r="L6" s="27">
        <v>2875</v>
      </c>
      <c r="M6" s="27">
        <v>6</v>
      </c>
      <c r="N6" s="28">
        <f>$B$17 + ($B$18 * K6) + ($B$19 * L6) + ($B$20 * M6)</f>
      </c>
    </row>
    <row x14ac:dyDescent="0.25" r="7" customHeight="1" ht="18.75">
      <c r="A7" s="2" t="s">
        <v>354</v>
      </c>
      <c r="B7" s="11">
        <v>16.732722714877234</v>
      </c>
      <c r="C7" s="7"/>
      <c r="D7" s="7"/>
      <c r="E7" s="7"/>
      <c r="F7" s="7"/>
      <c r="G7" s="7"/>
      <c r="H7" s="7"/>
      <c r="I7" s="7"/>
      <c r="J7" s="22" t="s">
        <v>317</v>
      </c>
      <c r="K7" s="27">
        <v>140</v>
      </c>
      <c r="L7" s="27">
        <v>2905</v>
      </c>
      <c r="M7" s="27">
        <v>4</v>
      </c>
      <c r="N7" s="28">
        <f>$B$17 + ($B$18 * K7) + ($B$19 * L7) + ($B$20 * M7)</f>
      </c>
    </row>
    <row x14ac:dyDescent="0.25" r="8" customHeight="1" ht="18.75">
      <c r="A8" s="29" t="s">
        <v>355</v>
      </c>
      <c r="B8" s="30">
        <v>392</v>
      </c>
      <c r="C8" s="7"/>
      <c r="D8" s="7"/>
      <c r="E8" s="7"/>
      <c r="F8" s="7"/>
      <c r="G8" s="7"/>
      <c r="H8" s="7"/>
      <c r="I8" s="7"/>
      <c r="J8" s="22" t="s">
        <v>342</v>
      </c>
      <c r="K8" s="27">
        <v>151</v>
      </c>
      <c r="L8" s="27">
        <v>3035</v>
      </c>
      <c r="M8" s="27">
        <v>4</v>
      </c>
      <c r="N8" s="28">
        <f>$B$17 + ($B$18 * K8) + ($B$19 * L8) + ($B$20 * M8)</f>
      </c>
    </row>
    <row x14ac:dyDescent="0.25" r="9" customHeight="1" ht="18.75">
      <c r="A9" s="2"/>
      <c r="B9" s="7"/>
      <c r="C9" s="7"/>
      <c r="D9" s="7"/>
      <c r="E9" s="7"/>
      <c r="F9" s="7"/>
      <c r="G9" s="7"/>
      <c r="H9" s="7"/>
      <c r="I9" s="7"/>
      <c r="J9" s="2"/>
      <c r="K9" s="9"/>
      <c r="L9" s="9"/>
      <c r="M9" s="9"/>
      <c r="N9" s="8"/>
    </row>
    <row x14ac:dyDescent="0.25" r="10" customHeight="1" ht="18.75">
      <c r="A10" s="2" t="s">
        <v>356</v>
      </c>
      <c r="B10" s="7"/>
      <c r="C10" s="7"/>
      <c r="D10" s="7"/>
      <c r="E10" s="7"/>
      <c r="F10" s="7"/>
      <c r="G10" s="7"/>
      <c r="H10" s="7"/>
      <c r="I10" s="7"/>
      <c r="J10" s="2"/>
      <c r="K10" s="9"/>
      <c r="L10" s="9"/>
      <c r="M10" s="9"/>
      <c r="N10" s="8"/>
    </row>
    <row x14ac:dyDescent="0.25" r="11" customHeight="1" ht="18.75">
      <c r="A11" s="31"/>
      <c r="B11" s="32" t="s">
        <v>357</v>
      </c>
      <c r="C11" s="32" t="s">
        <v>358</v>
      </c>
      <c r="D11" s="32" t="s">
        <v>359</v>
      </c>
      <c r="E11" s="32" t="s">
        <v>360</v>
      </c>
      <c r="F11" s="32" t="s">
        <v>361</v>
      </c>
      <c r="G11" s="7"/>
      <c r="H11" s="7"/>
      <c r="I11" s="7"/>
      <c r="J11" s="2"/>
      <c r="K11" s="9"/>
      <c r="L11" s="9"/>
      <c r="M11" s="9"/>
      <c r="N11" s="8"/>
    </row>
    <row x14ac:dyDescent="0.25" r="12" customHeight="1" ht="18.75">
      <c r="A12" s="2" t="s">
        <v>362</v>
      </c>
      <c r="B12" s="3">
        <v>3</v>
      </c>
      <c r="C12" s="11">
        <v>470659.8369853102</v>
      </c>
      <c r="D12" s="11">
        <v>156886.61232843672</v>
      </c>
      <c r="E12" s="11">
        <v>560.3413303315466</v>
      </c>
      <c r="F12" s="11">
        <v>1.3402863411082927e-140</v>
      </c>
      <c r="G12" s="7"/>
      <c r="H12" s="7"/>
      <c r="I12" s="7"/>
      <c r="J12" s="2"/>
      <c r="K12" s="9"/>
      <c r="L12" s="9"/>
      <c r="M12" s="9"/>
      <c r="N12" s="8"/>
    </row>
    <row x14ac:dyDescent="0.25" r="13" customHeight="1" ht="18.75">
      <c r="A13" s="2" t="s">
        <v>363</v>
      </c>
      <c r="B13" s="3">
        <v>388</v>
      </c>
      <c r="C13" s="11">
        <v>108633.79566775181</v>
      </c>
      <c r="D13" s="11">
        <v>279.98400945296856</v>
      </c>
      <c r="E13" s="7"/>
      <c r="F13" s="7"/>
      <c r="G13" s="7"/>
      <c r="H13" s="7"/>
      <c r="I13" s="7"/>
      <c r="J13" s="2"/>
      <c r="K13" s="9"/>
      <c r="L13" s="9"/>
      <c r="M13" s="9"/>
      <c r="N13" s="8"/>
    </row>
    <row x14ac:dyDescent="0.25" r="14" customHeight="1" ht="18.75">
      <c r="A14" s="29" t="s">
        <v>364</v>
      </c>
      <c r="B14" s="30">
        <v>391</v>
      </c>
      <c r="C14" s="33">
        <v>579293.632653062</v>
      </c>
      <c r="D14" s="34"/>
      <c r="E14" s="34"/>
      <c r="F14" s="34"/>
      <c r="G14" s="7"/>
      <c r="H14" s="7"/>
      <c r="I14" s="7"/>
      <c r="J14" s="2"/>
      <c r="K14" s="9"/>
      <c r="L14" s="9"/>
      <c r="M14" s="9"/>
      <c r="N14" s="8"/>
    </row>
    <row x14ac:dyDescent="0.25" r="15" customHeight="1" ht="18.75">
      <c r="A15" s="2"/>
      <c r="B15" s="7"/>
      <c r="C15" s="7"/>
      <c r="D15" s="7"/>
      <c r="E15" s="7"/>
      <c r="F15" s="7"/>
      <c r="G15" s="7"/>
      <c r="H15" s="7"/>
      <c r="I15" s="7"/>
      <c r="J15" s="2"/>
      <c r="K15" s="9"/>
      <c r="L15" s="9"/>
      <c r="M15" s="9"/>
      <c r="N15" s="8"/>
    </row>
    <row x14ac:dyDescent="0.25" r="16" customHeight="1" ht="18.75">
      <c r="A16" s="31"/>
      <c r="B16" s="32" t="s">
        <v>365</v>
      </c>
      <c r="C16" s="32" t="s">
        <v>354</v>
      </c>
      <c r="D16" s="32" t="s">
        <v>366</v>
      </c>
      <c r="E16" s="32" t="s">
        <v>367</v>
      </c>
      <c r="F16" s="32" t="s">
        <v>368</v>
      </c>
      <c r="G16" s="32" t="s">
        <v>369</v>
      </c>
      <c r="H16" s="32" t="s">
        <v>370</v>
      </c>
      <c r="I16" s="32" t="s">
        <v>371</v>
      </c>
      <c r="J16" s="2"/>
      <c r="K16" s="9"/>
      <c r="L16" s="9"/>
      <c r="M16" s="9"/>
      <c r="N16" s="8"/>
    </row>
    <row x14ac:dyDescent="0.25" r="17" customHeight="1" ht="18.75">
      <c r="A17" s="2" t="s">
        <v>372</v>
      </c>
      <c r="B17" s="11">
        <v>32.36927336331085</v>
      </c>
      <c r="C17" s="11">
        <v>5.76648762913111</v>
      </c>
      <c r="D17" s="11">
        <v>5.6133430686277626</v>
      </c>
      <c r="E17" s="11">
        <v>3.7847906055796825e-8</v>
      </c>
      <c r="F17" s="11">
        <v>21.03180003785576</v>
      </c>
      <c r="G17" s="11">
        <v>43.706746688765946</v>
      </c>
      <c r="H17" s="11">
        <v>21.03180003785576</v>
      </c>
      <c r="I17" s="11">
        <v>43.706746688765946</v>
      </c>
      <c r="J17" s="2"/>
      <c r="K17" s="9"/>
      <c r="L17" s="9"/>
      <c r="M17" s="9"/>
      <c r="N17" s="8"/>
    </row>
    <row x14ac:dyDescent="0.25" r="18" customHeight="1" ht="18.75">
      <c r="A18" s="2" t="s">
        <v>373</v>
      </c>
      <c r="B18" s="11">
        <v>-2.9311234996791815</v>
      </c>
      <c r="C18" s="11">
        <v>1.6086794515826432</v>
      </c>
      <c r="D18" s="11">
        <v>-1.8220680924316512</v>
      </c>
      <c r="E18" s="11">
        <v>0.06921434065691796</v>
      </c>
      <c r="F18" s="11">
        <v>-6.093943147360294</v>
      </c>
      <c r="G18" s="11">
        <v>0.2316961480019306</v>
      </c>
      <c r="H18" s="11">
        <v>-6.093943147360294</v>
      </c>
      <c r="I18" s="11">
        <v>0.2316961480019306</v>
      </c>
      <c r="J18" s="2"/>
      <c r="K18" s="9"/>
      <c r="L18" s="9"/>
      <c r="M18" s="9"/>
      <c r="N18" s="8"/>
    </row>
    <row x14ac:dyDescent="0.25" r="19" customHeight="1" ht="18.75">
      <c r="A19" s="2" t="s">
        <v>374</v>
      </c>
      <c r="B19" s="11">
        <v>0.2992784120884731</v>
      </c>
      <c r="C19" s="11">
        <v>0.03212966525298554</v>
      </c>
      <c r="D19" s="11">
        <v>9.314706821001309</v>
      </c>
      <c r="E19" s="11">
        <v>9.29343156107982e-19</v>
      </c>
      <c r="F19" s="11">
        <v>0.23610837753896471</v>
      </c>
      <c r="G19" s="11">
        <v>0.3624484466379815</v>
      </c>
      <c r="H19" s="11">
        <v>0.23610837753896471</v>
      </c>
      <c r="I19" s="11">
        <v>0.3624484466379815</v>
      </c>
      <c r="J19" s="2"/>
      <c r="K19" s="9"/>
      <c r="L19" s="9"/>
      <c r="M19" s="9"/>
      <c r="N19" s="8"/>
    </row>
    <row x14ac:dyDescent="0.25" r="20" customHeight="1" ht="18.75">
      <c r="A20" s="29" t="s">
        <v>375</v>
      </c>
      <c r="B20" s="33">
        <v>0.010060414510751249</v>
      </c>
      <c r="C20" s="33">
        <v>0.0027803381114456967</v>
      </c>
      <c r="D20" s="33">
        <v>3.6184140588283054</v>
      </c>
      <c r="E20" s="33">
        <v>0.00033562279555425734</v>
      </c>
      <c r="F20" s="33">
        <v>0.004594000429670233</v>
      </c>
      <c r="G20" s="33">
        <v>0.015526828591832263</v>
      </c>
      <c r="H20" s="33">
        <v>0.004594000429670233</v>
      </c>
      <c r="I20" s="33">
        <v>0.015526828591832263</v>
      </c>
      <c r="J20" s="2"/>
      <c r="K20" s="9"/>
      <c r="L20" s="9"/>
      <c r="M20" s="9"/>
      <c r="N20" s="8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399"/>
  <sheetViews>
    <sheetView workbookViewId="0" tabSelected="1"/>
  </sheetViews>
  <sheetFormatPr defaultRowHeight="15" x14ac:dyDescent="0.25"/>
  <cols>
    <col min="1" max="1" style="5" width="20.862142857142857" customWidth="1" bestFit="1"/>
    <col min="2" max="2" style="5" width="31.862142857142857" customWidth="1" bestFit="1"/>
    <col min="3" max="3" style="4" width="13.576428571428572" customWidth="1" bestFit="1"/>
    <col min="4" max="4" style="4" width="10.290714285714287" customWidth="1" bestFit="1"/>
    <col min="5" max="5" style="4" width="9.005" customWidth="1" bestFit="1"/>
    <col min="6" max="6" style="4" width="13.576428571428572" customWidth="1" bestFit="1"/>
    <col min="7" max="7" style="4" width="14.147857142857141" customWidth="1" bestFit="1"/>
    <col min="8" max="8" style="14" width="12.862142857142858" customWidth="1" bestFit="1"/>
    <col min="9" max="9" style="4" width="13.576428571428572" customWidth="1" bestFit="1"/>
    <col min="10" max="10" style="4" width="17.290714285714284" customWidth="1" bestFit="1"/>
    <col min="11" max="11" style="5" width="13.147857142857141" customWidth="1" bestFit="1"/>
  </cols>
  <sheetData>
    <row x14ac:dyDescent="0.25" r="1" customHeight="1" ht="18.75" customFormat="1" s="17">
      <c r="A1" s="18"/>
      <c r="B1" s="19" t="s">
        <v>31</v>
      </c>
      <c r="C1" s="20" t="s">
        <v>32</v>
      </c>
      <c r="D1" s="20" t="s">
        <v>33</v>
      </c>
      <c r="E1" s="20" t="s">
        <v>34</v>
      </c>
      <c r="F1" s="20" t="s">
        <v>35</v>
      </c>
      <c r="G1" s="20" t="s">
        <v>36</v>
      </c>
      <c r="H1" s="21" t="s">
        <v>37</v>
      </c>
      <c r="I1" s="20" t="s">
        <v>38</v>
      </c>
      <c r="J1" s="20" t="s">
        <v>39</v>
      </c>
      <c r="K1" s="19" t="s">
        <v>40</v>
      </c>
    </row>
    <row x14ac:dyDescent="0.25" r="2" customHeight="1" ht="18.75">
      <c r="A2" s="2"/>
      <c r="B2" s="2" t="s">
        <v>41</v>
      </c>
      <c r="C2" s="3">
        <v>4</v>
      </c>
      <c r="D2" s="3">
        <v>26</v>
      </c>
      <c r="E2" s="3">
        <v>2234</v>
      </c>
      <c r="F2" s="3">
        <v>121</v>
      </c>
      <c r="G2" s="3">
        <v>113</v>
      </c>
      <c r="H2" s="11">
        <f>IFERROR(G2/E2, "")</f>
      </c>
      <c r="I2" s="11">
        <v>12.5</v>
      </c>
      <c r="J2" s="3">
        <v>70</v>
      </c>
      <c r="K2" s="2" t="s">
        <v>27</v>
      </c>
    </row>
    <row x14ac:dyDescent="0.25" r="3" customHeight="1" ht="18.75">
      <c r="A3" s="2"/>
      <c r="B3" s="2" t="s">
        <v>42</v>
      </c>
      <c r="C3" s="3">
        <v>4</v>
      </c>
      <c r="D3" s="3">
        <v>25</v>
      </c>
      <c r="E3" s="3">
        <v>2375</v>
      </c>
      <c r="F3" s="3">
        <v>104</v>
      </c>
      <c r="G3" s="3">
        <v>95</v>
      </c>
      <c r="H3" s="11">
        <f>IFERROR(G3/E3, "")</f>
      </c>
      <c r="I3" s="11">
        <v>17.5</v>
      </c>
      <c r="J3" s="3">
        <v>70</v>
      </c>
      <c r="K3" s="2" t="s">
        <v>27</v>
      </c>
    </row>
    <row x14ac:dyDescent="0.25" r="4" customHeight="1" ht="18.75">
      <c r="A4" s="2"/>
      <c r="B4" s="2" t="s">
        <v>43</v>
      </c>
      <c r="C4" s="3">
        <v>4</v>
      </c>
      <c r="D4" s="3">
        <v>24</v>
      </c>
      <c r="E4" s="3">
        <v>2430</v>
      </c>
      <c r="F4" s="3">
        <v>107</v>
      </c>
      <c r="G4" s="3">
        <v>90</v>
      </c>
      <c r="H4" s="11">
        <f>IFERROR(G4/E4, "")</f>
      </c>
      <c r="I4" s="11">
        <v>14.5</v>
      </c>
      <c r="J4" s="3">
        <v>70</v>
      </c>
      <c r="K4" s="2" t="s">
        <v>27</v>
      </c>
    </row>
    <row x14ac:dyDescent="0.25" r="5" customHeight="1" ht="18.75">
      <c r="A5" s="2"/>
      <c r="B5" s="2" t="s">
        <v>44</v>
      </c>
      <c r="C5" s="3">
        <v>4</v>
      </c>
      <c r="D5" s="3">
        <v>25</v>
      </c>
      <c r="E5" s="3">
        <v>2672</v>
      </c>
      <c r="F5" s="3">
        <v>110</v>
      </c>
      <c r="G5" s="3">
        <v>87</v>
      </c>
      <c r="H5" s="11">
        <f>IFERROR(G5/E5, "")</f>
      </c>
      <c r="I5" s="11">
        <v>17.5</v>
      </c>
      <c r="J5" s="3">
        <v>70</v>
      </c>
      <c r="K5" s="2" t="s">
        <v>27</v>
      </c>
    </row>
    <row x14ac:dyDescent="0.25" r="6" customHeight="1" ht="18.75">
      <c r="A6" s="2"/>
      <c r="B6" s="2" t="s">
        <v>45</v>
      </c>
      <c r="C6" s="3">
        <v>4</v>
      </c>
      <c r="D6" s="3">
        <v>26</v>
      </c>
      <c r="E6" s="3">
        <v>1835</v>
      </c>
      <c r="F6" s="3">
        <v>97</v>
      </c>
      <c r="G6" s="3">
        <v>46</v>
      </c>
      <c r="H6" s="11">
        <f>IFERROR(G6/E6, "")</f>
      </c>
      <c r="I6" s="11">
        <v>20.5</v>
      </c>
      <c r="J6" s="3">
        <v>70</v>
      </c>
      <c r="K6" s="2" t="s">
        <v>27</v>
      </c>
    </row>
    <row x14ac:dyDescent="0.25" r="7" customHeight="1" ht="18.75">
      <c r="A7" s="2"/>
      <c r="B7" s="2" t="s">
        <v>46</v>
      </c>
      <c r="C7" s="3">
        <v>4</v>
      </c>
      <c r="D7" s="3">
        <v>28</v>
      </c>
      <c r="E7" s="3">
        <v>2123</v>
      </c>
      <c r="F7" s="3">
        <v>116</v>
      </c>
      <c r="G7" s="3">
        <v>90</v>
      </c>
      <c r="H7" s="11">
        <f>IFERROR(G7/E7, "")</f>
      </c>
      <c r="I7" s="3">
        <v>14</v>
      </c>
      <c r="J7" s="3">
        <v>71</v>
      </c>
      <c r="K7" s="2" t="s">
        <v>27</v>
      </c>
    </row>
    <row x14ac:dyDescent="0.25" r="8" customHeight="1" ht="18.75">
      <c r="A8" s="2"/>
      <c r="B8" s="2" t="s">
        <v>47</v>
      </c>
      <c r="C8" s="3">
        <v>4</v>
      </c>
      <c r="D8" s="3">
        <v>30</v>
      </c>
      <c r="E8" s="3">
        <v>2065</v>
      </c>
      <c r="F8" s="3">
        <v>88</v>
      </c>
      <c r="G8" s="3">
        <v>76</v>
      </c>
      <c r="H8" s="11">
        <f>IFERROR(G8/E8, "")</f>
      </c>
      <c r="I8" s="11">
        <v>14.5</v>
      </c>
      <c r="J8" s="3">
        <v>71</v>
      </c>
      <c r="K8" s="2" t="s">
        <v>27</v>
      </c>
    </row>
    <row x14ac:dyDescent="0.25" r="9" customHeight="1" ht="18.75">
      <c r="A9" s="2"/>
      <c r="B9" s="2" t="s">
        <v>48</v>
      </c>
      <c r="C9" s="3">
        <v>4</v>
      </c>
      <c r="D9" s="3">
        <v>30</v>
      </c>
      <c r="E9" s="3">
        <v>2074</v>
      </c>
      <c r="F9" s="3">
        <v>79</v>
      </c>
      <c r="G9" s="3">
        <v>70</v>
      </c>
      <c r="H9" s="11">
        <f>IFERROR(G9/E9, "")</f>
      </c>
      <c r="I9" s="11">
        <v>19.5</v>
      </c>
      <c r="J9" s="3">
        <v>71</v>
      </c>
      <c r="K9" s="2" t="s">
        <v>27</v>
      </c>
    </row>
    <row x14ac:dyDescent="0.25" r="10" customHeight="1" ht="18.75">
      <c r="A10" s="2"/>
      <c r="B10" s="2" t="s">
        <v>49</v>
      </c>
      <c r="C10" s="3">
        <v>4</v>
      </c>
      <c r="D10" s="3">
        <v>27</v>
      </c>
      <c r="E10" s="3">
        <v>1834</v>
      </c>
      <c r="F10" s="3">
        <v>97</v>
      </c>
      <c r="G10" s="3">
        <v>60</v>
      </c>
      <c r="H10" s="11">
        <f>IFERROR(G10/E10, "")</f>
      </c>
      <c r="I10" s="3">
        <v>19</v>
      </c>
      <c r="J10" s="3">
        <v>71</v>
      </c>
      <c r="K10" s="2" t="s">
        <v>27</v>
      </c>
    </row>
    <row x14ac:dyDescent="0.25" r="11" customHeight="1" ht="18.75">
      <c r="A11" s="2"/>
      <c r="B11" s="2" t="s">
        <v>50</v>
      </c>
      <c r="C11" s="3">
        <v>4</v>
      </c>
      <c r="D11" s="3">
        <v>18</v>
      </c>
      <c r="E11" s="3">
        <v>2933</v>
      </c>
      <c r="F11" s="3">
        <v>121</v>
      </c>
      <c r="G11" s="3">
        <v>112</v>
      </c>
      <c r="H11" s="11">
        <f>IFERROR(G11/E11, "")</f>
      </c>
      <c r="I11" s="11">
        <v>14.5</v>
      </c>
      <c r="J11" s="3">
        <v>72</v>
      </c>
      <c r="K11" s="2" t="s">
        <v>27</v>
      </c>
    </row>
    <row x14ac:dyDescent="0.25" r="12" customHeight="1" ht="18.75">
      <c r="A12" s="2"/>
      <c r="B12" s="2" t="s">
        <v>51</v>
      </c>
      <c r="C12" s="3">
        <v>4</v>
      </c>
      <c r="D12" s="3">
        <v>26</v>
      </c>
      <c r="E12" s="3">
        <v>2189</v>
      </c>
      <c r="F12" s="3">
        <v>96</v>
      </c>
      <c r="G12" s="3">
        <v>69</v>
      </c>
      <c r="H12" s="11">
        <f>IFERROR(G12/E12, "")</f>
      </c>
      <c r="I12" s="3">
        <v>18</v>
      </c>
      <c r="J12" s="3">
        <v>72</v>
      </c>
      <c r="K12" s="2" t="s">
        <v>27</v>
      </c>
    </row>
    <row x14ac:dyDescent="0.25" r="13" customHeight="1" ht="18.75">
      <c r="A13" s="2"/>
      <c r="B13" s="2" t="s">
        <v>52</v>
      </c>
      <c r="C13" s="3">
        <v>4</v>
      </c>
      <c r="D13" s="3">
        <v>22</v>
      </c>
      <c r="E13" s="3">
        <v>2511</v>
      </c>
      <c r="F13" s="3">
        <v>121</v>
      </c>
      <c r="G13" s="3">
        <v>76</v>
      </c>
      <c r="H13" s="11">
        <f>IFERROR(G13/E13, "")</f>
      </c>
      <c r="I13" s="3">
        <v>18</v>
      </c>
      <c r="J13" s="3">
        <v>72</v>
      </c>
      <c r="K13" s="2" t="s">
        <v>27</v>
      </c>
    </row>
    <row x14ac:dyDescent="0.25" r="14" customHeight="1" ht="18.75">
      <c r="A14" s="2"/>
      <c r="B14" s="2" t="s">
        <v>53</v>
      </c>
      <c r="C14" s="3">
        <v>4</v>
      </c>
      <c r="D14" s="3">
        <v>21</v>
      </c>
      <c r="E14" s="3">
        <v>2979</v>
      </c>
      <c r="F14" s="3">
        <v>120</v>
      </c>
      <c r="G14" s="3">
        <v>87</v>
      </c>
      <c r="H14" s="11">
        <f>IFERROR(G14/E14, "")</f>
      </c>
      <c r="I14" s="11">
        <v>19.5</v>
      </c>
      <c r="J14" s="3">
        <v>72</v>
      </c>
      <c r="K14" s="2" t="s">
        <v>27</v>
      </c>
    </row>
    <row x14ac:dyDescent="0.25" r="15" customHeight="1" ht="18.75">
      <c r="A15" s="2"/>
      <c r="B15" s="2" t="s">
        <v>54</v>
      </c>
      <c r="C15" s="3">
        <v>4</v>
      </c>
      <c r="D15" s="3">
        <v>23</v>
      </c>
      <c r="E15" s="3">
        <v>2254</v>
      </c>
      <c r="F15" s="3">
        <v>97</v>
      </c>
      <c r="G15" s="3">
        <v>54</v>
      </c>
      <c r="H15" s="11">
        <f>IFERROR(G15/E15, "")</f>
      </c>
      <c r="I15" s="11">
        <v>23.5</v>
      </c>
      <c r="J15" s="3">
        <v>72</v>
      </c>
      <c r="K15" s="2" t="s">
        <v>27</v>
      </c>
    </row>
    <row x14ac:dyDescent="0.25" r="16" customHeight="1" ht="18.75">
      <c r="A16" s="2"/>
      <c r="B16" s="2" t="s">
        <v>55</v>
      </c>
      <c r="C16" s="3">
        <v>4</v>
      </c>
      <c r="D16" s="3">
        <v>24</v>
      </c>
      <c r="E16" s="3">
        <v>2660</v>
      </c>
      <c r="F16" s="3">
        <v>121</v>
      </c>
      <c r="G16" s="3">
        <v>110</v>
      </c>
      <c r="H16" s="11">
        <f>IFERROR(G16/E16, "")</f>
      </c>
      <c r="I16" s="3">
        <v>14</v>
      </c>
      <c r="J16" s="3">
        <v>73</v>
      </c>
      <c r="K16" s="2" t="s">
        <v>27</v>
      </c>
    </row>
    <row x14ac:dyDescent="0.25" r="17" customHeight="1" ht="18.75">
      <c r="A17" s="2"/>
      <c r="B17" s="2" t="s">
        <v>56</v>
      </c>
      <c r="C17" s="3">
        <v>4</v>
      </c>
      <c r="D17" s="3">
        <v>26</v>
      </c>
      <c r="E17" s="3">
        <v>2265</v>
      </c>
      <c r="F17" s="3">
        <v>98</v>
      </c>
      <c r="G17" s="3">
        <v>90</v>
      </c>
      <c r="H17" s="11">
        <f>IFERROR(G17/E17, "")</f>
      </c>
      <c r="I17" s="11">
        <v>15.5</v>
      </c>
      <c r="J17" s="3">
        <v>73</v>
      </c>
      <c r="K17" s="2" t="s">
        <v>27</v>
      </c>
    </row>
    <row x14ac:dyDescent="0.25" r="18" customHeight="1" ht="18.75">
      <c r="A18" s="2"/>
      <c r="B18" s="2" t="s">
        <v>57</v>
      </c>
      <c r="C18" s="3">
        <v>4</v>
      </c>
      <c r="D18" s="3">
        <v>19</v>
      </c>
      <c r="E18" s="3">
        <v>2868</v>
      </c>
      <c r="F18" s="3">
        <v>121</v>
      </c>
      <c r="G18" s="3">
        <v>112</v>
      </c>
      <c r="H18" s="11">
        <f>IFERROR(G18/E18, "")</f>
      </c>
      <c r="I18" s="11">
        <v>15.5</v>
      </c>
      <c r="J18" s="3">
        <v>73</v>
      </c>
      <c r="K18" s="2" t="s">
        <v>27</v>
      </c>
    </row>
    <row x14ac:dyDescent="0.25" r="19" customHeight="1" ht="18.75">
      <c r="A19" s="2"/>
      <c r="B19" s="2" t="s">
        <v>58</v>
      </c>
      <c r="C19" s="3">
        <v>4</v>
      </c>
      <c r="D19" s="3">
        <v>20</v>
      </c>
      <c r="E19" s="3">
        <v>2582</v>
      </c>
      <c r="F19" s="3">
        <v>114</v>
      </c>
      <c r="G19" s="3">
        <v>91</v>
      </c>
      <c r="H19" s="11">
        <f>IFERROR(G19/E19, "")</f>
      </c>
      <c r="I19" s="3">
        <v>14</v>
      </c>
      <c r="J19" s="3">
        <v>73</v>
      </c>
      <c r="K19" s="2" t="s">
        <v>27</v>
      </c>
    </row>
    <row x14ac:dyDescent="0.25" r="20" customHeight="1" ht="18.75">
      <c r="A20" s="2"/>
      <c r="B20" s="2" t="s">
        <v>59</v>
      </c>
      <c r="C20" s="3">
        <v>4</v>
      </c>
      <c r="D20" s="3">
        <v>24</v>
      </c>
      <c r="E20" s="3">
        <v>2158</v>
      </c>
      <c r="F20" s="3">
        <v>116</v>
      </c>
      <c r="G20" s="3">
        <v>75</v>
      </c>
      <c r="H20" s="11">
        <f>IFERROR(G20/E20, "")</f>
      </c>
      <c r="I20" s="11">
        <v>15.5</v>
      </c>
      <c r="J20" s="3">
        <v>73</v>
      </c>
      <c r="K20" s="2" t="s">
        <v>27</v>
      </c>
    </row>
    <row x14ac:dyDescent="0.25" r="21" customHeight="1" ht="18.75">
      <c r="A21" s="2"/>
      <c r="B21" s="2" t="s">
        <v>60</v>
      </c>
      <c r="C21" s="3">
        <v>4</v>
      </c>
      <c r="D21" s="3">
        <v>29</v>
      </c>
      <c r="E21" s="3">
        <v>1867</v>
      </c>
      <c r="F21" s="3">
        <v>68</v>
      </c>
      <c r="G21" s="3">
        <v>49</v>
      </c>
      <c r="H21" s="11">
        <f>IFERROR(G21/E21, "")</f>
      </c>
      <c r="I21" s="11">
        <v>19.5</v>
      </c>
      <c r="J21" s="3">
        <v>73</v>
      </c>
      <c r="K21" s="2" t="s">
        <v>27</v>
      </c>
    </row>
    <row x14ac:dyDescent="0.25" r="22" customHeight="1" ht="18.75">
      <c r="A22" s="2"/>
      <c r="B22" s="2" t="s">
        <v>61</v>
      </c>
      <c r="C22" s="3">
        <v>4</v>
      </c>
      <c r="D22" s="3">
        <v>26</v>
      </c>
      <c r="E22" s="3">
        <v>1950</v>
      </c>
      <c r="F22" s="3">
        <v>97</v>
      </c>
      <c r="G22" s="3">
        <v>46</v>
      </c>
      <c r="H22" s="11">
        <f>IFERROR(G22/E22, "")</f>
      </c>
      <c r="I22" s="3">
        <v>21</v>
      </c>
      <c r="J22" s="3">
        <v>73</v>
      </c>
      <c r="K22" s="2" t="s">
        <v>27</v>
      </c>
    </row>
    <row x14ac:dyDescent="0.25" r="23" customHeight="1" ht="18.75">
      <c r="A23" s="2"/>
      <c r="B23" s="2" t="s">
        <v>62</v>
      </c>
      <c r="C23" s="3">
        <v>4</v>
      </c>
      <c r="D23" s="3">
        <v>29</v>
      </c>
      <c r="E23" s="3">
        <v>2219</v>
      </c>
      <c r="F23" s="3">
        <v>98</v>
      </c>
      <c r="G23" s="3">
        <v>83</v>
      </c>
      <c r="H23" s="11">
        <f>IFERROR(G23/E23, "")</f>
      </c>
      <c r="I23" s="11">
        <v>16.5</v>
      </c>
      <c r="J23" s="3">
        <v>74</v>
      </c>
      <c r="K23" s="2" t="s">
        <v>27</v>
      </c>
    </row>
    <row x14ac:dyDescent="0.25" r="24" customHeight="1" ht="18.75">
      <c r="A24" s="2"/>
      <c r="B24" s="2" t="s">
        <v>60</v>
      </c>
      <c r="C24" s="3">
        <v>4</v>
      </c>
      <c r="D24" s="3">
        <v>24</v>
      </c>
      <c r="E24" s="3">
        <v>2108</v>
      </c>
      <c r="F24" s="3">
        <v>90</v>
      </c>
      <c r="G24" s="3">
        <v>75</v>
      </c>
      <c r="H24" s="11">
        <f>IFERROR(G24/E24, "")</f>
      </c>
      <c r="I24" s="11">
        <v>15.5</v>
      </c>
      <c r="J24" s="3">
        <v>74</v>
      </c>
      <c r="K24" s="2" t="s">
        <v>27</v>
      </c>
    </row>
    <row x14ac:dyDescent="0.25" r="25" customHeight="1" ht="18.75">
      <c r="A25" s="2"/>
      <c r="B25" s="2" t="s">
        <v>63</v>
      </c>
      <c r="C25" s="3">
        <v>4</v>
      </c>
      <c r="D25" s="3">
        <v>26</v>
      </c>
      <c r="E25" s="3">
        <v>1963</v>
      </c>
      <c r="F25" s="3">
        <v>79</v>
      </c>
      <c r="G25" s="3">
        <v>67</v>
      </c>
      <c r="H25" s="11">
        <f>IFERROR(G25/E25, "")</f>
      </c>
      <c r="I25" s="11">
        <v>15.5</v>
      </c>
      <c r="J25" s="3">
        <v>74</v>
      </c>
      <c r="K25" s="2" t="s">
        <v>27</v>
      </c>
    </row>
    <row x14ac:dyDescent="0.25" r="26" customHeight="1" ht="18.75">
      <c r="A26" s="2"/>
      <c r="B26" s="2" t="s">
        <v>59</v>
      </c>
      <c r="C26" s="3">
        <v>4</v>
      </c>
      <c r="D26" s="3">
        <v>26</v>
      </c>
      <c r="E26" s="3">
        <v>2300</v>
      </c>
      <c r="F26" s="3">
        <v>97</v>
      </c>
      <c r="G26" s="3">
        <v>78</v>
      </c>
      <c r="H26" s="11">
        <f>IFERROR(G26/E26, "")</f>
      </c>
      <c r="I26" s="11">
        <v>14.5</v>
      </c>
      <c r="J26" s="3">
        <v>74</v>
      </c>
      <c r="K26" s="2" t="s">
        <v>27</v>
      </c>
    </row>
    <row x14ac:dyDescent="0.25" r="27" customHeight="1" ht="18.75">
      <c r="A27" s="2"/>
      <c r="B27" s="2" t="s">
        <v>64</v>
      </c>
      <c r="C27" s="3">
        <v>4</v>
      </c>
      <c r="D27" s="3">
        <v>31</v>
      </c>
      <c r="E27" s="3">
        <v>2000</v>
      </c>
      <c r="F27" s="3">
        <v>79</v>
      </c>
      <c r="G27" s="3">
        <v>67</v>
      </c>
      <c r="H27" s="11">
        <f>IFERROR(G27/E27, "")</f>
      </c>
      <c r="I27" s="3">
        <v>16</v>
      </c>
      <c r="J27" s="3">
        <v>74</v>
      </c>
      <c r="K27" s="2" t="s">
        <v>27</v>
      </c>
    </row>
    <row x14ac:dyDescent="0.25" r="28" customHeight="1" ht="18.75">
      <c r="A28" s="2"/>
      <c r="B28" s="2" t="s">
        <v>65</v>
      </c>
      <c r="C28" s="3">
        <v>4</v>
      </c>
      <c r="D28" s="3">
        <v>26</v>
      </c>
      <c r="E28" s="3">
        <v>2246</v>
      </c>
      <c r="F28" s="3">
        <v>116</v>
      </c>
      <c r="G28" s="3">
        <v>75</v>
      </c>
      <c r="H28" s="11">
        <f>IFERROR(G28/E28, "")</f>
      </c>
      <c r="I28" s="3">
        <v>14</v>
      </c>
      <c r="J28" s="3">
        <v>74</v>
      </c>
      <c r="K28" s="2" t="s">
        <v>27</v>
      </c>
    </row>
    <row x14ac:dyDescent="0.25" r="29" customHeight="1" ht="18.75">
      <c r="A29" s="2"/>
      <c r="B29" s="2" t="s">
        <v>55</v>
      </c>
      <c r="C29" s="3">
        <v>4</v>
      </c>
      <c r="D29" s="3">
        <v>25</v>
      </c>
      <c r="E29" s="3">
        <v>2671</v>
      </c>
      <c r="F29" s="3">
        <v>121</v>
      </c>
      <c r="G29" s="3">
        <v>115</v>
      </c>
      <c r="H29" s="11">
        <f>IFERROR(G29/E29, "")</f>
      </c>
      <c r="I29" s="11">
        <v>13.5</v>
      </c>
      <c r="J29" s="3">
        <v>75</v>
      </c>
      <c r="K29" s="2" t="s">
        <v>27</v>
      </c>
    </row>
    <row x14ac:dyDescent="0.25" r="30" customHeight="1" ht="18.75">
      <c r="A30" s="2"/>
      <c r="B30" s="2" t="s">
        <v>66</v>
      </c>
      <c r="C30" s="3">
        <v>4</v>
      </c>
      <c r="D30" s="3">
        <v>29</v>
      </c>
      <c r="E30" s="3">
        <v>1937</v>
      </c>
      <c r="F30" s="3">
        <v>90</v>
      </c>
      <c r="G30" s="3">
        <v>70</v>
      </c>
      <c r="H30" s="11">
        <f>IFERROR(G30/E30, "")</f>
      </c>
      <c r="I30" s="3">
        <v>14</v>
      </c>
      <c r="J30" s="3">
        <v>75</v>
      </c>
      <c r="K30" s="2" t="s">
        <v>27</v>
      </c>
    </row>
    <row x14ac:dyDescent="0.25" r="31" customHeight="1" ht="18.75">
      <c r="A31" s="2"/>
      <c r="B31" s="2" t="s">
        <v>58</v>
      </c>
      <c r="C31" s="3">
        <v>4</v>
      </c>
      <c r="D31" s="3">
        <v>23</v>
      </c>
      <c r="E31" s="3">
        <v>2694</v>
      </c>
      <c r="F31" s="3">
        <v>115</v>
      </c>
      <c r="G31" s="3">
        <v>95</v>
      </c>
      <c r="H31" s="11">
        <f>IFERROR(G31/E31, "")</f>
      </c>
      <c r="I31" s="3">
        <v>15</v>
      </c>
      <c r="J31" s="3">
        <v>75</v>
      </c>
      <c r="K31" s="2" t="s">
        <v>27</v>
      </c>
    </row>
    <row x14ac:dyDescent="0.25" r="32" customHeight="1" ht="18.75">
      <c r="A32" s="2"/>
      <c r="B32" s="2" t="s">
        <v>67</v>
      </c>
      <c r="C32" s="3">
        <v>4</v>
      </c>
      <c r="D32" s="3">
        <v>22</v>
      </c>
      <c r="E32" s="3">
        <v>2945</v>
      </c>
      <c r="F32" s="3">
        <v>121</v>
      </c>
      <c r="G32" s="3">
        <v>98</v>
      </c>
      <c r="H32" s="11">
        <f>IFERROR(G32/E32, "")</f>
      </c>
      <c r="I32" s="11">
        <v>14.5</v>
      </c>
      <c r="J32" s="3">
        <v>75</v>
      </c>
      <c r="K32" s="2" t="s">
        <v>27</v>
      </c>
    </row>
    <row x14ac:dyDescent="0.25" r="33" customHeight="1" ht="18.75">
      <c r="A33" s="2"/>
      <c r="B33" s="2" t="s">
        <v>63</v>
      </c>
      <c r="C33" s="3">
        <v>4</v>
      </c>
      <c r="D33" s="3">
        <v>25</v>
      </c>
      <c r="E33" s="3">
        <v>2223</v>
      </c>
      <c r="F33" s="3">
        <v>90</v>
      </c>
      <c r="G33" s="3">
        <v>71</v>
      </c>
      <c r="H33" s="11">
        <f>IFERROR(G33/E33, "")</f>
      </c>
      <c r="I33" s="11">
        <v>16.5</v>
      </c>
      <c r="J33" s="3">
        <v>75</v>
      </c>
      <c r="K33" s="2" t="s">
        <v>27</v>
      </c>
    </row>
    <row x14ac:dyDescent="0.25" r="34" customHeight="1" ht="18.75">
      <c r="A34" s="2"/>
      <c r="B34" s="2" t="s">
        <v>44</v>
      </c>
      <c r="C34" s="3">
        <v>4</v>
      </c>
      <c r="D34" s="3">
        <v>23</v>
      </c>
      <c r="E34" s="3">
        <v>2957</v>
      </c>
      <c r="F34" s="3">
        <v>120</v>
      </c>
      <c r="G34" s="3">
        <v>88</v>
      </c>
      <c r="H34" s="11">
        <f>IFERROR(G34/E34, "")</f>
      </c>
      <c r="I34" s="3">
        <v>17</v>
      </c>
      <c r="J34" s="3">
        <v>75</v>
      </c>
      <c r="K34" s="2" t="s">
        <v>27</v>
      </c>
    </row>
    <row x14ac:dyDescent="0.25" r="35" customHeight="1" ht="18.75">
      <c r="A35" s="2"/>
      <c r="B35" s="2" t="s">
        <v>66</v>
      </c>
      <c r="C35" s="3">
        <v>4</v>
      </c>
      <c r="D35" s="11">
        <v>29.5</v>
      </c>
      <c r="E35" s="3">
        <v>1825</v>
      </c>
      <c r="F35" s="3">
        <v>97</v>
      </c>
      <c r="G35" s="3">
        <v>71</v>
      </c>
      <c r="H35" s="11">
        <f>IFERROR(G35/E35, "")</f>
      </c>
      <c r="I35" s="11">
        <v>12.2</v>
      </c>
      <c r="J35" s="3">
        <v>76</v>
      </c>
      <c r="K35" s="2" t="s">
        <v>27</v>
      </c>
    </row>
    <row x14ac:dyDescent="0.25" r="36" customHeight="1" ht="18.75">
      <c r="A36" s="2"/>
      <c r="B36" s="2" t="s">
        <v>68</v>
      </c>
      <c r="C36" s="3">
        <v>4</v>
      </c>
      <c r="D36" s="3">
        <v>27</v>
      </c>
      <c r="E36" s="3">
        <v>2202</v>
      </c>
      <c r="F36" s="3">
        <v>101</v>
      </c>
      <c r="G36" s="3">
        <v>83</v>
      </c>
      <c r="H36" s="11">
        <f>IFERROR(G36/E36, "")</f>
      </c>
      <c r="I36" s="11">
        <v>15.3</v>
      </c>
      <c r="J36" s="3">
        <v>76</v>
      </c>
      <c r="K36" s="2" t="s">
        <v>27</v>
      </c>
    </row>
    <row x14ac:dyDescent="0.25" r="37" customHeight="1" ht="18.75">
      <c r="A37" s="2"/>
      <c r="B37" s="2" t="s">
        <v>46</v>
      </c>
      <c r="C37" s="3">
        <v>4</v>
      </c>
      <c r="D37" s="3">
        <v>25</v>
      </c>
      <c r="E37" s="3">
        <v>2220</v>
      </c>
      <c r="F37" s="3">
        <v>116</v>
      </c>
      <c r="G37" s="3">
        <v>81</v>
      </c>
      <c r="H37" s="11">
        <f>IFERROR(G37/E37, "")</f>
      </c>
      <c r="I37" s="11">
        <v>16.9</v>
      </c>
      <c r="J37" s="3">
        <v>76</v>
      </c>
      <c r="K37" s="2" t="s">
        <v>27</v>
      </c>
    </row>
    <row x14ac:dyDescent="0.25" r="38" customHeight="1" ht="18.75">
      <c r="A38" s="2"/>
      <c r="B38" s="2" t="s">
        <v>69</v>
      </c>
      <c r="C38" s="3">
        <v>4</v>
      </c>
      <c r="D38" s="3">
        <v>29</v>
      </c>
      <c r="E38" s="3">
        <v>1937</v>
      </c>
      <c r="F38" s="3">
        <v>90</v>
      </c>
      <c r="G38" s="3">
        <v>70</v>
      </c>
      <c r="H38" s="11">
        <f>IFERROR(G38/E38, "")</f>
      </c>
      <c r="I38" s="11">
        <v>14.2</v>
      </c>
      <c r="J38" s="3">
        <v>76</v>
      </c>
      <c r="K38" s="2" t="s">
        <v>27</v>
      </c>
    </row>
    <row x14ac:dyDescent="0.25" r="39" customHeight="1" ht="18.75">
      <c r="A39" s="2"/>
      <c r="B39" s="2" t="s">
        <v>70</v>
      </c>
      <c r="C39" s="3">
        <v>4</v>
      </c>
      <c r="D39" s="3">
        <v>28</v>
      </c>
      <c r="E39" s="3">
        <v>2464</v>
      </c>
      <c r="F39" s="3">
        <v>107</v>
      </c>
      <c r="G39" s="3">
        <v>86</v>
      </c>
      <c r="H39" s="11">
        <f>IFERROR(G39/E39, "")</f>
      </c>
      <c r="I39" s="11">
        <v>15.5</v>
      </c>
      <c r="J39" s="3">
        <v>76</v>
      </c>
      <c r="K39" s="2" t="s">
        <v>27</v>
      </c>
    </row>
    <row x14ac:dyDescent="0.25" r="40" customHeight="1" ht="18.75">
      <c r="A40" s="2"/>
      <c r="B40" s="2" t="s">
        <v>71</v>
      </c>
      <c r="C40" s="3">
        <v>4</v>
      </c>
      <c r="D40" s="3">
        <v>20</v>
      </c>
      <c r="E40" s="3">
        <v>3150</v>
      </c>
      <c r="F40" s="3">
        <v>130</v>
      </c>
      <c r="G40" s="3">
        <v>102</v>
      </c>
      <c r="H40" s="11">
        <f>IFERROR(G40/E40, "")</f>
      </c>
      <c r="I40" s="11">
        <v>15.7</v>
      </c>
      <c r="J40" s="3">
        <v>76</v>
      </c>
      <c r="K40" s="2" t="s">
        <v>27</v>
      </c>
    </row>
    <row x14ac:dyDescent="0.25" r="41" customHeight="1" ht="18.75">
      <c r="A41" s="2"/>
      <c r="B41" s="2" t="s">
        <v>44</v>
      </c>
      <c r="C41" s="3">
        <v>4</v>
      </c>
      <c r="D41" s="3">
        <v>19</v>
      </c>
      <c r="E41" s="3">
        <v>3270</v>
      </c>
      <c r="F41" s="3">
        <v>120</v>
      </c>
      <c r="G41" s="3">
        <v>88</v>
      </c>
      <c r="H41" s="11">
        <f>IFERROR(G41/E41, "")</f>
      </c>
      <c r="I41" s="11">
        <v>21.9</v>
      </c>
      <c r="J41" s="3">
        <v>76</v>
      </c>
      <c r="K41" s="2" t="s">
        <v>27</v>
      </c>
    </row>
    <row x14ac:dyDescent="0.25" r="42" customHeight="1" ht="18.75">
      <c r="A42" s="2"/>
      <c r="B42" s="2" t="s">
        <v>72</v>
      </c>
      <c r="C42" s="3">
        <v>6</v>
      </c>
      <c r="D42" s="11">
        <v>16.5</v>
      </c>
      <c r="E42" s="3">
        <v>3820</v>
      </c>
      <c r="F42" s="3">
        <v>168</v>
      </c>
      <c r="G42" s="3">
        <v>120</v>
      </c>
      <c r="H42" s="11">
        <f>IFERROR(G42/E42, "")</f>
      </c>
      <c r="I42" s="11">
        <v>16.7</v>
      </c>
      <c r="J42" s="3">
        <v>76</v>
      </c>
      <c r="K42" s="2" t="s">
        <v>27</v>
      </c>
    </row>
    <row x14ac:dyDescent="0.25" r="43" customHeight="1" ht="18.75">
      <c r="A43" s="2"/>
      <c r="B43" s="2" t="s">
        <v>73</v>
      </c>
      <c r="C43" s="3">
        <v>4</v>
      </c>
      <c r="D43" s="11">
        <v>21.5</v>
      </c>
      <c r="E43" s="3">
        <v>2600</v>
      </c>
      <c r="F43" s="3">
        <v>121</v>
      </c>
      <c r="G43" s="3">
        <v>110</v>
      </c>
      <c r="H43" s="11">
        <f>IFERROR(G43/E43, "")</f>
      </c>
      <c r="I43" s="11">
        <v>12.8</v>
      </c>
      <c r="J43" s="3">
        <v>77</v>
      </c>
      <c r="K43" s="2" t="s">
        <v>27</v>
      </c>
    </row>
    <row x14ac:dyDescent="0.25" r="44" customHeight="1" ht="18.75">
      <c r="A44" s="2"/>
      <c r="B44" s="2" t="s">
        <v>74</v>
      </c>
      <c r="C44" s="3">
        <v>4</v>
      </c>
      <c r="D44" s="3">
        <v>29</v>
      </c>
      <c r="E44" s="3">
        <v>1940</v>
      </c>
      <c r="F44" s="3">
        <v>97</v>
      </c>
      <c r="G44" s="3">
        <v>78</v>
      </c>
      <c r="H44" s="11">
        <f>IFERROR(G44/E44, "")</f>
      </c>
      <c r="I44" s="11">
        <v>14.5</v>
      </c>
      <c r="J44" s="3">
        <v>77</v>
      </c>
      <c r="K44" s="2" t="s">
        <v>27</v>
      </c>
    </row>
    <row x14ac:dyDescent="0.25" r="45" customHeight="1" ht="18.75">
      <c r="A45" s="2"/>
      <c r="B45" s="2" t="s">
        <v>63</v>
      </c>
      <c r="C45" s="3">
        <v>4</v>
      </c>
      <c r="D45" s="11">
        <v>30.5</v>
      </c>
      <c r="E45" s="3">
        <v>2190</v>
      </c>
      <c r="F45" s="3">
        <v>97</v>
      </c>
      <c r="G45" s="3">
        <v>78</v>
      </c>
      <c r="H45" s="11">
        <f>IFERROR(G45/E45, "")</f>
      </c>
      <c r="I45" s="11">
        <v>14.1</v>
      </c>
      <c r="J45" s="3">
        <v>77</v>
      </c>
      <c r="K45" s="2" t="s">
        <v>27</v>
      </c>
    </row>
    <row x14ac:dyDescent="0.25" r="46" customHeight="1" ht="18.75">
      <c r="A46" s="2"/>
      <c r="B46" s="2" t="s">
        <v>75</v>
      </c>
      <c r="C46" s="3">
        <v>4</v>
      </c>
      <c r="D46" s="3">
        <v>36</v>
      </c>
      <c r="E46" s="3">
        <v>1825</v>
      </c>
      <c r="F46" s="3">
        <v>79</v>
      </c>
      <c r="G46" s="3">
        <v>58</v>
      </c>
      <c r="H46" s="11">
        <f>IFERROR(G46/E46, "")</f>
      </c>
      <c r="I46" s="11">
        <v>18.6</v>
      </c>
      <c r="J46" s="3">
        <v>77</v>
      </c>
      <c r="K46" s="2" t="s">
        <v>27</v>
      </c>
    </row>
    <row x14ac:dyDescent="0.25" r="47" customHeight="1" ht="18.75">
      <c r="A47" s="2"/>
      <c r="B47" s="2" t="s">
        <v>76</v>
      </c>
      <c r="C47" s="3">
        <v>4</v>
      </c>
      <c r="D47" s="11">
        <v>21.6</v>
      </c>
      <c r="E47" s="3">
        <v>2795</v>
      </c>
      <c r="F47" s="3">
        <v>121</v>
      </c>
      <c r="G47" s="3">
        <v>115</v>
      </c>
      <c r="H47" s="11">
        <f>IFERROR(G47/E47, "")</f>
      </c>
      <c r="I47" s="11">
        <v>15.7</v>
      </c>
      <c r="J47" s="3">
        <v>78</v>
      </c>
      <c r="K47" s="2" t="s">
        <v>27</v>
      </c>
    </row>
    <row x14ac:dyDescent="0.25" r="48" customHeight="1" ht="18.75">
      <c r="A48" s="2"/>
      <c r="B48" s="2" t="s">
        <v>77</v>
      </c>
      <c r="C48" s="3">
        <v>4</v>
      </c>
      <c r="D48" s="11">
        <v>31.5</v>
      </c>
      <c r="E48" s="3">
        <v>1990</v>
      </c>
      <c r="F48" s="3">
        <v>89</v>
      </c>
      <c r="G48" s="3">
        <v>71</v>
      </c>
      <c r="H48" s="11">
        <f>IFERROR(G48/E48, "")</f>
      </c>
      <c r="I48" s="11">
        <v>14.9</v>
      </c>
      <c r="J48" s="3">
        <v>78</v>
      </c>
      <c r="K48" s="2" t="s">
        <v>27</v>
      </c>
    </row>
    <row x14ac:dyDescent="0.25" r="49" customHeight="1" ht="18.75">
      <c r="A49" s="2"/>
      <c r="B49" s="2" t="s">
        <v>78</v>
      </c>
      <c r="C49" s="3">
        <v>4</v>
      </c>
      <c r="D49" s="11">
        <v>43.1</v>
      </c>
      <c r="E49" s="3">
        <v>1985</v>
      </c>
      <c r="F49" s="3">
        <v>90</v>
      </c>
      <c r="G49" s="3">
        <v>48</v>
      </c>
      <c r="H49" s="11">
        <f>IFERROR(G49/E49, "")</f>
      </c>
      <c r="I49" s="11">
        <v>21.5</v>
      </c>
      <c r="J49" s="3">
        <v>78</v>
      </c>
      <c r="K49" s="2" t="s">
        <v>27</v>
      </c>
    </row>
    <row x14ac:dyDescent="0.25" r="50" customHeight="1" ht="18.75">
      <c r="A50" s="2"/>
      <c r="B50" s="2" t="s">
        <v>79</v>
      </c>
      <c r="C50" s="3">
        <v>5</v>
      </c>
      <c r="D50" s="11">
        <v>20.3</v>
      </c>
      <c r="E50" s="3">
        <v>2830</v>
      </c>
      <c r="F50" s="3">
        <v>131</v>
      </c>
      <c r="G50" s="3">
        <v>103</v>
      </c>
      <c r="H50" s="11">
        <f>IFERROR(G50/E50, "")</f>
      </c>
      <c r="I50" s="11">
        <v>15.9</v>
      </c>
      <c r="J50" s="3">
        <v>78</v>
      </c>
      <c r="K50" s="2" t="s">
        <v>27</v>
      </c>
    </row>
    <row x14ac:dyDescent="0.25" r="51" customHeight="1" ht="18.75">
      <c r="A51" s="2"/>
      <c r="B51" s="2" t="s">
        <v>80</v>
      </c>
      <c r="C51" s="3">
        <v>6</v>
      </c>
      <c r="D51" s="3">
        <v>17</v>
      </c>
      <c r="E51" s="3">
        <v>3140</v>
      </c>
      <c r="F51" s="3">
        <v>163</v>
      </c>
      <c r="G51" s="3">
        <v>125</v>
      </c>
      <c r="H51" s="11">
        <f>IFERROR(G51/E51, "")</f>
      </c>
      <c r="I51" s="11">
        <v>13.6</v>
      </c>
      <c r="J51" s="3">
        <v>78</v>
      </c>
      <c r="K51" s="2" t="s">
        <v>27</v>
      </c>
    </row>
    <row x14ac:dyDescent="0.25" r="52" customHeight="1" ht="18.75">
      <c r="A52" s="2"/>
      <c r="B52" s="2" t="s">
        <v>81</v>
      </c>
      <c r="C52" s="3">
        <v>6</v>
      </c>
      <c r="D52" s="11">
        <v>16.2</v>
      </c>
      <c r="E52" s="3">
        <v>3410</v>
      </c>
      <c r="F52" s="3">
        <v>163</v>
      </c>
      <c r="G52" s="3">
        <v>133</v>
      </c>
      <c r="H52" s="11">
        <f>IFERROR(G52/E52, "")</f>
      </c>
      <c r="I52" s="11">
        <v>15.8</v>
      </c>
      <c r="J52" s="3">
        <v>78</v>
      </c>
      <c r="K52" s="2" t="s">
        <v>27</v>
      </c>
    </row>
    <row x14ac:dyDescent="0.25" r="53" customHeight="1" ht="18.75">
      <c r="A53" s="2"/>
      <c r="B53" s="2" t="s">
        <v>82</v>
      </c>
      <c r="C53" s="3">
        <v>4</v>
      </c>
      <c r="D53" s="11">
        <v>31.9</v>
      </c>
      <c r="E53" s="3">
        <v>1925</v>
      </c>
      <c r="F53" s="3">
        <v>89</v>
      </c>
      <c r="G53" s="3">
        <v>71</v>
      </c>
      <c r="H53" s="11">
        <f>IFERROR(G53/E53, "")</f>
      </c>
      <c r="I53" s="3">
        <v>14</v>
      </c>
      <c r="J53" s="3">
        <v>79</v>
      </c>
      <c r="K53" s="2" t="s">
        <v>27</v>
      </c>
    </row>
    <row x14ac:dyDescent="0.25" r="54" customHeight="1" ht="18.75">
      <c r="A54" s="2"/>
      <c r="B54" s="2" t="s">
        <v>83</v>
      </c>
      <c r="C54" s="3">
        <v>4</v>
      </c>
      <c r="D54" s="11">
        <v>37.3</v>
      </c>
      <c r="E54" s="3">
        <v>2130</v>
      </c>
      <c r="F54" s="3">
        <v>91</v>
      </c>
      <c r="G54" s="3">
        <v>69</v>
      </c>
      <c r="H54" s="11">
        <f>IFERROR(G54/E54, "")</f>
      </c>
      <c r="I54" s="11">
        <v>14.7</v>
      </c>
      <c r="J54" s="3">
        <v>79</v>
      </c>
      <c r="K54" s="2" t="s">
        <v>27</v>
      </c>
    </row>
    <row x14ac:dyDescent="0.25" r="55" customHeight="1" ht="18.75">
      <c r="A55" s="2"/>
      <c r="B55" s="2" t="s">
        <v>44</v>
      </c>
      <c r="C55" s="3">
        <v>4</v>
      </c>
      <c r="D55" s="11">
        <v>27.2</v>
      </c>
      <c r="E55" s="3">
        <v>3190</v>
      </c>
      <c r="F55" s="3">
        <v>141</v>
      </c>
      <c r="G55" s="3">
        <v>71</v>
      </c>
      <c r="H55" s="11">
        <f>IFERROR(G55/E55, "")</f>
      </c>
      <c r="I55" s="11">
        <v>24.8</v>
      </c>
      <c r="J55" s="3">
        <v>79</v>
      </c>
      <c r="K55" s="2" t="s">
        <v>27</v>
      </c>
    </row>
    <row x14ac:dyDescent="0.25" r="56" customHeight="1" ht="18.75">
      <c r="A56" s="2"/>
      <c r="B56" s="2" t="s">
        <v>84</v>
      </c>
      <c r="C56" s="3">
        <v>5</v>
      </c>
      <c r="D56" s="11">
        <v>25.4</v>
      </c>
      <c r="E56" s="3">
        <v>3530</v>
      </c>
      <c r="F56" s="3">
        <v>183</v>
      </c>
      <c r="G56" s="3">
        <v>77</v>
      </c>
      <c r="H56" s="11">
        <f>IFERROR(G56/E56, "")</f>
      </c>
      <c r="I56" s="11">
        <v>20.1</v>
      </c>
      <c r="J56" s="3">
        <v>79</v>
      </c>
      <c r="K56" s="2" t="s">
        <v>27</v>
      </c>
    </row>
    <row x14ac:dyDescent="0.25" r="57" customHeight="1" ht="18.75">
      <c r="A57" s="2"/>
      <c r="B57" s="2" t="s">
        <v>85</v>
      </c>
      <c r="C57" s="3">
        <v>4</v>
      </c>
      <c r="D57" s="11">
        <v>34.3</v>
      </c>
      <c r="E57" s="3">
        <v>2188</v>
      </c>
      <c r="F57" s="3">
        <v>97</v>
      </c>
      <c r="G57" s="3">
        <v>78</v>
      </c>
      <c r="H57" s="11">
        <f>IFERROR(G57/E57, "")</f>
      </c>
      <c r="I57" s="11">
        <v>15.8</v>
      </c>
      <c r="J57" s="3">
        <v>80</v>
      </c>
      <c r="K57" s="2" t="s">
        <v>27</v>
      </c>
    </row>
    <row x14ac:dyDescent="0.25" r="58" customHeight="1" ht="18.75">
      <c r="A58" s="2"/>
      <c r="B58" s="2" t="s">
        <v>69</v>
      </c>
      <c r="C58" s="3">
        <v>4</v>
      </c>
      <c r="D58" s="11">
        <v>41.5</v>
      </c>
      <c r="E58" s="3">
        <v>2144</v>
      </c>
      <c r="F58" s="3">
        <v>98</v>
      </c>
      <c r="G58" s="3">
        <v>76</v>
      </c>
      <c r="H58" s="11">
        <f>IFERROR(G58/E58, "")</f>
      </c>
      <c r="I58" s="11">
        <v>14.7</v>
      </c>
      <c r="J58" s="3">
        <v>80</v>
      </c>
      <c r="K58" s="2" t="s">
        <v>27</v>
      </c>
    </row>
    <row x14ac:dyDescent="0.25" r="59" customHeight="1" ht="18.75">
      <c r="A59" s="2"/>
      <c r="B59" s="2" t="s">
        <v>86</v>
      </c>
      <c r="C59" s="3">
        <v>4</v>
      </c>
      <c r="D59" s="3">
        <v>35</v>
      </c>
      <c r="E59" s="3">
        <v>2500</v>
      </c>
      <c r="F59" s="3">
        <v>122</v>
      </c>
      <c r="G59" s="3">
        <v>88</v>
      </c>
      <c r="H59" s="11">
        <f>IFERROR(G59/E59, "")</f>
      </c>
      <c r="I59" s="11">
        <v>15.1</v>
      </c>
      <c r="J59" s="3">
        <v>80</v>
      </c>
      <c r="K59" s="2" t="s">
        <v>27</v>
      </c>
    </row>
    <row x14ac:dyDescent="0.25" r="60" customHeight="1" ht="18.75">
      <c r="A60" s="2"/>
      <c r="B60" s="2" t="s">
        <v>87</v>
      </c>
      <c r="C60" s="3">
        <v>4</v>
      </c>
      <c r="D60" s="11">
        <v>29.8</v>
      </c>
      <c r="E60" s="3">
        <v>1845</v>
      </c>
      <c r="F60" s="3">
        <v>89</v>
      </c>
      <c r="G60" s="3">
        <v>62</v>
      </c>
      <c r="H60" s="11">
        <f>IFERROR(G60/E60, "")</f>
      </c>
      <c r="I60" s="11">
        <v>15.3</v>
      </c>
      <c r="J60" s="3">
        <v>80</v>
      </c>
      <c r="K60" s="2" t="s">
        <v>27</v>
      </c>
    </row>
    <row x14ac:dyDescent="0.25" r="61" customHeight="1" ht="18.75">
      <c r="A61" s="2"/>
      <c r="B61" s="2" t="s">
        <v>88</v>
      </c>
      <c r="C61" s="3">
        <v>4</v>
      </c>
      <c r="D61" s="11">
        <v>44.3</v>
      </c>
      <c r="E61" s="3">
        <v>2085</v>
      </c>
      <c r="F61" s="3">
        <v>90</v>
      </c>
      <c r="G61" s="3">
        <v>48</v>
      </c>
      <c r="H61" s="11">
        <f>IFERROR(G61/E61, "")</f>
      </c>
      <c r="I61" s="11">
        <v>21.7</v>
      </c>
      <c r="J61" s="3">
        <v>80</v>
      </c>
      <c r="K61" s="2" t="s">
        <v>27</v>
      </c>
    </row>
    <row x14ac:dyDescent="0.25" r="62" customHeight="1" ht="18.75">
      <c r="A62" s="2"/>
      <c r="B62" s="2" t="s">
        <v>89</v>
      </c>
      <c r="C62" s="3">
        <v>4</v>
      </c>
      <c r="D62" s="3">
        <v>30</v>
      </c>
      <c r="E62" s="3">
        <v>3250</v>
      </c>
      <c r="F62" s="3">
        <v>146</v>
      </c>
      <c r="G62" s="3">
        <v>67</v>
      </c>
      <c r="H62" s="11">
        <f>IFERROR(G62/E62, "")</f>
      </c>
      <c r="I62" s="11">
        <v>21.8</v>
      </c>
      <c r="J62" s="3">
        <v>80</v>
      </c>
      <c r="K62" s="2" t="s">
        <v>27</v>
      </c>
    </row>
    <row x14ac:dyDescent="0.25" r="63" customHeight="1" ht="18.75">
      <c r="A63" s="2"/>
      <c r="B63" s="2" t="s">
        <v>90</v>
      </c>
      <c r="C63" s="3">
        <v>4</v>
      </c>
      <c r="D63" s="11">
        <v>43.4</v>
      </c>
      <c r="E63" s="3">
        <v>2335</v>
      </c>
      <c r="F63" s="3">
        <v>90</v>
      </c>
      <c r="G63" s="3">
        <v>48</v>
      </c>
      <c r="H63" s="11">
        <f>IFERROR(G63/E63, "")</f>
      </c>
      <c r="I63" s="11">
        <v>23.7</v>
      </c>
      <c r="J63" s="3">
        <v>80</v>
      </c>
      <c r="K63" s="2" t="s">
        <v>27</v>
      </c>
    </row>
    <row x14ac:dyDescent="0.25" r="64" customHeight="1" ht="18.75">
      <c r="A64" s="2"/>
      <c r="B64" s="2" t="s">
        <v>91</v>
      </c>
      <c r="C64" s="3">
        <v>4</v>
      </c>
      <c r="D64" s="11">
        <v>40.9</v>
      </c>
      <c r="E64" s="3">
        <v>1835</v>
      </c>
      <c r="F64" s="3">
        <v>85</v>
      </c>
      <c r="G64" s="1"/>
      <c r="H64" s="3">
        <f>IFERROR(G64/E64, "")</f>
      </c>
      <c r="I64" s="11">
        <v>17.3</v>
      </c>
      <c r="J64" s="3">
        <v>80</v>
      </c>
      <c r="K64" s="2" t="s">
        <v>27</v>
      </c>
    </row>
    <row x14ac:dyDescent="0.25" r="65" customHeight="1" ht="18.75">
      <c r="A65" s="2"/>
      <c r="B65" s="2" t="s">
        <v>92</v>
      </c>
      <c r="C65" s="3">
        <v>5</v>
      </c>
      <c r="D65" s="11">
        <v>36.4</v>
      </c>
      <c r="E65" s="3">
        <v>2950</v>
      </c>
      <c r="F65" s="3">
        <v>121</v>
      </c>
      <c r="G65" s="3">
        <v>67</v>
      </c>
      <c r="H65" s="11">
        <f>IFERROR(G65/E65, "")</f>
      </c>
      <c r="I65" s="11">
        <v>19.9</v>
      </c>
      <c r="J65" s="3">
        <v>80</v>
      </c>
      <c r="K65" s="2" t="s">
        <v>27</v>
      </c>
    </row>
    <row x14ac:dyDescent="0.25" r="66" customHeight="1" ht="18.75">
      <c r="A66" s="2"/>
      <c r="B66" s="2" t="s">
        <v>93</v>
      </c>
      <c r="C66" s="3">
        <v>4</v>
      </c>
      <c r="D66" s="3">
        <v>33</v>
      </c>
      <c r="E66" s="3">
        <v>2190</v>
      </c>
      <c r="F66" s="3">
        <v>105</v>
      </c>
      <c r="G66" s="3">
        <v>74</v>
      </c>
      <c r="H66" s="11">
        <f>IFERROR(G66/E66, "")</f>
      </c>
      <c r="I66" s="11">
        <v>14.2</v>
      </c>
      <c r="J66" s="3">
        <v>81</v>
      </c>
      <c r="K66" s="2" t="s">
        <v>27</v>
      </c>
    </row>
    <row x14ac:dyDescent="0.25" r="67" customHeight="1" ht="18.75">
      <c r="A67" s="2"/>
      <c r="B67" s="2" t="s">
        <v>94</v>
      </c>
      <c r="C67" s="3">
        <v>4</v>
      </c>
      <c r="D67" s="11">
        <v>28.1</v>
      </c>
      <c r="E67" s="3">
        <v>3230</v>
      </c>
      <c r="F67" s="3">
        <v>141</v>
      </c>
      <c r="G67" s="3">
        <v>80</v>
      </c>
      <c r="H67" s="11">
        <f>IFERROR(G67/E67, "")</f>
      </c>
      <c r="I67" s="11">
        <v>20.4</v>
      </c>
      <c r="J67" s="3">
        <v>81</v>
      </c>
      <c r="K67" s="2" t="s">
        <v>27</v>
      </c>
    </row>
    <row x14ac:dyDescent="0.25" r="68" customHeight="1" ht="18.75">
      <c r="A68" s="2"/>
      <c r="B68" s="2" t="s">
        <v>95</v>
      </c>
      <c r="C68" s="3">
        <v>4</v>
      </c>
      <c r="D68" s="11">
        <v>34.5</v>
      </c>
      <c r="E68" s="3">
        <v>2320</v>
      </c>
      <c r="F68" s="3">
        <v>100</v>
      </c>
      <c r="G68" s="1"/>
      <c r="H68" s="3">
        <f>IFERROR(G68/E68, "")</f>
      </c>
      <c r="I68" s="11">
        <v>15.8</v>
      </c>
      <c r="J68" s="3">
        <v>81</v>
      </c>
      <c r="K68" s="2" t="s">
        <v>27</v>
      </c>
    </row>
    <row x14ac:dyDescent="0.25" r="69" customHeight="1" ht="18.75">
      <c r="A69" s="2"/>
      <c r="B69" s="2" t="s">
        <v>96</v>
      </c>
      <c r="C69" s="3">
        <v>6</v>
      </c>
      <c r="D69" s="11">
        <v>30.7</v>
      </c>
      <c r="E69" s="3">
        <v>3160</v>
      </c>
      <c r="F69" s="3">
        <v>145</v>
      </c>
      <c r="G69" s="3">
        <v>76</v>
      </c>
      <c r="H69" s="11">
        <f>IFERROR(G69/E69, "")</f>
      </c>
      <c r="I69" s="11">
        <v>19.6</v>
      </c>
      <c r="J69" s="3">
        <v>81</v>
      </c>
      <c r="K69" s="2" t="s">
        <v>27</v>
      </c>
    </row>
    <row x14ac:dyDescent="0.25" r="70" customHeight="1" ht="18.75">
      <c r="A70" s="2"/>
      <c r="B70" s="2" t="s">
        <v>97</v>
      </c>
      <c r="C70" s="3">
        <v>4</v>
      </c>
      <c r="D70" s="3">
        <v>36</v>
      </c>
      <c r="E70" s="3">
        <v>1980</v>
      </c>
      <c r="F70" s="3">
        <v>105</v>
      </c>
      <c r="G70" s="3">
        <v>74</v>
      </c>
      <c r="H70" s="11">
        <f>IFERROR(G70/E70, "")</f>
      </c>
      <c r="I70" s="11">
        <v>15.3</v>
      </c>
      <c r="J70" s="3">
        <v>82</v>
      </c>
      <c r="K70" s="2" t="s">
        <v>27</v>
      </c>
    </row>
    <row x14ac:dyDescent="0.25" r="71" customHeight="1" ht="18.75">
      <c r="A71" s="2"/>
      <c r="B71" s="2" t="s">
        <v>98</v>
      </c>
      <c r="C71" s="3">
        <v>4</v>
      </c>
      <c r="D71" s="3">
        <v>44</v>
      </c>
      <c r="E71" s="3">
        <v>2130</v>
      </c>
      <c r="F71" s="3">
        <v>97</v>
      </c>
      <c r="G71" s="3">
        <v>52</v>
      </c>
      <c r="H71" s="11">
        <f>IFERROR(G71/E71, "")</f>
      </c>
      <c r="I71" s="11">
        <v>24.6</v>
      </c>
      <c r="J71" s="3">
        <v>82</v>
      </c>
      <c r="K71" s="2" t="s">
        <v>27</v>
      </c>
    </row>
    <row x14ac:dyDescent="0.25" r="72" customHeight="1" ht="18.75">
      <c r="A72" s="2"/>
      <c r="B72" s="2" t="s">
        <v>99</v>
      </c>
      <c r="C72" s="3">
        <v>4</v>
      </c>
      <c r="D72" s="3">
        <v>27</v>
      </c>
      <c r="E72" s="3">
        <v>2130</v>
      </c>
      <c r="F72" s="3">
        <v>97</v>
      </c>
      <c r="G72" s="3">
        <v>88</v>
      </c>
      <c r="H72" s="11">
        <f>IFERROR(G72/E72, "")</f>
      </c>
      <c r="I72" s="11">
        <v>14.5</v>
      </c>
      <c r="J72" s="3">
        <v>70</v>
      </c>
      <c r="K72" s="2" t="s">
        <v>28</v>
      </c>
    </row>
    <row x14ac:dyDescent="0.25" r="73" customHeight="1" ht="18.75">
      <c r="A73" s="2"/>
      <c r="B73" s="2" t="s">
        <v>100</v>
      </c>
      <c r="C73" s="3">
        <v>4</v>
      </c>
      <c r="D73" s="3">
        <v>24</v>
      </c>
      <c r="E73" s="3">
        <v>2372</v>
      </c>
      <c r="F73" s="3">
        <v>113</v>
      </c>
      <c r="G73" s="3">
        <v>95</v>
      </c>
      <c r="H73" s="11">
        <f>IFERROR(G73/E73, "")</f>
      </c>
      <c r="I73" s="3">
        <v>15</v>
      </c>
      <c r="J73" s="3">
        <v>70</v>
      </c>
      <c r="K73" s="2" t="s">
        <v>28</v>
      </c>
    </row>
    <row x14ac:dyDescent="0.25" r="74" customHeight="1" ht="18.75">
      <c r="A74" s="2"/>
      <c r="B74" s="2" t="s">
        <v>101</v>
      </c>
      <c r="C74" s="3">
        <v>4</v>
      </c>
      <c r="D74" s="3">
        <v>35</v>
      </c>
      <c r="E74" s="3">
        <v>1613</v>
      </c>
      <c r="F74" s="3">
        <v>72</v>
      </c>
      <c r="G74" s="3">
        <v>69</v>
      </c>
      <c r="H74" s="11">
        <f>IFERROR(G74/E74, "")</f>
      </c>
      <c r="I74" s="3">
        <v>18</v>
      </c>
      <c r="J74" s="3">
        <v>71</v>
      </c>
      <c r="K74" s="2" t="s">
        <v>28</v>
      </c>
    </row>
    <row x14ac:dyDescent="0.25" r="75" customHeight="1" ht="18.75">
      <c r="A75" s="2"/>
      <c r="B75" s="2" t="s">
        <v>102</v>
      </c>
      <c r="C75" s="3">
        <v>4</v>
      </c>
      <c r="D75" s="3">
        <v>25</v>
      </c>
      <c r="E75" s="3">
        <v>2228</v>
      </c>
      <c r="F75" s="3">
        <v>113</v>
      </c>
      <c r="G75" s="3">
        <v>95</v>
      </c>
      <c r="H75" s="11">
        <f>IFERROR(G75/E75, "")</f>
      </c>
      <c r="I75" s="3">
        <v>14</v>
      </c>
      <c r="J75" s="3">
        <v>71</v>
      </c>
      <c r="K75" s="2" t="s">
        <v>28</v>
      </c>
    </row>
    <row x14ac:dyDescent="0.25" r="76" customHeight="1" ht="18.75">
      <c r="A76" s="2"/>
      <c r="B76" s="2" t="s">
        <v>99</v>
      </c>
      <c r="C76" s="3">
        <v>4</v>
      </c>
      <c r="D76" s="3">
        <v>27</v>
      </c>
      <c r="E76" s="3">
        <v>2130</v>
      </c>
      <c r="F76" s="3">
        <v>97</v>
      </c>
      <c r="G76" s="3">
        <v>88</v>
      </c>
      <c r="H76" s="11">
        <f>IFERROR(G76/E76, "")</f>
      </c>
      <c r="I76" s="11">
        <v>14.5</v>
      </c>
      <c r="J76" s="3">
        <v>71</v>
      </c>
      <c r="K76" s="2" t="s">
        <v>28</v>
      </c>
    </row>
    <row x14ac:dyDescent="0.25" r="77" customHeight="1" ht="18.75">
      <c r="A77" s="2"/>
      <c r="B77" s="2" t="s">
        <v>103</v>
      </c>
      <c r="C77" s="3">
        <v>4</v>
      </c>
      <c r="D77" s="3">
        <v>31</v>
      </c>
      <c r="E77" s="3">
        <v>1773</v>
      </c>
      <c r="F77" s="3">
        <v>71</v>
      </c>
      <c r="G77" s="3">
        <v>65</v>
      </c>
      <c r="H77" s="11">
        <f>IFERROR(G77/E77, "")</f>
      </c>
      <c r="I77" s="3">
        <v>19</v>
      </c>
      <c r="J77" s="3">
        <v>71</v>
      </c>
      <c r="K77" s="2" t="s">
        <v>28</v>
      </c>
    </row>
    <row x14ac:dyDescent="0.25" r="78" customHeight="1" ht="18.75">
      <c r="A78" s="2"/>
      <c r="B78" s="2" t="s">
        <v>104</v>
      </c>
      <c r="C78" s="3">
        <v>3</v>
      </c>
      <c r="D78" s="3">
        <v>19</v>
      </c>
      <c r="E78" s="3">
        <v>2330</v>
      </c>
      <c r="F78" s="3">
        <v>70</v>
      </c>
      <c r="G78" s="3">
        <v>97</v>
      </c>
      <c r="H78" s="11">
        <f>IFERROR(G78/E78, "")</f>
      </c>
      <c r="I78" s="11">
        <v>13.5</v>
      </c>
      <c r="J78" s="3">
        <v>72</v>
      </c>
      <c r="K78" s="2" t="s">
        <v>28</v>
      </c>
    </row>
    <row x14ac:dyDescent="0.25" r="79" customHeight="1" ht="18.75">
      <c r="A79" s="2"/>
      <c r="B79" s="2" t="s">
        <v>105</v>
      </c>
      <c r="C79" s="3">
        <v>4</v>
      </c>
      <c r="D79" s="3">
        <v>27</v>
      </c>
      <c r="E79" s="3">
        <v>2100</v>
      </c>
      <c r="F79" s="3">
        <v>97</v>
      </c>
      <c r="G79" s="3">
        <v>88</v>
      </c>
      <c r="H79" s="11">
        <f>IFERROR(G79/E79, "")</f>
      </c>
      <c r="I79" s="11">
        <v>16.5</v>
      </c>
      <c r="J79" s="3">
        <v>72</v>
      </c>
      <c r="K79" s="2" t="s">
        <v>28</v>
      </c>
    </row>
    <row x14ac:dyDescent="0.25" r="80" customHeight="1" ht="18.75">
      <c r="A80" s="2"/>
      <c r="B80" s="2" t="s">
        <v>106</v>
      </c>
      <c r="C80" s="3">
        <v>4</v>
      </c>
      <c r="D80" s="3">
        <v>24</v>
      </c>
      <c r="E80" s="3">
        <v>2278</v>
      </c>
      <c r="F80" s="3">
        <v>113</v>
      </c>
      <c r="G80" s="3">
        <v>95</v>
      </c>
      <c r="H80" s="11">
        <f>IFERROR(G80/E80, "")</f>
      </c>
      <c r="I80" s="11">
        <v>15.5</v>
      </c>
      <c r="J80" s="3">
        <v>72</v>
      </c>
      <c r="K80" s="2" t="s">
        <v>28</v>
      </c>
    </row>
    <row x14ac:dyDescent="0.25" r="81" customHeight="1" ht="18.75">
      <c r="A81" s="2"/>
      <c r="B81" s="2" t="s">
        <v>107</v>
      </c>
      <c r="C81" s="3">
        <v>4</v>
      </c>
      <c r="D81" s="3">
        <v>28</v>
      </c>
      <c r="E81" s="3">
        <v>2288</v>
      </c>
      <c r="F81" s="3">
        <v>97</v>
      </c>
      <c r="G81" s="3">
        <v>92</v>
      </c>
      <c r="H81" s="11">
        <f>IFERROR(G81/E81, "")</f>
      </c>
      <c r="I81" s="3">
        <v>17</v>
      </c>
      <c r="J81" s="3">
        <v>72</v>
      </c>
      <c r="K81" s="2" t="s">
        <v>28</v>
      </c>
    </row>
    <row x14ac:dyDescent="0.25" r="82" customHeight="1" ht="18.75">
      <c r="A82" s="2"/>
      <c r="B82" s="2" t="s">
        <v>108</v>
      </c>
      <c r="C82" s="3">
        <v>4</v>
      </c>
      <c r="D82" s="3">
        <v>23</v>
      </c>
      <c r="E82" s="3">
        <v>2506</v>
      </c>
      <c r="F82" s="3">
        <v>120</v>
      </c>
      <c r="G82" s="3">
        <v>97</v>
      </c>
      <c r="H82" s="11">
        <f>IFERROR(G82/E82, "")</f>
      </c>
      <c r="I82" s="11">
        <v>14.5</v>
      </c>
      <c r="J82" s="3">
        <v>72</v>
      </c>
      <c r="K82" s="2" t="s">
        <v>28</v>
      </c>
    </row>
    <row x14ac:dyDescent="0.25" r="83" customHeight="1" ht="18.75">
      <c r="A83" s="2"/>
      <c r="B83" s="2" t="s">
        <v>109</v>
      </c>
      <c r="C83" s="3">
        <v>3</v>
      </c>
      <c r="D83" s="3">
        <v>18</v>
      </c>
      <c r="E83" s="3">
        <v>2124</v>
      </c>
      <c r="F83" s="3">
        <v>70</v>
      </c>
      <c r="G83" s="3">
        <v>90</v>
      </c>
      <c r="H83" s="11">
        <f>IFERROR(G83/E83, "")</f>
      </c>
      <c r="I83" s="11">
        <v>13.5</v>
      </c>
      <c r="J83" s="3">
        <v>73</v>
      </c>
      <c r="K83" s="2" t="s">
        <v>28</v>
      </c>
    </row>
    <row x14ac:dyDescent="0.25" r="84" customHeight="1" ht="18.75">
      <c r="A84" s="2"/>
      <c r="B84" s="2" t="s">
        <v>110</v>
      </c>
      <c r="C84" s="3">
        <v>4</v>
      </c>
      <c r="D84" s="3">
        <v>22</v>
      </c>
      <c r="E84" s="3">
        <v>2379</v>
      </c>
      <c r="F84" s="3">
        <v>108</v>
      </c>
      <c r="G84" s="3">
        <v>94</v>
      </c>
      <c r="H84" s="11">
        <f>IFERROR(G84/E84, "")</f>
      </c>
      <c r="I84" s="11">
        <v>16.5</v>
      </c>
      <c r="J84" s="3">
        <v>73</v>
      </c>
      <c r="K84" s="2" t="s">
        <v>28</v>
      </c>
    </row>
    <row x14ac:dyDescent="0.25" r="85" customHeight="1" ht="18.75">
      <c r="A85" s="2"/>
      <c r="B85" s="2" t="s">
        <v>111</v>
      </c>
      <c r="C85" s="3">
        <v>4</v>
      </c>
      <c r="D85" s="3">
        <v>20</v>
      </c>
      <c r="E85" s="3">
        <v>2279</v>
      </c>
      <c r="F85" s="3">
        <v>97</v>
      </c>
      <c r="G85" s="3">
        <v>88</v>
      </c>
      <c r="H85" s="11">
        <f>IFERROR(G85/E85, "")</f>
      </c>
      <c r="I85" s="3">
        <v>19</v>
      </c>
      <c r="J85" s="3">
        <v>73</v>
      </c>
      <c r="K85" s="2" t="s">
        <v>28</v>
      </c>
    </row>
    <row x14ac:dyDescent="0.25" r="86" customHeight="1" ht="18.75">
      <c r="A86" s="2"/>
      <c r="B86" s="2" t="s">
        <v>112</v>
      </c>
      <c r="C86" s="3">
        <v>6</v>
      </c>
      <c r="D86" s="3">
        <v>20</v>
      </c>
      <c r="E86" s="3">
        <v>2807</v>
      </c>
      <c r="F86" s="3">
        <v>156</v>
      </c>
      <c r="G86" s="3">
        <v>122</v>
      </c>
      <c r="H86" s="11">
        <f>IFERROR(G86/E86, "")</f>
      </c>
      <c r="I86" s="11">
        <v>13.5</v>
      </c>
      <c r="J86" s="3">
        <v>73</v>
      </c>
      <c r="K86" s="2" t="s">
        <v>28</v>
      </c>
    </row>
    <row x14ac:dyDescent="0.25" r="87" customHeight="1" ht="18.75">
      <c r="A87" s="2"/>
      <c r="B87" s="2" t="s">
        <v>113</v>
      </c>
      <c r="C87" s="3">
        <v>4</v>
      </c>
      <c r="D87" s="3">
        <v>24</v>
      </c>
      <c r="E87" s="3">
        <v>2489</v>
      </c>
      <c r="F87" s="3">
        <v>120</v>
      </c>
      <c r="G87" s="3">
        <v>97</v>
      </c>
      <c r="H87" s="11">
        <f>IFERROR(G87/E87, "")</f>
      </c>
      <c r="I87" s="3">
        <v>15</v>
      </c>
      <c r="J87" s="3">
        <v>74</v>
      </c>
      <c r="K87" s="2" t="s">
        <v>28</v>
      </c>
    </row>
    <row x14ac:dyDescent="0.25" r="88" customHeight="1" ht="18.75">
      <c r="A88" s="2"/>
      <c r="B88" s="2" t="s">
        <v>114</v>
      </c>
      <c r="C88" s="3">
        <v>4</v>
      </c>
      <c r="D88" s="3">
        <v>26</v>
      </c>
      <c r="E88" s="3">
        <v>2391</v>
      </c>
      <c r="F88" s="3">
        <v>108</v>
      </c>
      <c r="G88" s="3">
        <v>93</v>
      </c>
      <c r="H88" s="11">
        <f>IFERROR(G88/E88, "")</f>
      </c>
      <c r="I88" s="11">
        <v>15.5</v>
      </c>
      <c r="J88" s="3">
        <v>74</v>
      </c>
      <c r="K88" s="2" t="s">
        <v>28</v>
      </c>
    </row>
    <row x14ac:dyDescent="0.25" r="89" customHeight="1" ht="18.75">
      <c r="A89" s="2"/>
      <c r="B89" s="2" t="s">
        <v>103</v>
      </c>
      <c r="C89" s="3">
        <v>4</v>
      </c>
      <c r="D89" s="3">
        <v>32</v>
      </c>
      <c r="E89" s="3">
        <v>1836</v>
      </c>
      <c r="F89" s="3">
        <v>71</v>
      </c>
      <c r="G89" s="3">
        <v>65</v>
      </c>
      <c r="H89" s="11">
        <f>IFERROR(G89/E89, "")</f>
      </c>
      <c r="I89" s="3">
        <v>21</v>
      </c>
      <c r="J89" s="3">
        <v>74</v>
      </c>
      <c r="K89" s="2" t="s">
        <v>28</v>
      </c>
    </row>
    <row x14ac:dyDescent="0.25" r="90" customHeight="1" ht="18.75">
      <c r="A90" s="2"/>
      <c r="B90" s="2" t="s">
        <v>115</v>
      </c>
      <c r="C90" s="3">
        <v>4</v>
      </c>
      <c r="D90" s="3">
        <v>31</v>
      </c>
      <c r="E90" s="3">
        <v>1950</v>
      </c>
      <c r="F90" s="3">
        <v>79</v>
      </c>
      <c r="G90" s="3">
        <v>67</v>
      </c>
      <c r="H90" s="11">
        <f>IFERROR(G90/E90, "")</f>
      </c>
      <c r="I90" s="3">
        <v>19</v>
      </c>
      <c r="J90" s="3">
        <v>74</v>
      </c>
      <c r="K90" s="2" t="s">
        <v>28</v>
      </c>
    </row>
    <row x14ac:dyDescent="0.25" r="91" customHeight="1" ht="18.75">
      <c r="A91" s="2"/>
      <c r="B91" s="2" t="s">
        <v>102</v>
      </c>
      <c r="C91" s="3">
        <v>4</v>
      </c>
      <c r="D91" s="3">
        <v>31</v>
      </c>
      <c r="E91" s="3">
        <v>1649</v>
      </c>
      <c r="F91" s="3">
        <v>76</v>
      </c>
      <c r="G91" s="3">
        <v>52</v>
      </c>
      <c r="H91" s="11">
        <f>IFERROR(G91/E91, "")</f>
      </c>
      <c r="I91" s="11">
        <v>16.5</v>
      </c>
      <c r="J91" s="3">
        <v>74</v>
      </c>
      <c r="K91" s="2" t="s">
        <v>28</v>
      </c>
    </row>
    <row x14ac:dyDescent="0.25" r="92" customHeight="1" ht="18.75">
      <c r="A92" s="2"/>
      <c r="B92" s="2" t="s">
        <v>116</v>
      </c>
      <c r="C92" s="3">
        <v>4</v>
      </c>
      <c r="D92" s="3">
        <v>32</v>
      </c>
      <c r="E92" s="3">
        <v>2003</v>
      </c>
      <c r="F92" s="3">
        <v>83</v>
      </c>
      <c r="G92" s="3">
        <v>61</v>
      </c>
      <c r="H92" s="11">
        <f>IFERROR(G92/E92, "")</f>
      </c>
      <c r="I92" s="3">
        <v>19</v>
      </c>
      <c r="J92" s="3">
        <v>74</v>
      </c>
      <c r="K92" s="2" t="s">
        <v>28</v>
      </c>
    </row>
    <row x14ac:dyDescent="0.25" r="93" customHeight="1" ht="18.75">
      <c r="A93" s="2"/>
      <c r="B93" s="2" t="s">
        <v>116</v>
      </c>
      <c r="C93" s="3">
        <v>4</v>
      </c>
      <c r="D93" s="3">
        <v>24</v>
      </c>
      <c r="E93" s="3">
        <v>2545</v>
      </c>
      <c r="F93" s="3">
        <v>119</v>
      </c>
      <c r="G93" s="3">
        <v>97</v>
      </c>
      <c r="H93" s="11">
        <f>IFERROR(G93/E93, "")</f>
      </c>
      <c r="I93" s="3">
        <v>17</v>
      </c>
      <c r="J93" s="3">
        <v>75</v>
      </c>
      <c r="K93" s="2" t="s">
        <v>28</v>
      </c>
    </row>
    <row x14ac:dyDescent="0.25" r="94" customHeight="1" ht="18.75">
      <c r="A94" s="2"/>
      <c r="B94" s="2" t="s">
        <v>102</v>
      </c>
      <c r="C94" s="3">
        <v>4</v>
      </c>
      <c r="D94" s="3">
        <v>24</v>
      </c>
      <c r="E94" s="3">
        <v>2702</v>
      </c>
      <c r="F94" s="3">
        <v>134</v>
      </c>
      <c r="G94" s="3">
        <v>96</v>
      </c>
      <c r="H94" s="11">
        <f>IFERROR(G94/E94, "")</f>
      </c>
      <c r="I94" s="11">
        <v>13.5</v>
      </c>
      <c r="J94" s="3">
        <v>75</v>
      </c>
      <c r="K94" s="2" t="s">
        <v>28</v>
      </c>
    </row>
    <row x14ac:dyDescent="0.25" r="95" customHeight="1" ht="18.75">
      <c r="A95" s="2"/>
      <c r="B95" s="2" t="s">
        <v>117</v>
      </c>
      <c r="C95" s="3">
        <v>4</v>
      </c>
      <c r="D95" s="3">
        <v>29</v>
      </c>
      <c r="E95" s="3">
        <v>2171</v>
      </c>
      <c r="F95" s="3">
        <v>97</v>
      </c>
      <c r="G95" s="3">
        <v>75</v>
      </c>
      <c r="H95" s="11">
        <f>IFERROR(G95/E95, "")</f>
      </c>
      <c r="I95" s="3">
        <v>16</v>
      </c>
      <c r="J95" s="3">
        <v>75</v>
      </c>
      <c r="K95" s="2" t="s">
        <v>28</v>
      </c>
    </row>
    <row x14ac:dyDescent="0.25" r="96" customHeight="1" ht="18.75">
      <c r="A96" s="2"/>
      <c r="B96" s="2" t="s">
        <v>118</v>
      </c>
      <c r="C96" s="3">
        <v>4</v>
      </c>
      <c r="D96" s="3">
        <v>33</v>
      </c>
      <c r="E96" s="3">
        <v>1795</v>
      </c>
      <c r="F96" s="3">
        <v>91</v>
      </c>
      <c r="G96" s="3">
        <v>53</v>
      </c>
      <c r="H96" s="11">
        <f>IFERROR(G96/E96, "")</f>
      </c>
      <c r="I96" s="11">
        <v>17.5</v>
      </c>
      <c r="J96" s="3">
        <v>75</v>
      </c>
      <c r="K96" s="2" t="s">
        <v>28</v>
      </c>
    </row>
    <row x14ac:dyDescent="0.25" r="97" customHeight="1" ht="18.75">
      <c r="A97" s="2"/>
      <c r="B97" s="2" t="s">
        <v>119</v>
      </c>
      <c r="C97" s="3">
        <v>4</v>
      </c>
      <c r="D97" s="3">
        <v>32</v>
      </c>
      <c r="E97" s="3">
        <v>1990</v>
      </c>
      <c r="F97" s="3">
        <v>85</v>
      </c>
      <c r="G97" s="3">
        <v>70</v>
      </c>
      <c r="H97" s="11">
        <f>IFERROR(G97/E97, "")</f>
      </c>
      <c r="I97" s="3">
        <v>17</v>
      </c>
      <c r="J97" s="3">
        <v>76</v>
      </c>
      <c r="K97" s="2" t="s">
        <v>28</v>
      </c>
    </row>
    <row x14ac:dyDescent="0.25" r="98" customHeight="1" ht="18.75">
      <c r="A98" s="2"/>
      <c r="B98" s="2" t="s">
        <v>117</v>
      </c>
      <c r="C98" s="3">
        <v>4</v>
      </c>
      <c r="D98" s="3">
        <v>28</v>
      </c>
      <c r="E98" s="3">
        <v>2155</v>
      </c>
      <c r="F98" s="3">
        <v>97</v>
      </c>
      <c r="G98" s="3">
        <v>75</v>
      </c>
      <c r="H98" s="11">
        <f>IFERROR(G98/E98, "")</f>
      </c>
      <c r="I98" s="11">
        <v>16.4</v>
      </c>
      <c r="J98" s="3">
        <v>76</v>
      </c>
      <c r="K98" s="2" t="s">
        <v>28</v>
      </c>
    </row>
    <row x14ac:dyDescent="0.25" r="99" customHeight="1" ht="18.75">
      <c r="A99" s="2"/>
      <c r="B99" s="2" t="s">
        <v>113</v>
      </c>
      <c r="C99" s="3">
        <v>4</v>
      </c>
      <c r="D99" s="3">
        <v>33</v>
      </c>
      <c r="E99" s="3">
        <v>1795</v>
      </c>
      <c r="F99" s="3">
        <v>91</v>
      </c>
      <c r="G99" s="3">
        <v>53</v>
      </c>
      <c r="H99" s="11">
        <f>IFERROR(G99/E99, "")</f>
      </c>
      <c r="I99" s="11">
        <v>17.4</v>
      </c>
      <c r="J99" s="3">
        <v>76</v>
      </c>
      <c r="K99" s="2" t="s">
        <v>28</v>
      </c>
    </row>
    <row x14ac:dyDescent="0.25" r="100" customHeight="1" ht="18.75">
      <c r="A100" s="2"/>
      <c r="B100" s="2" t="s">
        <v>112</v>
      </c>
      <c r="C100" s="3">
        <v>6</v>
      </c>
      <c r="D100" s="3">
        <v>19</v>
      </c>
      <c r="E100" s="3">
        <v>2930</v>
      </c>
      <c r="F100" s="3">
        <v>156</v>
      </c>
      <c r="G100" s="3">
        <v>108</v>
      </c>
      <c r="H100" s="11">
        <f>IFERROR(G100/E100, "")</f>
      </c>
      <c r="I100" s="11">
        <v>15.5</v>
      </c>
      <c r="J100" s="3">
        <v>76</v>
      </c>
      <c r="K100" s="2" t="s">
        <v>28</v>
      </c>
    </row>
    <row x14ac:dyDescent="0.25" r="101" customHeight="1" ht="18.75">
      <c r="A101" s="2"/>
      <c r="B101" s="2" t="s">
        <v>120</v>
      </c>
      <c r="C101" s="3">
        <v>3</v>
      </c>
      <c r="D101" s="11">
        <v>21.5</v>
      </c>
      <c r="E101" s="3">
        <v>2720</v>
      </c>
      <c r="F101" s="3">
        <v>80</v>
      </c>
      <c r="G101" s="3">
        <v>110</v>
      </c>
      <c r="H101" s="11">
        <f>IFERROR(G101/E101, "")</f>
      </c>
      <c r="I101" s="11">
        <v>13.5</v>
      </c>
      <c r="J101" s="3">
        <v>77</v>
      </c>
      <c r="K101" s="2" t="s">
        <v>28</v>
      </c>
    </row>
    <row x14ac:dyDescent="0.25" r="102" customHeight="1" ht="18.75">
      <c r="A102" s="2"/>
      <c r="B102" s="2" t="s">
        <v>121</v>
      </c>
      <c r="C102" s="3">
        <v>4</v>
      </c>
      <c r="D102" s="11">
        <v>33.5</v>
      </c>
      <c r="E102" s="3">
        <v>1945</v>
      </c>
      <c r="F102" s="3">
        <v>85</v>
      </c>
      <c r="G102" s="3">
        <v>70</v>
      </c>
      <c r="H102" s="11">
        <f>IFERROR(G102/E102, "")</f>
      </c>
      <c r="I102" s="11">
        <v>16.8</v>
      </c>
      <c r="J102" s="3">
        <v>77</v>
      </c>
      <c r="K102" s="2" t="s">
        <v>28</v>
      </c>
    </row>
    <row x14ac:dyDescent="0.25" r="103" customHeight="1" ht="18.75">
      <c r="A103" s="2"/>
      <c r="B103" s="2" t="s">
        <v>122</v>
      </c>
      <c r="C103" s="3">
        <v>4</v>
      </c>
      <c r="D103" s="3">
        <v>30</v>
      </c>
      <c r="E103" s="3">
        <v>1985</v>
      </c>
      <c r="F103" s="3">
        <v>97</v>
      </c>
      <c r="G103" s="3">
        <v>67</v>
      </c>
      <c r="H103" s="11">
        <f>IFERROR(G103/E103, "")</f>
      </c>
      <c r="I103" s="11">
        <v>16.4</v>
      </c>
      <c r="J103" s="3">
        <v>77</v>
      </c>
      <c r="K103" s="2" t="s">
        <v>28</v>
      </c>
    </row>
    <row x14ac:dyDescent="0.25" r="104" customHeight="1" ht="18.75">
      <c r="A104" s="2"/>
      <c r="B104" s="2" t="s">
        <v>123</v>
      </c>
      <c r="C104" s="3">
        <v>4</v>
      </c>
      <c r="D104" s="11">
        <v>31.5</v>
      </c>
      <c r="E104" s="3">
        <v>2045</v>
      </c>
      <c r="F104" s="3">
        <v>98</v>
      </c>
      <c r="G104" s="3">
        <v>68</v>
      </c>
      <c r="H104" s="11">
        <f>IFERROR(G104/E104, "")</f>
      </c>
      <c r="I104" s="11">
        <v>18.5</v>
      </c>
      <c r="J104" s="3">
        <v>77</v>
      </c>
      <c r="K104" s="2" t="s">
        <v>28</v>
      </c>
    </row>
    <row x14ac:dyDescent="0.25" r="105" customHeight="1" ht="18.75">
      <c r="A105" s="2"/>
      <c r="B105" s="2" t="s">
        <v>124</v>
      </c>
      <c r="C105" s="3">
        <v>4</v>
      </c>
      <c r="D105" s="3">
        <v>26</v>
      </c>
      <c r="E105" s="3">
        <v>2265</v>
      </c>
      <c r="F105" s="3">
        <v>97</v>
      </c>
      <c r="G105" s="3">
        <v>75</v>
      </c>
      <c r="H105" s="11">
        <f>IFERROR(G105/E105, "")</f>
      </c>
      <c r="I105" s="11">
        <v>18.2</v>
      </c>
      <c r="J105" s="3">
        <v>77</v>
      </c>
      <c r="K105" s="2" t="s">
        <v>28</v>
      </c>
    </row>
    <row x14ac:dyDescent="0.25" r="106" customHeight="1" ht="18.75">
      <c r="A106" s="2"/>
      <c r="B106" s="2" t="s">
        <v>125</v>
      </c>
      <c r="C106" s="3">
        <v>6</v>
      </c>
      <c r="D106" s="3">
        <v>22</v>
      </c>
      <c r="E106" s="3">
        <v>2815</v>
      </c>
      <c r="F106" s="3">
        <v>146</v>
      </c>
      <c r="G106" s="3">
        <v>97</v>
      </c>
      <c r="H106" s="11">
        <f>IFERROR(G106/E106, "")</f>
      </c>
      <c r="I106" s="11">
        <v>14.5</v>
      </c>
      <c r="J106" s="3">
        <v>77</v>
      </c>
      <c r="K106" s="2" t="s">
        <v>28</v>
      </c>
    </row>
    <row x14ac:dyDescent="0.25" r="107" customHeight="1" ht="18.75">
      <c r="A107" s="2"/>
      <c r="B107" s="2" t="s">
        <v>126</v>
      </c>
      <c r="C107" s="3">
        <v>4</v>
      </c>
      <c r="D107" s="11">
        <v>27.2</v>
      </c>
      <c r="E107" s="3">
        <v>2300</v>
      </c>
      <c r="F107" s="3">
        <v>119</v>
      </c>
      <c r="G107" s="3">
        <v>97</v>
      </c>
      <c r="H107" s="11">
        <f>IFERROR(G107/E107, "")</f>
      </c>
      <c r="I107" s="11">
        <v>14.7</v>
      </c>
      <c r="J107" s="3">
        <v>78</v>
      </c>
      <c r="K107" s="2" t="s">
        <v>28</v>
      </c>
    </row>
    <row x14ac:dyDescent="0.25" r="108" customHeight="1" ht="18.75">
      <c r="A108" s="2"/>
      <c r="B108" s="2" t="s">
        <v>127</v>
      </c>
      <c r="C108" s="3">
        <v>4</v>
      </c>
      <c r="D108" s="11">
        <v>23.9</v>
      </c>
      <c r="E108" s="3">
        <v>2405</v>
      </c>
      <c r="F108" s="3">
        <v>119</v>
      </c>
      <c r="G108" s="3">
        <v>97</v>
      </c>
      <c r="H108" s="11">
        <f>IFERROR(G108/E108, "")</f>
      </c>
      <c r="I108" s="11">
        <v>14.9</v>
      </c>
      <c r="J108" s="3">
        <v>78</v>
      </c>
      <c r="K108" s="2" t="s">
        <v>28</v>
      </c>
    </row>
    <row x14ac:dyDescent="0.25" r="109" customHeight="1" ht="18.75">
      <c r="A109" s="2"/>
      <c r="B109" s="2" t="s">
        <v>128</v>
      </c>
      <c r="C109" s="3">
        <v>4</v>
      </c>
      <c r="D109" s="11">
        <v>21.1</v>
      </c>
      <c r="E109" s="3">
        <v>2515</v>
      </c>
      <c r="F109" s="3">
        <v>134</v>
      </c>
      <c r="G109" s="3">
        <v>95</v>
      </c>
      <c r="H109" s="11">
        <f>IFERROR(G109/E109, "")</f>
      </c>
      <c r="I109" s="11">
        <v>14.8</v>
      </c>
      <c r="J109" s="3">
        <v>78</v>
      </c>
      <c r="K109" s="2" t="s">
        <v>28</v>
      </c>
    </row>
    <row x14ac:dyDescent="0.25" r="110" customHeight="1" ht="18.75">
      <c r="A110" s="2"/>
      <c r="B110" s="2" t="s">
        <v>102</v>
      </c>
      <c r="C110" s="3">
        <v>4</v>
      </c>
      <c r="D110" s="11">
        <v>27.5</v>
      </c>
      <c r="E110" s="3">
        <v>2560</v>
      </c>
      <c r="F110" s="3">
        <v>134</v>
      </c>
      <c r="G110" s="3">
        <v>95</v>
      </c>
      <c r="H110" s="11">
        <f>IFERROR(G110/E110, "")</f>
      </c>
      <c r="I110" s="11">
        <v>14.2</v>
      </c>
      <c r="J110" s="3">
        <v>78</v>
      </c>
      <c r="K110" s="2" t="s">
        <v>28</v>
      </c>
    </row>
    <row x14ac:dyDescent="0.25" r="111" customHeight="1" ht="18.75">
      <c r="A111" s="2"/>
      <c r="B111" s="2" t="s">
        <v>129</v>
      </c>
      <c r="C111" s="3">
        <v>4</v>
      </c>
      <c r="D111" s="11">
        <v>39.4</v>
      </c>
      <c r="E111" s="3">
        <v>2070</v>
      </c>
      <c r="F111" s="3">
        <v>85</v>
      </c>
      <c r="G111" s="3">
        <v>70</v>
      </c>
      <c r="H111" s="11">
        <f>IFERROR(G111/E111, "")</f>
      </c>
      <c r="I111" s="11">
        <v>18.6</v>
      </c>
      <c r="J111" s="3">
        <v>78</v>
      </c>
      <c r="K111" s="2" t="s">
        <v>28</v>
      </c>
    </row>
    <row x14ac:dyDescent="0.25" r="112" customHeight="1" ht="18.75">
      <c r="A112" s="2"/>
      <c r="B112" s="2" t="s">
        <v>118</v>
      </c>
      <c r="C112" s="3">
        <v>4</v>
      </c>
      <c r="D112" s="11">
        <v>36.1</v>
      </c>
      <c r="E112" s="3">
        <v>1800</v>
      </c>
      <c r="F112" s="3">
        <v>91</v>
      </c>
      <c r="G112" s="3">
        <v>60</v>
      </c>
      <c r="H112" s="11">
        <f>IFERROR(G112/E112, "")</f>
      </c>
      <c r="I112" s="11">
        <v>16.4</v>
      </c>
      <c r="J112" s="3">
        <v>78</v>
      </c>
      <c r="K112" s="2" t="s">
        <v>28</v>
      </c>
    </row>
    <row x14ac:dyDescent="0.25" r="113" customHeight="1" ht="18.75">
      <c r="A113" s="2"/>
      <c r="B113" s="2" t="s">
        <v>130</v>
      </c>
      <c r="C113" s="3">
        <v>4</v>
      </c>
      <c r="D113" s="11">
        <v>29.5</v>
      </c>
      <c r="E113" s="3">
        <v>2135</v>
      </c>
      <c r="F113" s="3">
        <v>98</v>
      </c>
      <c r="G113" s="3">
        <v>68</v>
      </c>
      <c r="H113" s="11">
        <f>IFERROR(G113/E113, "")</f>
      </c>
      <c r="I113" s="11">
        <v>16.6</v>
      </c>
      <c r="J113" s="3">
        <v>78</v>
      </c>
      <c r="K113" s="2" t="s">
        <v>28</v>
      </c>
    </row>
    <row x14ac:dyDescent="0.25" r="114" customHeight="1" ht="18.75">
      <c r="A114" s="2"/>
      <c r="B114" s="2" t="s">
        <v>131</v>
      </c>
      <c r="C114" s="3">
        <v>4</v>
      </c>
      <c r="D114" s="11">
        <v>32.8</v>
      </c>
      <c r="E114" s="3">
        <v>1985</v>
      </c>
      <c r="F114" s="3">
        <v>78</v>
      </c>
      <c r="G114" s="3">
        <v>52</v>
      </c>
      <c r="H114" s="11">
        <f>IFERROR(G114/E114, "")</f>
      </c>
      <c r="I114" s="11">
        <v>19.4</v>
      </c>
      <c r="J114" s="3">
        <v>78</v>
      </c>
      <c r="K114" s="2" t="s">
        <v>28</v>
      </c>
    </row>
    <row x14ac:dyDescent="0.25" r="115" customHeight="1" ht="18.75">
      <c r="A115" s="2"/>
      <c r="B115" s="2" t="s">
        <v>132</v>
      </c>
      <c r="C115" s="3">
        <v>4</v>
      </c>
      <c r="D115" s="11">
        <v>34.1</v>
      </c>
      <c r="E115" s="3">
        <v>1975</v>
      </c>
      <c r="F115" s="3">
        <v>86</v>
      </c>
      <c r="G115" s="3">
        <v>65</v>
      </c>
      <c r="H115" s="11">
        <f>IFERROR(G115/E115, "")</f>
      </c>
      <c r="I115" s="11">
        <v>15.2</v>
      </c>
      <c r="J115" s="3">
        <v>79</v>
      </c>
      <c r="K115" s="2" t="s">
        <v>28</v>
      </c>
    </row>
    <row x14ac:dyDescent="0.25" r="116" customHeight="1" ht="18.75">
      <c r="A116" s="2"/>
      <c r="B116" s="2" t="s">
        <v>133</v>
      </c>
      <c r="C116" s="3">
        <v>4</v>
      </c>
      <c r="D116" s="11">
        <v>31.8</v>
      </c>
      <c r="E116" s="3">
        <v>2020</v>
      </c>
      <c r="F116" s="3">
        <v>85</v>
      </c>
      <c r="G116" s="3">
        <v>65</v>
      </c>
      <c r="H116" s="11">
        <f>IFERROR(G116/E116, "")</f>
      </c>
      <c r="I116" s="11">
        <v>19.2</v>
      </c>
      <c r="J116" s="3">
        <v>79</v>
      </c>
      <c r="K116" s="2" t="s">
        <v>28</v>
      </c>
    </row>
    <row x14ac:dyDescent="0.25" r="117" customHeight="1" ht="18.75">
      <c r="A117" s="2"/>
      <c r="B117" s="2" t="s">
        <v>134</v>
      </c>
      <c r="C117" s="3">
        <v>3</v>
      </c>
      <c r="D117" s="11">
        <v>23.7</v>
      </c>
      <c r="E117" s="3">
        <v>2420</v>
      </c>
      <c r="F117" s="3">
        <v>70</v>
      </c>
      <c r="G117" s="3">
        <v>100</v>
      </c>
      <c r="H117" s="11">
        <f>IFERROR(G117/E117, "")</f>
      </c>
      <c r="I117" s="11">
        <v>12.5</v>
      </c>
      <c r="J117" s="3">
        <v>80</v>
      </c>
      <c r="K117" s="2" t="s">
        <v>28</v>
      </c>
    </row>
    <row x14ac:dyDescent="0.25" r="118" customHeight="1" ht="18.75">
      <c r="A118" s="2"/>
      <c r="B118" s="2" t="s">
        <v>135</v>
      </c>
      <c r="C118" s="3">
        <v>4</v>
      </c>
      <c r="D118" s="3">
        <v>37</v>
      </c>
      <c r="E118" s="3">
        <v>2434</v>
      </c>
      <c r="F118" s="3">
        <v>119</v>
      </c>
      <c r="G118" s="3">
        <v>92</v>
      </c>
      <c r="H118" s="11">
        <f>IFERROR(G118/E118, "")</f>
      </c>
      <c r="I118" s="3">
        <v>15</v>
      </c>
      <c r="J118" s="3">
        <v>80</v>
      </c>
      <c r="K118" s="2" t="s">
        <v>28</v>
      </c>
    </row>
    <row x14ac:dyDescent="0.25" r="119" customHeight="1" ht="18.75">
      <c r="A119" s="2"/>
      <c r="B119" s="2" t="s">
        <v>136</v>
      </c>
      <c r="C119" s="3">
        <v>4</v>
      </c>
      <c r="D119" s="11">
        <v>44.6</v>
      </c>
      <c r="E119" s="3">
        <v>1850</v>
      </c>
      <c r="F119" s="3">
        <v>91</v>
      </c>
      <c r="G119" s="3">
        <v>67</v>
      </c>
      <c r="H119" s="11">
        <f>IFERROR(G119/E119, "")</f>
      </c>
      <c r="I119" s="11">
        <v>13.8</v>
      </c>
      <c r="J119" s="3">
        <v>80</v>
      </c>
      <c r="K119" s="2" t="s">
        <v>28</v>
      </c>
    </row>
    <row x14ac:dyDescent="0.25" r="120" customHeight="1" ht="18.75">
      <c r="A120" s="2"/>
      <c r="B120" s="2" t="s">
        <v>137</v>
      </c>
      <c r="C120" s="3">
        <v>4</v>
      </c>
      <c r="D120" s="11">
        <v>29.8</v>
      </c>
      <c r="E120" s="3">
        <v>2711</v>
      </c>
      <c r="F120" s="3">
        <v>134</v>
      </c>
      <c r="G120" s="3">
        <v>90</v>
      </c>
      <c r="H120" s="11">
        <f>IFERROR(G120/E120, "")</f>
      </c>
      <c r="I120" s="11">
        <v>15.5</v>
      </c>
      <c r="J120" s="3">
        <v>80</v>
      </c>
      <c r="K120" s="2" t="s">
        <v>28</v>
      </c>
    </row>
    <row x14ac:dyDescent="0.25" r="121" customHeight="1" ht="18.75">
      <c r="A121" s="2"/>
      <c r="B121" s="2" t="s">
        <v>117</v>
      </c>
      <c r="C121" s="3">
        <v>4</v>
      </c>
      <c r="D121" s="11">
        <v>32.2</v>
      </c>
      <c r="E121" s="3">
        <v>2265</v>
      </c>
      <c r="F121" s="3">
        <v>108</v>
      </c>
      <c r="G121" s="3">
        <v>75</v>
      </c>
      <c r="H121" s="11">
        <f>IFERROR(G121/E121, "")</f>
      </c>
      <c r="I121" s="11">
        <v>15.2</v>
      </c>
      <c r="J121" s="3">
        <v>80</v>
      </c>
      <c r="K121" s="2" t="s">
        <v>28</v>
      </c>
    </row>
    <row x14ac:dyDescent="0.25" r="122" customHeight="1" ht="18.75">
      <c r="A122" s="2"/>
      <c r="B122" s="2" t="s">
        <v>138</v>
      </c>
      <c r="C122" s="3">
        <v>4</v>
      </c>
      <c r="D122" s="11">
        <v>37.2</v>
      </c>
      <c r="E122" s="3">
        <v>2019</v>
      </c>
      <c r="F122" s="3">
        <v>86</v>
      </c>
      <c r="G122" s="3">
        <v>65</v>
      </c>
      <c r="H122" s="11">
        <f>IFERROR(G122/E122, "")</f>
      </c>
      <c r="I122" s="11">
        <v>16.4</v>
      </c>
      <c r="J122" s="3">
        <v>80</v>
      </c>
      <c r="K122" s="2" t="s">
        <v>28</v>
      </c>
    </row>
    <row x14ac:dyDescent="0.25" r="123" customHeight="1" ht="18.75">
      <c r="A123" s="2"/>
      <c r="B123" s="2" t="s">
        <v>139</v>
      </c>
      <c r="C123" s="3">
        <v>4</v>
      </c>
      <c r="D123" s="11">
        <v>32.4</v>
      </c>
      <c r="E123" s="3">
        <v>2290</v>
      </c>
      <c r="F123" s="3">
        <v>107</v>
      </c>
      <c r="G123" s="3">
        <v>72</v>
      </c>
      <c r="H123" s="11">
        <f>IFERROR(G123/E123, "")</f>
      </c>
      <c r="I123" s="3">
        <v>17</v>
      </c>
      <c r="J123" s="3">
        <v>80</v>
      </c>
      <c r="K123" s="2" t="s">
        <v>28</v>
      </c>
    </row>
    <row x14ac:dyDescent="0.25" r="124" customHeight="1" ht="18.75">
      <c r="A124" s="2"/>
      <c r="B124" s="2" t="s">
        <v>122</v>
      </c>
      <c r="C124" s="3">
        <v>4</v>
      </c>
      <c r="D124" s="11">
        <v>33.8</v>
      </c>
      <c r="E124" s="3">
        <v>2145</v>
      </c>
      <c r="F124" s="3">
        <v>97</v>
      </c>
      <c r="G124" s="3">
        <v>67</v>
      </c>
      <c r="H124" s="11">
        <f>IFERROR(G124/E124, "")</f>
      </c>
      <c r="I124" s="3">
        <v>18</v>
      </c>
      <c r="J124" s="3">
        <v>80</v>
      </c>
      <c r="K124" s="2" t="s">
        <v>28</v>
      </c>
    </row>
    <row x14ac:dyDescent="0.25" r="125" customHeight="1" ht="18.75">
      <c r="A125" s="2"/>
      <c r="B125" s="2" t="s">
        <v>133</v>
      </c>
      <c r="C125" s="3">
        <v>4</v>
      </c>
      <c r="D125" s="11">
        <v>40.8</v>
      </c>
      <c r="E125" s="3">
        <v>2110</v>
      </c>
      <c r="F125" s="3">
        <v>85</v>
      </c>
      <c r="G125" s="3">
        <v>65</v>
      </c>
      <c r="H125" s="11">
        <f>IFERROR(G125/E125, "")</f>
      </c>
      <c r="I125" s="11">
        <v>19.2</v>
      </c>
      <c r="J125" s="3">
        <v>80</v>
      </c>
      <c r="K125" s="2" t="s">
        <v>28</v>
      </c>
    </row>
    <row x14ac:dyDescent="0.25" r="126" customHeight="1" ht="18.75">
      <c r="A126" s="2"/>
      <c r="B126" s="2" t="s">
        <v>140</v>
      </c>
      <c r="C126" s="3">
        <v>4</v>
      </c>
      <c r="D126" s="11">
        <v>46.6</v>
      </c>
      <c r="E126" s="3">
        <v>2110</v>
      </c>
      <c r="F126" s="3">
        <v>86</v>
      </c>
      <c r="G126" s="3">
        <v>65</v>
      </c>
      <c r="H126" s="11">
        <f>IFERROR(G126/E126, "")</f>
      </c>
      <c r="I126" s="11">
        <v>17.9</v>
      </c>
      <c r="J126" s="3">
        <v>80</v>
      </c>
      <c r="K126" s="2" t="s">
        <v>28</v>
      </c>
    </row>
    <row x14ac:dyDescent="0.25" r="127" customHeight="1" ht="18.75">
      <c r="A127" s="2"/>
      <c r="B127" s="2" t="s">
        <v>141</v>
      </c>
      <c r="C127" s="3">
        <v>4</v>
      </c>
      <c r="D127" s="11">
        <v>38.1</v>
      </c>
      <c r="E127" s="3">
        <v>1968</v>
      </c>
      <c r="F127" s="3">
        <v>89</v>
      </c>
      <c r="G127" s="3">
        <v>60</v>
      </c>
      <c r="H127" s="11">
        <f>IFERROR(G127/E127, "")</f>
      </c>
      <c r="I127" s="11">
        <v>18.8</v>
      </c>
      <c r="J127" s="3">
        <v>80</v>
      </c>
      <c r="K127" s="2" t="s">
        <v>28</v>
      </c>
    </row>
    <row x14ac:dyDescent="0.25" r="128" customHeight="1" ht="18.75">
      <c r="A128" s="2"/>
      <c r="B128" s="2" t="s">
        <v>142</v>
      </c>
      <c r="C128" s="3">
        <v>4</v>
      </c>
      <c r="D128" s="11">
        <v>31.3</v>
      </c>
      <c r="E128" s="3">
        <v>2542</v>
      </c>
      <c r="F128" s="3">
        <v>120</v>
      </c>
      <c r="G128" s="3">
        <v>75</v>
      </c>
      <c r="H128" s="11">
        <f>IFERROR(G128/E128, "")</f>
      </c>
      <c r="I128" s="11">
        <v>17.5</v>
      </c>
      <c r="J128" s="3">
        <v>80</v>
      </c>
      <c r="K128" s="2" t="s">
        <v>28</v>
      </c>
    </row>
    <row x14ac:dyDescent="0.25" r="129" customHeight="1" ht="18.75">
      <c r="A129" s="2"/>
      <c r="B129" s="2" t="s">
        <v>143</v>
      </c>
      <c r="C129" s="3">
        <v>6</v>
      </c>
      <c r="D129" s="11">
        <v>32.7</v>
      </c>
      <c r="E129" s="3">
        <v>2910</v>
      </c>
      <c r="F129" s="3">
        <v>168</v>
      </c>
      <c r="G129" s="3">
        <v>132</v>
      </c>
      <c r="H129" s="11">
        <f>IFERROR(G129/E129, "")</f>
      </c>
      <c r="I129" s="11">
        <v>11.4</v>
      </c>
      <c r="J129" s="3">
        <v>80</v>
      </c>
      <c r="K129" s="2" t="s">
        <v>28</v>
      </c>
    </row>
    <row x14ac:dyDescent="0.25" r="130" customHeight="1" ht="18.75">
      <c r="A130" s="2"/>
      <c r="B130" s="2" t="s">
        <v>144</v>
      </c>
      <c r="C130" s="3">
        <v>4</v>
      </c>
      <c r="D130" s="11">
        <v>32.9</v>
      </c>
      <c r="E130" s="3">
        <v>2615</v>
      </c>
      <c r="F130" s="3">
        <v>119</v>
      </c>
      <c r="G130" s="3">
        <v>100</v>
      </c>
      <c r="H130" s="11">
        <f>IFERROR(G130/E130, "")</f>
      </c>
      <c r="I130" s="11">
        <v>14.8</v>
      </c>
      <c r="J130" s="3">
        <v>81</v>
      </c>
      <c r="K130" s="2" t="s">
        <v>28</v>
      </c>
    </row>
    <row x14ac:dyDescent="0.25" r="131" customHeight="1" ht="18.75">
      <c r="A131" s="2"/>
      <c r="B131" s="2" t="s">
        <v>145</v>
      </c>
      <c r="C131" s="3">
        <v>4</v>
      </c>
      <c r="D131" s="11">
        <v>34.1</v>
      </c>
      <c r="E131" s="3">
        <v>1985</v>
      </c>
      <c r="F131" s="3">
        <v>91</v>
      </c>
      <c r="G131" s="3">
        <v>68</v>
      </c>
      <c r="H131" s="11">
        <f>IFERROR(G131/E131, "")</f>
      </c>
      <c r="I131" s="3">
        <v>16</v>
      </c>
      <c r="J131" s="3">
        <v>81</v>
      </c>
      <c r="K131" s="2" t="s">
        <v>28</v>
      </c>
    </row>
    <row x14ac:dyDescent="0.25" r="132" customHeight="1" ht="18.75">
      <c r="A132" s="2"/>
      <c r="B132" s="2" t="s">
        <v>146</v>
      </c>
      <c r="C132" s="3">
        <v>4</v>
      </c>
      <c r="D132" s="11">
        <v>35.1</v>
      </c>
      <c r="E132" s="3">
        <v>1760</v>
      </c>
      <c r="F132" s="3">
        <v>81</v>
      </c>
      <c r="G132" s="3">
        <v>60</v>
      </c>
      <c r="H132" s="11">
        <f>IFERROR(G132/E132, "")</f>
      </c>
      <c r="I132" s="11">
        <v>16.1</v>
      </c>
      <c r="J132" s="3">
        <v>81</v>
      </c>
      <c r="K132" s="2" t="s">
        <v>28</v>
      </c>
    </row>
    <row x14ac:dyDescent="0.25" r="133" customHeight="1" ht="18.75">
      <c r="A133" s="2"/>
      <c r="B133" s="2" t="s">
        <v>147</v>
      </c>
      <c r="C133" s="3">
        <v>4</v>
      </c>
      <c r="D133" s="11">
        <v>33.7</v>
      </c>
      <c r="E133" s="3">
        <v>2210</v>
      </c>
      <c r="F133" s="3">
        <v>107</v>
      </c>
      <c r="G133" s="3">
        <v>75</v>
      </c>
      <c r="H133" s="11">
        <f>IFERROR(G133/E133, "")</f>
      </c>
      <c r="I133" s="11">
        <v>14.4</v>
      </c>
      <c r="J133" s="3">
        <v>81</v>
      </c>
      <c r="K133" s="2" t="s">
        <v>28</v>
      </c>
    </row>
    <row x14ac:dyDescent="0.25" r="134" customHeight="1" ht="18.75">
      <c r="A134" s="2"/>
      <c r="B134" s="2" t="s">
        <v>148</v>
      </c>
      <c r="C134" s="3">
        <v>4</v>
      </c>
      <c r="D134" s="11">
        <v>39.1</v>
      </c>
      <c r="E134" s="3">
        <v>1755</v>
      </c>
      <c r="F134" s="3">
        <v>79</v>
      </c>
      <c r="G134" s="3">
        <v>58</v>
      </c>
      <c r="H134" s="11">
        <f>IFERROR(G134/E134, "")</f>
      </c>
      <c r="I134" s="11">
        <v>16.9</v>
      </c>
      <c r="J134" s="3">
        <v>81</v>
      </c>
      <c r="K134" s="2" t="s">
        <v>28</v>
      </c>
    </row>
    <row x14ac:dyDescent="0.25" r="135" customHeight="1" ht="18.75">
      <c r="A135" s="2"/>
      <c r="B135" s="2" t="s">
        <v>149</v>
      </c>
      <c r="C135" s="3">
        <v>4</v>
      </c>
      <c r="D135" s="3">
        <v>37</v>
      </c>
      <c r="E135" s="3">
        <v>1975</v>
      </c>
      <c r="F135" s="3">
        <v>85</v>
      </c>
      <c r="G135" s="3">
        <v>65</v>
      </c>
      <c r="H135" s="11">
        <f>IFERROR(G135/E135, "")</f>
      </c>
      <c r="I135" s="11">
        <v>19.4</v>
      </c>
      <c r="J135" s="3">
        <v>81</v>
      </c>
      <c r="K135" s="2" t="s">
        <v>28</v>
      </c>
    </row>
    <row x14ac:dyDescent="0.25" r="136" customHeight="1" ht="18.75">
      <c r="A136" s="2"/>
      <c r="B136" s="2" t="s">
        <v>114</v>
      </c>
      <c r="C136" s="3">
        <v>4</v>
      </c>
      <c r="D136" s="11">
        <v>32.3</v>
      </c>
      <c r="E136" s="3">
        <v>2065</v>
      </c>
      <c r="F136" s="3">
        <v>97</v>
      </c>
      <c r="G136" s="3">
        <v>67</v>
      </c>
      <c r="H136" s="11">
        <f>IFERROR(G136/E136, "")</f>
      </c>
      <c r="I136" s="11">
        <v>17.8</v>
      </c>
      <c r="J136" s="3">
        <v>81</v>
      </c>
      <c r="K136" s="2" t="s">
        <v>28</v>
      </c>
    </row>
    <row x14ac:dyDescent="0.25" r="137" customHeight="1" ht="18.75">
      <c r="A137" s="2"/>
      <c r="B137" s="2" t="s">
        <v>117</v>
      </c>
      <c r="C137" s="3">
        <v>4</v>
      </c>
      <c r="D137" s="11">
        <v>32.4</v>
      </c>
      <c r="E137" s="3">
        <v>2350</v>
      </c>
      <c r="F137" s="3">
        <v>108</v>
      </c>
      <c r="G137" s="3">
        <v>75</v>
      </c>
      <c r="H137" s="11">
        <f>IFERROR(G137/E137, "")</f>
      </c>
      <c r="I137" s="11">
        <v>16.8</v>
      </c>
      <c r="J137" s="3">
        <v>81</v>
      </c>
      <c r="K137" s="2" t="s">
        <v>28</v>
      </c>
    </row>
    <row x14ac:dyDescent="0.25" r="138" customHeight="1" ht="18.75">
      <c r="A138" s="2"/>
      <c r="B138" s="2" t="s">
        <v>150</v>
      </c>
      <c r="C138" s="3">
        <v>4</v>
      </c>
      <c r="D138" s="11">
        <v>37.7</v>
      </c>
      <c r="E138" s="3">
        <v>2050</v>
      </c>
      <c r="F138" s="3">
        <v>89</v>
      </c>
      <c r="G138" s="3">
        <v>62</v>
      </c>
      <c r="H138" s="11">
        <f>IFERROR(G138/E138, "")</f>
      </c>
      <c r="I138" s="11">
        <v>17.3</v>
      </c>
      <c r="J138" s="3">
        <v>81</v>
      </c>
      <c r="K138" s="2" t="s">
        <v>28</v>
      </c>
    </row>
    <row x14ac:dyDescent="0.25" r="139" customHeight="1" ht="18.75">
      <c r="A139" s="2"/>
      <c r="B139" s="2" t="s">
        <v>142</v>
      </c>
      <c r="C139" s="3">
        <v>4</v>
      </c>
      <c r="D139" s="11">
        <v>31.6</v>
      </c>
      <c r="E139" s="3">
        <v>2635</v>
      </c>
      <c r="F139" s="3">
        <v>120</v>
      </c>
      <c r="G139" s="3">
        <v>74</v>
      </c>
      <c r="H139" s="11">
        <f>IFERROR(G139/E139, "")</f>
      </c>
      <c r="I139" s="11">
        <v>18.3</v>
      </c>
      <c r="J139" s="3">
        <v>81</v>
      </c>
      <c r="K139" s="2" t="s">
        <v>28</v>
      </c>
    </row>
    <row x14ac:dyDescent="0.25" r="140" customHeight="1" ht="18.75">
      <c r="A140" s="2"/>
      <c r="B140" s="2" t="s">
        <v>151</v>
      </c>
      <c r="C140" s="3">
        <v>6</v>
      </c>
      <c r="D140" s="11">
        <v>24.2</v>
      </c>
      <c r="E140" s="3">
        <v>2930</v>
      </c>
      <c r="F140" s="3">
        <v>146</v>
      </c>
      <c r="G140" s="3">
        <v>120</v>
      </c>
      <c r="H140" s="11">
        <f>IFERROR(G140/E140, "")</f>
      </c>
      <c r="I140" s="11">
        <v>13.8</v>
      </c>
      <c r="J140" s="3">
        <v>81</v>
      </c>
      <c r="K140" s="2" t="s">
        <v>28</v>
      </c>
    </row>
    <row x14ac:dyDescent="0.25" r="141" customHeight="1" ht="18.75">
      <c r="A141" s="2"/>
      <c r="B141" s="2" t="s">
        <v>152</v>
      </c>
      <c r="C141" s="3">
        <v>6</v>
      </c>
      <c r="D141" s="11">
        <v>25.4</v>
      </c>
      <c r="E141" s="3">
        <v>2900</v>
      </c>
      <c r="F141" s="3">
        <v>168</v>
      </c>
      <c r="G141" s="3">
        <v>116</v>
      </c>
      <c r="H141" s="11">
        <f>IFERROR(G141/E141, "")</f>
      </c>
      <c r="I141" s="11">
        <v>12.6</v>
      </c>
      <c r="J141" s="3">
        <v>81</v>
      </c>
      <c r="K141" s="2" t="s">
        <v>28</v>
      </c>
    </row>
    <row x14ac:dyDescent="0.25" r="142" customHeight="1" ht="18.75">
      <c r="A142" s="2"/>
      <c r="B142" s="2" t="s">
        <v>153</v>
      </c>
      <c r="C142" s="3">
        <v>4</v>
      </c>
      <c r="D142" s="3">
        <v>36</v>
      </c>
      <c r="E142" s="3">
        <v>2160</v>
      </c>
      <c r="F142" s="3">
        <v>120</v>
      </c>
      <c r="G142" s="3">
        <v>88</v>
      </c>
      <c r="H142" s="11">
        <f>IFERROR(G142/E142, "")</f>
      </c>
      <c r="I142" s="11">
        <v>14.5</v>
      </c>
      <c r="J142" s="3">
        <v>82</v>
      </c>
      <c r="K142" s="2" t="s">
        <v>28</v>
      </c>
    </row>
    <row x14ac:dyDescent="0.25" r="143" customHeight="1" ht="18.75">
      <c r="A143" s="2"/>
      <c r="B143" s="2" t="s">
        <v>154</v>
      </c>
      <c r="C143" s="3">
        <v>4</v>
      </c>
      <c r="D143" s="3">
        <v>32</v>
      </c>
      <c r="E143" s="3">
        <v>2665</v>
      </c>
      <c r="F143" s="3">
        <v>144</v>
      </c>
      <c r="G143" s="3">
        <v>96</v>
      </c>
      <c r="H143" s="11">
        <f>IFERROR(G143/E143, "")</f>
      </c>
      <c r="I143" s="11">
        <v>13.9</v>
      </c>
      <c r="J143" s="3">
        <v>82</v>
      </c>
      <c r="K143" s="2" t="s">
        <v>28</v>
      </c>
    </row>
    <row x14ac:dyDescent="0.25" r="144" customHeight="1" ht="18.75">
      <c r="A144" s="2"/>
      <c r="B144" s="2" t="s">
        <v>155</v>
      </c>
      <c r="C144" s="3">
        <v>4</v>
      </c>
      <c r="D144" s="3">
        <v>31</v>
      </c>
      <c r="E144" s="3">
        <v>1970</v>
      </c>
      <c r="F144" s="3">
        <v>91</v>
      </c>
      <c r="G144" s="3">
        <v>68</v>
      </c>
      <c r="H144" s="11">
        <f>IFERROR(G144/E144, "")</f>
      </c>
      <c r="I144" s="11">
        <v>17.6</v>
      </c>
      <c r="J144" s="3">
        <v>82</v>
      </c>
      <c r="K144" s="2" t="s">
        <v>28</v>
      </c>
    </row>
    <row x14ac:dyDescent="0.25" r="145" customHeight="1" ht="18.75">
      <c r="A145" s="2"/>
      <c r="B145" s="2" t="s">
        <v>113</v>
      </c>
      <c r="C145" s="3">
        <v>4</v>
      </c>
      <c r="D145" s="3">
        <v>38</v>
      </c>
      <c r="E145" s="3">
        <v>1965</v>
      </c>
      <c r="F145" s="3">
        <v>91</v>
      </c>
      <c r="G145" s="3">
        <v>67</v>
      </c>
      <c r="H145" s="11">
        <f>IFERROR(G145/E145, "")</f>
      </c>
      <c r="I145" s="3">
        <v>15</v>
      </c>
      <c r="J145" s="3">
        <v>82</v>
      </c>
      <c r="K145" s="2" t="s">
        <v>28</v>
      </c>
    </row>
    <row x14ac:dyDescent="0.25" r="146" customHeight="1" ht="18.75">
      <c r="A146" s="2"/>
      <c r="B146" s="2" t="s">
        <v>156</v>
      </c>
      <c r="C146" s="3">
        <v>4</v>
      </c>
      <c r="D146" s="3">
        <v>32</v>
      </c>
      <c r="E146" s="3">
        <v>1965</v>
      </c>
      <c r="F146" s="3">
        <v>91</v>
      </c>
      <c r="G146" s="3">
        <v>67</v>
      </c>
      <c r="H146" s="11">
        <f>IFERROR(G146/E146, "")</f>
      </c>
      <c r="I146" s="11">
        <v>15.7</v>
      </c>
      <c r="J146" s="3">
        <v>82</v>
      </c>
      <c r="K146" s="2" t="s">
        <v>28</v>
      </c>
    </row>
    <row x14ac:dyDescent="0.25" r="147" customHeight="1" ht="18.75">
      <c r="A147" s="2"/>
      <c r="B147" s="2" t="s">
        <v>139</v>
      </c>
      <c r="C147" s="3">
        <v>4</v>
      </c>
      <c r="D147" s="3">
        <v>36</v>
      </c>
      <c r="E147" s="3">
        <v>2205</v>
      </c>
      <c r="F147" s="3">
        <v>107</v>
      </c>
      <c r="G147" s="3">
        <v>75</v>
      </c>
      <c r="H147" s="11">
        <f>IFERROR(G147/E147, "")</f>
      </c>
      <c r="I147" s="11">
        <v>14.5</v>
      </c>
      <c r="J147" s="3">
        <v>82</v>
      </c>
      <c r="K147" s="2" t="s">
        <v>28</v>
      </c>
    </row>
    <row x14ac:dyDescent="0.25" r="148" customHeight="1" ht="18.75">
      <c r="A148" s="2"/>
      <c r="B148" s="2" t="s">
        <v>157</v>
      </c>
      <c r="C148" s="3">
        <v>4</v>
      </c>
      <c r="D148" s="3">
        <v>38</v>
      </c>
      <c r="E148" s="3">
        <v>1995</v>
      </c>
      <c r="F148" s="3">
        <v>91</v>
      </c>
      <c r="G148" s="3">
        <v>67</v>
      </c>
      <c r="H148" s="11">
        <f>IFERROR(G148/E148, "")</f>
      </c>
      <c r="I148" s="11">
        <v>16.2</v>
      </c>
      <c r="J148" s="3">
        <v>82</v>
      </c>
      <c r="K148" s="2" t="s">
        <v>28</v>
      </c>
    </row>
    <row x14ac:dyDescent="0.25" r="149" customHeight="1" ht="18.75">
      <c r="A149" s="2"/>
      <c r="B149" s="2" t="s">
        <v>158</v>
      </c>
      <c r="C149" s="3">
        <v>4</v>
      </c>
      <c r="D149" s="3">
        <v>37</v>
      </c>
      <c r="E149" s="3">
        <v>2025</v>
      </c>
      <c r="F149" s="3">
        <v>91</v>
      </c>
      <c r="G149" s="3">
        <v>68</v>
      </c>
      <c r="H149" s="11">
        <f>IFERROR(G149/E149, "")</f>
      </c>
      <c r="I149" s="11">
        <v>18.2</v>
      </c>
      <c r="J149" s="3">
        <v>82</v>
      </c>
      <c r="K149" s="2" t="s">
        <v>28</v>
      </c>
    </row>
    <row x14ac:dyDescent="0.25" r="150" customHeight="1" ht="18.75">
      <c r="A150" s="2"/>
      <c r="B150" s="2" t="s">
        <v>117</v>
      </c>
      <c r="C150" s="3">
        <v>4</v>
      </c>
      <c r="D150" s="3">
        <v>34</v>
      </c>
      <c r="E150" s="3">
        <v>2245</v>
      </c>
      <c r="F150" s="3">
        <v>108</v>
      </c>
      <c r="G150" s="3">
        <v>70</v>
      </c>
      <c r="H150" s="11">
        <f>IFERROR(G150/E150, "")</f>
      </c>
      <c r="I150" s="11">
        <v>16.9</v>
      </c>
      <c r="J150" s="3">
        <v>82</v>
      </c>
      <c r="K150" s="2" t="s">
        <v>28</v>
      </c>
    </row>
    <row x14ac:dyDescent="0.25" r="151" customHeight="1" ht="18.75">
      <c r="A151" s="2"/>
      <c r="B151" s="2" t="s">
        <v>159</v>
      </c>
      <c r="C151" s="3">
        <v>6</v>
      </c>
      <c r="D151" s="3">
        <v>18</v>
      </c>
      <c r="E151" s="3">
        <v>2774</v>
      </c>
      <c r="F151" s="3">
        <v>199</v>
      </c>
      <c r="G151" s="3">
        <v>97</v>
      </c>
      <c r="H151" s="11">
        <f>IFERROR(G151/E151, "")</f>
      </c>
      <c r="I151" s="11">
        <v>15.5</v>
      </c>
      <c r="J151" s="3">
        <v>70</v>
      </c>
      <c r="K151" s="2" t="s">
        <v>29</v>
      </c>
    </row>
    <row x14ac:dyDescent="0.25" r="152" customHeight="1" ht="18.75">
      <c r="A152" s="2"/>
      <c r="B152" s="2" t="s">
        <v>160</v>
      </c>
      <c r="C152" s="3">
        <v>6</v>
      </c>
      <c r="D152" s="3">
        <v>21</v>
      </c>
      <c r="E152" s="3">
        <v>2648</v>
      </c>
      <c r="F152" s="3">
        <v>199</v>
      </c>
      <c r="G152" s="3">
        <v>90</v>
      </c>
      <c r="H152" s="11">
        <f>IFERROR(G152/E152, "")</f>
      </c>
      <c r="I152" s="3">
        <v>15</v>
      </c>
      <c r="J152" s="3">
        <v>70</v>
      </c>
      <c r="K152" s="2" t="s">
        <v>29</v>
      </c>
    </row>
    <row x14ac:dyDescent="0.25" r="153" customHeight="1" ht="18.75">
      <c r="A153" s="2"/>
      <c r="B153" s="2" t="s">
        <v>161</v>
      </c>
      <c r="C153" s="3">
        <v>6</v>
      </c>
      <c r="D153" s="3">
        <v>22</v>
      </c>
      <c r="E153" s="3">
        <v>2833</v>
      </c>
      <c r="F153" s="3">
        <v>198</v>
      </c>
      <c r="G153" s="3">
        <v>95</v>
      </c>
      <c r="H153" s="11">
        <f>IFERROR(G153/E153, "")</f>
      </c>
      <c r="I153" s="11">
        <v>15.5</v>
      </c>
      <c r="J153" s="3">
        <v>70</v>
      </c>
      <c r="K153" s="2" t="s">
        <v>29</v>
      </c>
    </row>
    <row x14ac:dyDescent="0.25" r="154" customHeight="1" ht="18.75">
      <c r="A154" s="2"/>
      <c r="B154" s="2" t="s">
        <v>162</v>
      </c>
      <c r="C154" s="3">
        <v>6</v>
      </c>
      <c r="D154" s="3">
        <v>21</v>
      </c>
      <c r="E154" s="3">
        <v>2587</v>
      </c>
      <c r="F154" s="3">
        <v>200</v>
      </c>
      <c r="G154" s="3">
        <v>85</v>
      </c>
      <c r="H154" s="11">
        <f>IFERROR(G154/E154, "")</f>
      </c>
      <c r="I154" s="3">
        <v>16</v>
      </c>
      <c r="J154" s="3">
        <v>70</v>
      </c>
      <c r="K154" s="2" t="s">
        <v>29</v>
      </c>
    </row>
    <row x14ac:dyDescent="0.25" r="155" customHeight="1" ht="18.75">
      <c r="A155" s="2"/>
      <c r="B155" s="2" t="s">
        <v>163</v>
      </c>
      <c r="C155" s="3">
        <v>8</v>
      </c>
      <c r="D155" s="3">
        <v>14</v>
      </c>
      <c r="E155" s="3">
        <v>3086</v>
      </c>
      <c r="F155" s="3">
        <v>455</v>
      </c>
      <c r="G155" s="3">
        <v>225</v>
      </c>
      <c r="H155" s="11">
        <f>IFERROR(G155/E155, "")</f>
      </c>
      <c r="I155" s="3">
        <v>10</v>
      </c>
      <c r="J155" s="3">
        <v>70</v>
      </c>
      <c r="K155" s="2" t="s">
        <v>29</v>
      </c>
    </row>
    <row x14ac:dyDescent="0.25" r="156" customHeight="1" ht="18.75">
      <c r="A156" s="2"/>
      <c r="B156" s="2" t="s">
        <v>164</v>
      </c>
      <c r="C156" s="3">
        <v>8</v>
      </c>
      <c r="D156" s="3">
        <v>14</v>
      </c>
      <c r="E156" s="3">
        <v>4425</v>
      </c>
      <c r="F156" s="3">
        <v>455</v>
      </c>
      <c r="G156" s="3">
        <v>225</v>
      </c>
      <c r="H156" s="11">
        <f>IFERROR(G156/E156, "")</f>
      </c>
      <c r="I156" s="3">
        <v>10</v>
      </c>
      <c r="J156" s="3">
        <v>70</v>
      </c>
      <c r="K156" s="2" t="s">
        <v>29</v>
      </c>
    </row>
    <row x14ac:dyDescent="0.25" r="157" customHeight="1" ht="18.75">
      <c r="A157" s="2"/>
      <c r="B157" s="2" t="s">
        <v>165</v>
      </c>
      <c r="C157" s="3">
        <v>8</v>
      </c>
      <c r="D157" s="3">
        <v>14</v>
      </c>
      <c r="E157" s="3">
        <v>4354</v>
      </c>
      <c r="F157" s="3">
        <v>454</v>
      </c>
      <c r="G157" s="3">
        <v>220</v>
      </c>
      <c r="H157" s="11">
        <f>IFERROR(G157/E157, "")</f>
      </c>
      <c r="I157" s="3">
        <v>9</v>
      </c>
      <c r="J157" s="3">
        <v>70</v>
      </c>
      <c r="K157" s="2" t="s">
        <v>29</v>
      </c>
    </row>
    <row x14ac:dyDescent="0.25" r="158" customHeight="1" ht="18.75">
      <c r="A158" s="2"/>
      <c r="B158" s="2" t="s">
        <v>166</v>
      </c>
      <c r="C158" s="3">
        <v>8</v>
      </c>
      <c r="D158" s="3">
        <v>14</v>
      </c>
      <c r="E158" s="3">
        <v>4312</v>
      </c>
      <c r="F158" s="3">
        <v>440</v>
      </c>
      <c r="G158" s="3">
        <v>215</v>
      </c>
      <c r="H158" s="11">
        <f>IFERROR(G158/E158, "")</f>
      </c>
      <c r="I158" s="11">
        <v>8.5</v>
      </c>
      <c r="J158" s="3">
        <v>70</v>
      </c>
      <c r="K158" s="2" t="s">
        <v>29</v>
      </c>
    </row>
    <row x14ac:dyDescent="0.25" r="159" customHeight="1" ht="18.75">
      <c r="A159" s="2"/>
      <c r="B159" s="2" t="s">
        <v>167</v>
      </c>
      <c r="C159" s="3">
        <v>8</v>
      </c>
      <c r="D159" s="3">
        <v>15</v>
      </c>
      <c r="E159" s="3">
        <v>3850</v>
      </c>
      <c r="F159" s="3">
        <v>390</v>
      </c>
      <c r="G159" s="3">
        <v>190</v>
      </c>
      <c r="H159" s="11">
        <f>IFERROR(G159/E159, "")</f>
      </c>
      <c r="I159" s="11">
        <v>8.5</v>
      </c>
      <c r="J159" s="3">
        <v>70</v>
      </c>
      <c r="K159" s="2" t="s">
        <v>29</v>
      </c>
    </row>
    <row x14ac:dyDescent="0.25" r="160" customHeight="1" ht="18.75">
      <c r="A160" s="2"/>
      <c r="B160" s="2" t="s">
        <v>168</v>
      </c>
      <c r="C160" s="3">
        <v>8</v>
      </c>
      <c r="D160" s="3">
        <v>11</v>
      </c>
      <c r="E160" s="3">
        <v>4382</v>
      </c>
      <c r="F160" s="3">
        <v>318</v>
      </c>
      <c r="G160" s="3">
        <v>210</v>
      </c>
      <c r="H160" s="11">
        <f>IFERROR(G160/E160, "")</f>
      </c>
      <c r="I160" s="11">
        <v>13.5</v>
      </c>
      <c r="J160" s="3">
        <v>70</v>
      </c>
      <c r="K160" s="2" t="s">
        <v>29</v>
      </c>
    </row>
    <row x14ac:dyDescent="0.25" r="161" customHeight="1" ht="18.75">
      <c r="A161" s="2"/>
      <c r="B161" s="2" t="s">
        <v>169</v>
      </c>
      <c r="C161" s="3">
        <v>8</v>
      </c>
      <c r="D161" s="3">
        <v>15</v>
      </c>
      <c r="E161" s="3">
        <v>3563</v>
      </c>
      <c r="F161" s="3">
        <v>383</v>
      </c>
      <c r="G161" s="3">
        <v>170</v>
      </c>
      <c r="H161" s="11">
        <f>IFERROR(G161/E161, "")</f>
      </c>
      <c r="I161" s="3">
        <v>10</v>
      </c>
      <c r="J161" s="3">
        <v>70</v>
      </c>
      <c r="K161" s="2" t="s">
        <v>29</v>
      </c>
    </row>
    <row x14ac:dyDescent="0.25" r="162" customHeight="1" ht="18.75">
      <c r="A162" s="2"/>
      <c r="B162" s="2" t="s">
        <v>170</v>
      </c>
      <c r="C162" s="3">
        <v>8</v>
      </c>
      <c r="D162" s="3">
        <v>10</v>
      </c>
      <c r="E162" s="3">
        <v>4615</v>
      </c>
      <c r="F162" s="3">
        <v>360</v>
      </c>
      <c r="G162" s="3">
        <v>215</v>
      </c>
      <c r="H162" s="11">
        <f>IFERROR(G162/E162, "")</f>
      </c>
      <c r="I162" s="3">
        <v>14</v>
      </c>
      <c r="J162" s="3">
        <v>70</v>
      </c>
      <c r="K162" s="2" t="s">
        <v>29</v>
      </c>
    </row>
    <row x14ac:dyDescent="0.25" r="163" customHeight="1" ht="18.75">
      <c r="A163" s="2"/>
      <c r="B163" s="2" t="s">
        <v>171</v>
      </c>
      <c r="C163" s="3">
        <v>8</v>
      </c>
      <c r="D163" s="3">
        <v>10</v>
      </c>
      <c r="E163" s="3">
        <v>4376</v>
      </c>
      <c r="F163" s="3">
        <v>307</v>
      </c>
      <c r="G163" s="3">
        <v>200</v>
      </c>
      <c r="H163" s="11">
        <f>IFERROR(G163/E163, "")</f>
      </c>
      <c r="I163" s="3">
        <v>15</v>
      </c>
      <c r="J163" s="3">
        <v>70</v>
      </c>
      <c r="K163" s="2" t="s">
        <v>29</v>
      </c>
    </row>
    <row x14ac:dyDescent="0.25" r="164" customHeight="1" ht="18.75">
      <c r="A164" s="2"/>
      <c r="B164" s="2" t="s">
        <v>172</v>
      </c>
      <c r="C164" s="3">
        <v>8</v>
      </c>
      <c r="D164" s="3">
        <v>15</v>
      </c>
      <c r="E164" s="3">
        <v>4341</v>
      </c>
      <c r="F164" s="3">
        <v>429</v>
      </c>
      <c r="G164" s="3">
        <v>198</v>
      </c>
      <c r="H164" s="11">
        <f>IFERROR(G164/E164, "")</f>
      </c>
      <c r="I164" s="3">
        <v>10</v>
      </c>
      <c r="J164" s="3">
        <v>70</v>
      </c>
      <c r="K164" s="2" t="s">
        <v>29</v>
      </c>
    </row>
    <row x14ac:dyDescent="0.25" r="165" customHeight="1" ht="18.75">
      <c r="A165" s="2"/>
      <c r="B165" s="2" t="s">
        <v>173</v>
      </c>
      <c r="C165" s="3">
        <v>8</v>
      </c>
      <c r="D165" s="3">
        <v>15</v>
      </c>
      <c r="E165" s="3">
        <v>3693</v>
      </c>
      <c r="F165" s="3">
        <v>350</v>
      </c>
      <c r="G165" s="3">
        <v>165</v>
      </c>
      <c r="H165" s="11">
        <f>IFERROR(G165/E165, "")</f>
      </c>
      <c r="I165" s="11">
        <v>11.5</v>
      </c>
      <c r="J165" s="3">
        <v>70</v>
      </c>
      <c r="K165" s="2" t="s">
        <v>29</v>
      </c>
    </row>
    <row x14ac:dyDescent="0.25" r="166" customHeight="1" ht="18.75">
      <c r="A166" s="2"/>
      <c r="B166" s="2" t="s">
        <v>174</v>
      </c>
      <c r="C166" s="3">
        <v>8</v>
      </c>
      <c r="D166" s="3">
        <v>14</v>
      </c>
      <c r="E166" s="3">
        <v>3609</v>
      </c>
      <c r="F166" s="3">
        <v>340</v>
      </c>
      <c r="G166" s="3">
        <v>160</v>
      </c>
      <c r="H166" s="11">
        <f>IFERROR(G166/E166, "")</f>
      </c>
      <c r="I166" s="3">
        <v>8</v>
      </c>
      <c r="J166" s="3">
        <v>70</v>
      </c>
      <c r="K166" s="2" t="s">
        <v>29</v>
      </c>
    </row>
    <row x14ac:dyDescent="0.25" r="167" customHeight="1" ht="18.75">
      <c r="A167" s="2"/>
      <c r="B167" s="2" t="s">
        <v>175</v>
      </c>
      <c r="C167" s="3">
        <v>8</v>
      </c>
      <c r="D167" s="3">
        <v>16</v>
      </c>
      <c r="E167" s="3">
        <v>3433</v>
      </c>
      <c r="F167" s="3">
        <v>304</v>
      </c>
      <c r="G167" s="3">
        <v>150</v>
      </c>
      <c r="H167" s="11">
        <f>IFERROR(G167/E167, "")</f>
      </c>
      <c r="I167" s="3">
        <v>12</v>
      </c>
      <c r="J167" s="3">
        <v>70</v>
      </c>
      <c r="K167" s="2" t="s">
        <v>29</v>
      </c>
    </row>
    <row x14ac:dyDescent="0.25" r="168" customHeight="1" ht="18.75">
      <c r="A168" s="2"/>
      <c r="B168" s="2" t="s">
        <v>176</v>
      </c>
      <c r="C168" s="3">
        <v>8</v>
      </c>
      <c r="D168" s="3">
        <v>18</v>
      </c>
      <c r="E168" s="3">
        <v>3436</v>
      </c>
      <c r="F168" s="3">
        <v>318</v>
      </c>
      <c r="G168" s="3">
        <v>150</v>
      </c>
      <c r="H168" s="11">
        <f>IFERROR(G168/E168, "")</f>
      </c>
      <c r="I168" s="3">
        <v>11</v>
      </c>
      <c r="J168" s="3">
        <v>70</v>
      </c>
      <c r="K168" s="2" t="s">
        <v>29</v>
      </c>
    </row>
    <row x14ac:dyDescent="0.25" r="169" customHeight="1" ht="18.75">
      <c r="A169" s="2"/>
      <c r="B169" s="2" t="s">
        <v>177</v>
      </c>
      <c r="C169" s="3">
        <v>8</v>
      </c>
      <c r="D169" s="3">
        <v>9</v>
      </c>
      <c r="E169" s="3">
        <v>4732</v>
      </c>
      <c r="F169" s="3">
        <v>304</v>
      </c>
      <c r="G169" s="3">
        <v>193</v>
      </c>
      <c r="H169" s="11">
        <f>IFERROR(G169/E169, "")</f>
      </c>
      <c r="I169" s="11">
        <v>18.5</v>
      </c>
      <c r="J169" s="3">
        <v>70</v>
      </c>
      <c r="K169" s="2" t="s">
        <v>29</v>
      </c>
    </row>
    <row x14ac:dyDescent="0.25" r="170" customHeight="1" ht="18.75">
      <c r="A170" s="2"/>
      <c r="B170" s="2" t="s">
        <v>178</v>
      </c>
      <c r="C170" s="3">
        <v>8</v>
      </c>
      <c r="D170" s="3">
        <v>17</v>
      </c>
      <c r="E170" s="3">
        <v>3449</v>
      </c>
      <c r="F170" s="3">
        <v>302</v>
      </c>
      <c r="G170" s="3">
        <v>140</v>
      </c>
      <c r="H170" s="11">
        <f>IFERROR(G170/E170, "")</f>
      </c>
      <c r="I170" s="11">
        <v>10.5</v>
      </c>
      <c r="J170" s="3">
        <v>70</v>
      </c>
      <c r="K170" s="2" t="s">
        <v>29</v>
      </c>
    </row>
    <row x14ac:dyDescent="0.25" r="171" customHeight="1" ht="18.75">
      <c r="A171" s="2"/>
      <c r="B171" s="2" t="s">
        <v>179</v>
      </c>
      <c r="C171" s="3">
        <v>8</v>
      </c>
      <c r="D171" s="3">
        <v>15</v>
      </c>
      <c r="E171" s="3">
        <v>3761</v>
      </c>
      <c r="F171" s="3">
        <v>400</v>
      </c>
      <c r="G171" s="3">
        <v>150</v>
      </c>
      <c r="H171" s="11">
        <f>IFERROR(G171/E171, "")</f>
      </c>
      <c r="I171" s="11">
        <v>9.5</v>
      </c>
      <c r="J171" s="3">
        <v>70</v>
      </c>
      <c r="K171" s="2" t="s">
        <v>29</v>
      </c>
    </row>
    <row x14ac:dyDescent="0.25" r="172" customHeight="1" ht="18.75">
      <c r="A172" s="2"/>
      <c r="B172" s="2" t="s">
        <v>180</v>
      </c>
      <c r="C172" s="3">
        <v>8</v>
      </c>
      <c r="D172" s="3">
        <v>18</v>
      </c>
      <c r="E172" s="3">
        <v>3504</v>
      </c>
      <c r="F172" s="3">
        <v>307</v>
      </c>
      <c r="G172" s="3">
        <v>130</v>
      </c>
      <c r="H172" s="11">
        <f>IFERROR(G172/E172, "")</f>
      </c>
      <c r="I172" s="3">
        <v>12</v>
      </c>
      <c r="J172" s="3">
        <v>70</v>
      </c>
      <c r="K172" s="2" t="s">
        <v>29</v>
      </c>
    </row>
    <row x14ac:dyDescent="0.25" r="173" customHeight="1" ht="18.75">
      <c r="A173" s="2"/>
      <c r="B173" s="2" t="s">
        <v>181</v>
      </c>
      <c r="C173" s="3">
        <v>4</v>
      </c>
      <c r="D173" s="3">
        <v>28</v>
      </c>
      <c r="E173" s="3">
        <v>2264</v>
      </c>
      <c r="F173" s="3">
        <v>140</v>
      </c>
      <c r="G173" s="3">
        <v>90</v>
      </c>
      <c r="H173" s="11">
        <f>IFERROR(G173/E173, "")</f>
      </c>
      <c r="I173" s="11">
        <v>15.5</v>
      </c>
      <c r="J173" s="3">
        <v>71</v>
      </c>
      <c r="K173" s="2" t="s">
        <v>29</v>
      </c>
    </row>
    <row x14ac:dyDescent="0.25" r="174" customHeight="1" ht="18.75">
      <c r="A174" s="2"/>
      <c r="B174" s="2" t="s">
        <v>182</v>
      </c>
      <c r="C174" s="3">
        <v>4</v>
      </c>
      <c r="D174" s="3">
        <v>23</v>
      </c>
      <c r="E174" s="3">
        <v>2220</v>
      </c>
      <c r="F174" s="3">
        <v>122</v>
      </c>
      <c r="G174" s="3">
        <v>86</v>
      </c>
      <c r="H174" s="11">
        <f>IFERROR(G174/E174, "")</f>
      </c>
      <c r="I174" s="3">
        <v>14</v>
      </c>
      <c r="J174" s="3">
        <v>71</v>
      </c>
      <c r="K174" s="2" t="s">
        <v>29</v>
      </c>
    </row>
    <row x14ac:dyDescent="0.25" r="175" customHeight="1" ht="18.75">
      <c r="A175" s="2"/>
      <c r="B175" s="2" t="s">
        <v>183</v>
      </c>
      <c r="C175" s="3">
        <v>4</v>
      </c>
      <c r="D175" s="3">
        <v>26</v>
      </c>
      <c r="E175" s="3">
        <v>1955</v>
      </c>
      <c r="F175" s="3">
        <v>91</v>
      </c>
      <c r="G175" s="3">
        <v>70</v>
      </c>
      <c r="H175" s="11">
        <f>IFERROR(G175/E175, "")</f>
      </c>
      <c r="I175" s="11">
        <v>20.5</v>
      </c>
      <c r="J175" s="3">
        <v>71</v>
      </c>
      <c r="K175" s="2" t="s">
        <v>29</v>
      </c>
    </row>
    <row x14ac:dyDescent="0.25" r="176" customHeight="1" ht="18.75">
      <c r="A176" s="2"/>
      <c r="B176" s="2" t="s">
        <v>184</v>
      </c>
      <c r="C176" s="3">
        <v>4</v>
      </c>
      <c r="D176" s="3">
        <v>22</v>
      </c>
      <c r="E176" s="3">
        <v>2408</v>
      </c>
      <c r="F176" s="3">
        <v>140</v>
      </c>
      <c r="G176" s="3">
        <v>72</v>
      </c>
      <c r="H176" s="11">
        <f>IFERROR(G176/E176, "")</f>
      </c>
      <c r="I176" s="3">
        <v>19</v>
      </c>
      <c r="J176" s="3">
        <v>71</v>
      </c>
      <c r="K176" s="2" t="s">
        <v>29</v>
      </c>
    </row>
    <row x14ac:dyDescent="0.25" r="177" customHeight="1" ht="18.75">
      <c r="A177" s="2"/>
      <c r="B177" s="2" t="s">
        <v>185</v>
      </c>
      <c r="C177" s="3">
        <v>4</v>
      </c>
      <c r="D177" s="3">
        <v>25</v>
      </c>
      <c r="E177" s="3">
        <v>2046</v>
      </c>
      <c r="F177" s="3">
        <v>98</v>
      </c>
      <c r="G177" s="1"/>
      <c r="H177" s="3">
        <f>IFERROR(G177/E177, "")</f>
      </c>
      <c r="I177" s="3">
        <v>19</v>
      </c>
      <c r="J177" s="3">
        <v>71</v>
      </c>
      <c r="K177" s="2" t="s">
        <v>29</v>
      </c>
    </row>
    <row x14ac:dyDescent="0.25" r="178" customHeight="1" ht="18.75">
      <c r="A178" s="2"/>
      <c r="B178" s="2" t="s">
        <v>160</v>
      </c>
      <c r="C178" s="3">
        <v>6</v>
      </c>
      <c r="D178" s="3">
        <v>19</v>
      </c>
      <c r="E178" s="3">
        <v>2634</v>
      </c>
      <c r="F178" s="3">
        <v>232</v>
      </c>
      <c r="G178" s="3">
        <v>100</v>
      </c>
      <c r="H178" s="11">
        <f>IFERROR(G178/E178, "")</f>
      </c>
      <c r="I178" s="3">
        <v>13</v>
      </c>
      <c r="J178" s="3">
        <v>71</v>
      </c>
      <c r="K178" s="2" t="s">
        <v>29</v>
      </c>
    </row>
    <row x14ac:dyDescent="0.25" r="179" customHeight="1" ht="18.75">
      <c r="A179" s="2"/>
      <c r="B179" s="2" t="s">
        <v>186</v>
      </c>
      <c r="C179" s="3">
        <v>6</v>
      </c>
      <c r="D179" s="3">
        <v>18</v>
      </c>
      <c r="E179" s="3">
        <v>2962</v>
      </c>
      <c r="F179" s="3">
        <v>258</v>
      </c>
      <c r="G179" s="3">
        <v>110</v>
      </c>
      <c r="H179" s="11">
        <f>IFERROR(G179/E179, "")</f>
      </c>
      <c r="I179" s="11">
        <v>13.5</v>
      </c>
      <c r="J179" s="3">
        <v>71</v>
      </c>
      <c r="K179" s="2" t="s">
        <v>29</v>
      </c>
    </row>
    <row x14ac:dyDescent="0.25" r="180" customHeight="1" ht="18.75">
      <c r="A180" s="2"/>
      <c r="B180" s="2" t="s">
        <v>187</v>
      </c>
      <c r="C180" s="3">
        <v>6</v>
      </c>
      <c r="D180" s="3">
        <v>16</v>
      </c>
      <c r="E180" s="3">
        <v>3439</v>
      </c>
      <c r="F180" s="3">
        <v>225</v>
      </c>
      <c r="G180" s="3">
        <v>105</v>
      </c>
      <c r="H180" s="11">
        <f>IFERROR(G180/E180, "")</f>
      </c>
      <c r="I180" s="11">
        <v>15.5</v>
      </c>
      <c r="J180" s="3">
        <v>71</v>
      </c>
      <c r="K180" s="2" t="s">
        <v>29</v>
      </c>
    </row>
    <row x14ac:dyDescent="0.25" r="181" customHeight="1" ht="18.75">
      <c r="A181" s="2"/>
      <c r="B181" s="2" t="s">
        <v>188</v>
      </c>
      <c r="C181" s="3">
        <v>6</v>
      </c>
      <c r="D181" s="3">
        <v>19</v>
      </c>
      <c r="E181" s="3">
        <v>3282</v>
      </c>
      <c r="F181" s="3">
        <v>250</v>
      </c>
      <c r="G181" s="3">
        <v>100</v>
      </c>
      <c r="H181" s="11">
        <f>IFERROR(G181/E181, "")</f>
      </c>
      <c r="I181" s="3">
        <v>15</v>
      </c>
      <c r="J181" s="3">
        <v>71</v>
      </c>
      <c r="K181" s="2" t="s">
        <v>29</v>
      </c>
    </row>
    <row x14ac:dyDescent="0.25" r="182" customHeight="1" ht="18.75">
      <c r="A182" s="2"/>
      <c r="B182" s="2" t="s">
        <v>189</v>
      </c>
      <c r="C182" s="3">
        <v>6</v>
      </c>
      <c r="D182" s="3">
        <v>18</v>
      </c>
      <c r="E182" s="3">
        <v>3288</v>
      </c>
      <c r="F182" s="3">
        <v>232</v>
      </c>
      <c r="G182" s="3">
        <v>100</v>
      </c>
      <c r="H182" s="11">
        <f>IFERROR(G182/E182, "")</f>
      </c>
      <c r="I182" s="11">
        <v>15.5</v>
      </c>
      <c r="J182" s="3">
        <v>71</v>
      </c>
      <c r="K182" s="2" t="s">
        <v>29</v>
      </c>
    </row>
    <row x14ac:dyDescent="0.25" r="183" customHeight="1" ht="18.75">
      <c r="A183" s="2"/>
      <c r="B183" s="2" t="s">
        <v>180</v>
      </c>
      <c r="C183" s="3">
        <v>6</v>
      </c>
      <c r="D183" s="3">
        <v>17</v>
      </c>
      <c r="E183" s="3">
        <v>3329</v>
      </c>
      <c r="F183" s="3">
        <v>250</v>
      </c>
      <c r="G183" s="3">
        <v>100</v>
      </c>
      <c r="H183" s="11">
        <f>IFERROR(G183/E183, "")</f>
      </c>
      <c r="I183" s="11">
        <v>15.5</v>
      </c>
      <c r="J183" s="3">
        <v>71</v>
      </c>
      <c r="K183" s="2" t="s">
        <v>29</v>
      </c>
    </row>
    <row x14ac:dyDescent="0.25" r="184" customHeight="1" ht="18.75">
      <c r="A184" s="2"/>
      <c r="B184" s="2" t="s">
        <v>190</v>
      </c>
      <c r="C184" s="3">
        <v>6</v>
      </c>
      <c r="D184" s="3">
        <v>18</v>
      </c>
      <c r="E184" s="3">
        <v>3139</v>
      </c>
      <c r="F184" s="3">
        <v>250</v>
      </c>
      <c r="G184" s="3">
        <v>88</v>
      </c>
      <c r="H184" s="11">
        <f>IFERROR(G184/E184, "")</f>
      </c>
      <c r="I184" s="11">
        <v>14.5</v>
      </c>
      <c r="J184" s="3">
        <v>71</v>
      </c>
      <c r="K184" s="2" t="s">
        <v>29</v>
      </c>
    </row>
    <row x14ac:dyDescent="0.25" r="185" customHeight="1" ht="18.75">
      <c r="A185" s="2"/>
      <c r="B185" s="2" t="s">
        <v>191</v>
      </c>
      <c r="C185" s="3">
        <v>6</v>
      </c>
      <c r="D185" s="3">
        <v>19</v>
      </c>
      <c r="E185" s="3">
        <v>3302</v>
      </c>
      <c r="F185" s="3">
        <v>250</v>
      </c>
      <c r="G185" s="3">
        <v>88</v>
      </c>
      <c r="H185" s="11">
        <f>IFERROR(G185/E185, "")</f>
      </c>
      <c r="I185" s="11">
        <v>15.5</v>
      </c>
      <c r="J185" s="3">
        <v>71</v>
      </c>
      <c r="K185" s="2" t="s">
        <v>29</v>
      </c>
    </row>
    <row x14ac:dyDescent="0.25" r="186" customHeight="1" ht="18.75">
      <c r="A186" s="2"/>
      <c r="B186" s="2" t="s">
        <v>165</v>
      </c>
      <c r="C186" s="3">
        <v>8</v>
      </c>
      <c r="D186" s="3">
        <v>14</v>
      </c>
      <c r="E186" s="3">
        <v>4209</v>
      </c>
      <c r="F186" s="3">
        <v>350</v>
      </c>
      <c r="G186" s="3">
        <v>165</v>
      </c>
      <c r="H186" s="11">
        <f>IFERROR(G186/E186, "")</f>
      </c>
      <c r="I186" s="3">
        <v>12</v>
      </c>
      <c r="J186" s="3">
        <v>71</v>
      </c>
      <c r="K186" s="2" t="s">
        <v>29</v>
      </c>
    </row>
    <row x14ac:dyDescent="0.25" r="187" customHeight="1" ht="18.75">
      <c r="A187" s="2"/>
      <c r="B187" s="2" t="s">
        <v>192</v>
      </c>
      <c r="C187" s="3">
        <v>8</v>
      </c>
      <c r="D187" s="3">
        <v>14</v>
      </c>
      <c r="E187" s="3">
        <v>4464</v>
      </c>
      <c r="F187" s="3">
        <v>400</v>
      </c>
      <c r="G187" s="3">
        <v>175</v>
      </c>
      <c r="H187" s="11">
        <f>IFERROR(G187/E187, "")</f>
      </c>
      <c r="I187" s="11">
        <v>11.5</v>
      </c>
      <c r="J187" s="3">
        <v>71</v>
      </c>
      <c r="K187" s="2" t="s">
        <v>29</v>
      </c>
    </row>
    <row x14ac:dyDescent="0.25" r="188" customHeight="1" ht="18.75">
      <c r="A188" s="2"/>
      <c r="B188" s="2" t="s">
        <v>172</v>
      </c>
      <c r="C188" s="3">
        <v>8</v>
      </c>
      <c r="D188" s="3">
        <v>14</v>
      </c>
      <c r="E188" s="3">
        <v>4154</v>
      </c>
      <c r="F188" s="3">
        <v>351</v>
      </c>
      <c r="G188" s="3">
        <v>153</v>
      </c>
      <c r="H188" s="11">
        <f>IFERROR(G188/E188, "")</f>
      </c>
      <c r="I188" s="11">
        <v>13.5</v>
      </c>
      <c r="J188" s="3">
        <v>71</v>
      </c>
      <c r="K188" s="2" t="s">
        <v>29</v>
      </c>
    </row>
    <row x14ac:dyDescent="0.25" r="189" customHeight="1" ht="18.75">
      <c r="A189" s="2"/>
      <c r="B189" s="2" t="s">
        <v>166</v>
      </c>
      <c r="C189" s="3">
        <v>8</v>
      </c>
      <c r="D189" s="3">
        <v>14</v>
      </c>
      <c r="E189" s="3">
        <v>4096</v>
      </c>
      <c r="F189" s="3">
        <v>318</v>
      </c>
      <c r="G189" s="3">
        <v>150</v>
      </c>
      <c r="H189" s="11">
        <f>IFERROR(G189/E189, "")</f>
      </c>
      <c r="I189" s="3">
        <v>13</v>
      </c>
      <c r="J189" s="3">
        <v>71</v>
      </c>
      <c r="K189" s="2" t="s">
        <v>29</v>
      </c>
    </row>
    <row x14ac:dyDescent="0.25" r="190" customHeight="1" ht="18.75">
      <c r="A190" s="2"/>
      <c r="B190" s="2" t="s">
        <v>193</v>
      </c>
      <c r="C190" s="3">
        <v>8</v>
      </c>
      <c r="D190" s="3">
        <v>12</v>
      </c>
      <c r="E190" s="3">
        <v>4955</v>
      </c>
      <c r="F190" s="3">
        <v>383</v>
      </c>
      <c r="G190" s="3">
        <v>180</v>
      </c>
      <c r="H190" s="11">
        <f>IFERROR(G190/E190, "")</f>
      </c>
      <c r="I190" s="11">
        <v>11.5</v>
      </c>
      <c r="J190" s="3">
        <v>71</v>
      </c>
      <c r="K190" s="2" t="s">
        <v>29</v>
      </c>
    </row>
    <row x14ac:dyDescent="0.25" r="191" customHeight="1" ht="18.75">
      <c r="A191" s="2"/>
      <c r="B191" s="2" t="s">
        <v>194</v>
      </c>
      <c r="C191" s="3">
        <v>8</v>
      </c>
      <c r="D191" s="3">
        <v>13</v>
      </c>
      <c r="E191" s="3">
        <v>4746</v>
      </c>
      <c r="F191" s="3">
        <v>400</v>
      </c>
      <c r="G191" s="3">
        <v>170</v>
      </c>
      <c r="H191" s="11">
        <f>IFERROR(G191/E191, "")</f>
      </c>
      <c r="I191" s="3">
        <v>12</v>
      </c>
      <c r="J191" s="3">
        <v>71</v>
      </c>
      <c r="K191" s="2" t="s">
        <v>29</v>
      </c>
    </row>
    <row x14ac:dyDescent="0.25" r="192" customHeight="1" ht="18.75">
      <c r="A192" s="2"/>
      <c r="B192" s="2" t="s">
        <v>195</v>
      </c>
      <c r="C192" s="3">
        <v>8</v>
      </c>
      <c r="D192" s="3">
        <v>13</v>
      </c>
      <c r="E192" s="3">
        <v>5140</v>
      </c>
      <c r="F192" s="3">
        <v>400</v>
      </c>
      <c r="G192" s="3">
        <v>175</v>
      </c>
      <c r="H192" s="11">
        <f>IFERROR(G192/E192, "")</f>
      </c>
      <c r="I192" s="3">
        <v>12</v>
      </c>
      <c r="J192" s="3">
        <v>71</v>
      </c>
      <c r="K192" s="2" t="s">
        <v>29</v>
      </c>
    </row>
    <row x14ac:dyDescent="0.25" r="193" customHeight="1" ht="18.75">
      <c r="A193" s="2"/>
      <c r="B193" s="2" t="s">
        <v>196</v>
      </c>
      <c r="C193" s="3">
        <v>4</v>
      </c>
      <c r="D193" s="3">
        <v>21</v>
      </c>
      <c r="E193" s="3">
        <v>2226</v>
      </c>
      <c r="F193" s="3">
        <v>122</v>
      </c>
      <c r="G193" s="3">
        <v>86</v>
      </c>
      <c r="H193" s="11">
        <f>IFERROR(G193/E193, "")</f>
      </c>
      <c r="I193" s="11">
        <v>16.5</v>
      </c>
      <c r="J193" s="3">
        <v>72</v>
      </c>
      <c r="K193" s="2" t="s">
        <v>29</v>
      </c>
    </row>
    <row x14ac:dyDescent="0.25" r="194" customHeight="1" ht="18.75">
      <c r="A194" s="2"/>
      <c r="B194" s="2" t="s">
        <v>197</v>
      </c>
      <c r="C194" s="3">
        <v>4</v>
      </c>
      <c r="D194" s="3">
        <v>25</v>
      </c>
      <c r="E194" s="3">
        <v>2126</v>
      </c>
      <c r="F194" s="11">
        <v>97.5</v>
      </c>
      <c r="G194" s="3">
        <v>80</v>
      </c>
      <c r="H194" s="11">
        <f>IFERROR(G194/E194, "")</f>
      </c>
      <c r="I194" s="3">
        <v>17</v>
      </c>
      <c r="J194" s="3">
        <v>72</v>
      </c>
      <c r="K194" s="2" t="s">
        <v>29</v>
      </c>
    </row>
    <row x14ac:dyDescent="0.25" r="195" customHeight="1" ht="18.75">
      <c r="A195" s="2"/>
      <c r="B195" s="2" t="s">
        <v>198</v>
      </c>
      <c r="C195" s="3">
        <v>4</v>
      </c>
      <c r="D195" s="3">
        <v>20</v>
      </c>
      <c r="E195" s="3">
        <v>2408</v>
      </c>
      <c r="F195" s="3">
        <v>140</v>
      </c>
      <c r="G195" s="3">
        <v>90</v>
      </c>
      <c r="H195" s="11">
        <f>IFERROR(G195/E195, "")</f>
      </c>
      <c r="I195" s="11">
        <v>19.5</v>
      </c>
      <c r="J195" s="3">
        <v>72</v>
      </c>
      <c r="K195" s="2" t="s">
        <v>29</v>
      </c>
    </row>
    <row x14ac:dyDescent="0.25" r="196" customHeight="1" ht="18.75">
      <c r="A196" s="2"/>
      <c r="B196" s="2" t="s">
        <v>199</v>
      </c>
      <c r="C196" s="3">
        <v>4</v>
      </c>
      <c r="D196" s="3">
        <v>28</v>
      </c>
      <c r="E196" s="3">
        <v>2164</v>
      </c>
      <c r="F196" s="3">
        <v>98</v>
      </c>
      <c r="G196" s="3">
        <v>80</v>
      </c>
      <c r="H196" s="11">
        <f>IFERROR(G196/E196, "")</f>
      </c>
      <c r="I196" s="3">
        <v>15</v>
      </c>
      <c r="J196" s="3">
        <v>72</v>
      </c>
      <c r="K196" s="2" t="s">
        <v>29</v>
      </c>
    </row>
    <row x14ac:dyDescent="0.25" r="197" customHeight="1" ht="18.75">
      <c r="A197" s="2"/>
      <c r="B197" s="2" t="s">
        <v>200</v>
      </c>
      <c r="C197" s="3">
        <v>4</v>
      </c>
      <c r="D197" s="3">
        <v>22</v>
      </c>
      <c r="E197" s="3">
        <v>2395</v>
      </c>
      <c r="F197" s="3">
        <v>122</v>
      </c>
      <c r="G197" s="3">
        <v>86</v>
      </c>
      <c r="H197" s="11">
        <f>IFERROR(G197/E197, "")</f>
      </c>
      <c r="I197" s="3">
        <v>16</v>
      </c>
      <c r="J197" s="3">
        <v>72</v>
      </c>
      <c r="K197" s="2" t="s">
        <v>29</v>
      </c>
    </row>
    <row x14ac:dyDescent="0.25" r="198" customHeight="1" ht="18.75">
      <c r="A198" s="2"/>
      <c r="B198" s="2" t="s">
        <v>201</v>
      </c>
      <c r="C198" s="3">
        <v>8</v>
      </c>
      <c r="D198" s="3">
        <v>11</v>
      </c>
      <c r="E198" s="3">
        <v>4633</v>
      </c>
      <c r="F198" s="3">
        <v>429</v>
      </c>
      <c r="G198" s="3">
        <v>208</v>
      </c>
      <c r="H198" s="11">
        <f>IFERROR(G198/E198, "")</f>
      </c>
      <c r="I198" s="3">
        <v>11</v>
      </c>
      <c r="J198" s="3">
        <v>72</v>
      </c>
      <c r="K198" s="2" t="s">
        <v>29</v>
      </c>
    </row>
    <row x14ac:dyDescent="0.25" r="199" customHeight="1" ht="18.75">
      <c r="A199" s="2"/>
      <c r="B199" s="2" t="s">
        <v>202</v>
      </c>
      <c r="C199" s="3">
        <v>8</v>
      </c>
      <c r="D199" s="3">
        <v>13</v>
      </c>
      <c r="E199" s="3">
        <v>4422</v>
      </c>
      <c r="F199" s="3">
        <v>400</v>
      </c>
      <c r="G199" s="3">
        <v>190</v>
      </c>
      <c r="H199" s="11">
        <f>IFERROR(G199/E199, "")</f>
      </c>
      <c r="I199" s="11">
        <v>12.5</v>
      </c>
      <c r="J199" s="3">
        <v>72</v>
      </c>
      <c r="K199" s="2" t="s">
        <v>29</v>
      </c>
    </row>
    <row x14ac:dyDescent="0.25" r="200" customHeight="1" ht="18.75">
      <c r="A200" s="2"/>
      <c r="B200" s="2" t="s">
        <v>203</v>
      </c>
      <c r="C200" s="3">
        <v>8</v>
      </c>
      <c r="D200" s="3">
        <v>17</v>
      </c>
      <c r="E200" s="3">
        <v>3672</v>
      </c>
      <c r="F200" s="3">
        <v>304</v>
      </c>
      <c r="G200" s="3">
        <v>150</v>
      </c>
      <c r="H200" s="11">
        <f>IFERROR(G200/E200, "")</f>
      </c>
      <c r="I200" s="11">
        <v>11.5</v>
      </c>
      <c r="J200" s="3">
        <v>72</v>
      </c>
      <c r="K200" s="2" t="s">
        <v>29</v>
      </c>
    </row>
    <row x14ac:dyDescent="0.25" r="201" customHeight="1" ht="18.75">
      <c r="A201" s="2"/>
      <c r="B201" s="2" t="s">
        <v>164</v>
      </c>
      <c r="C201" s="3">
        <v>8</v>
      </c>
      <c r="D201" s="3">
        <v>14</v>
      </c>
      <c r="E201" s="3">
        <v>4385</v>
      </c>
      <c r="F201" s="3">
        <v>400</v>
      </c>
      <c r="G201" s="3">
        <v>175</v>
      </c>
      <c r="H201" s="11">
        <f>IFERROR(G201/E201, "")</f>
      </c>
      <c r="I201" s="3">
        <v>12</v>
      </c>
      <c r="J201" s="3">
        <v>72</v>
      </c>
      <c r="K201" s="2" t="s">
        <v>29</v>
      </c>
    </row>
    <row x14ac:dyDescent="0.25" r="202" customHeight="1" ht="18.75">
      <c r="A202" s="2"/>
      <c r="B202" s="2" t="s">
        <v>165</v>
      </c>
      <c r="C202" s="3">
        <v>8</v>
      </c>
      <c r="D202" s="3">
        <v>13</v>
      </c>
      <c r="E202" s="3">
        <v>4274</v>
      </c>
      <c r="F202" s="3">
        <v>350</v>
      </c>
      <c r="G202" s="3">
        <v>165</v>
      </c>
      <c r="H202" s="11">
        <f>IFERROR(G202/E202, "")</f>
      </c>
      <c r="I202" s="3">
        <v>12</v>
      </c>
      <c r="J202" s="3">
        <v>72</v>
      </c>
      <c r="K202" s="2" t="s">
        <v>29</v>
      </c>
    </row>
    <row x14ac:dyDescent="0.25" r="203" customHeight="1" ht="18.75">
      <c r="A203" s="2"/>
      <c r="B203" s="2" t="s">
        <v>204</v>
      </c>
      <c r="C203" s="3">
        <v>8</v>
      </c>
      <c r="D203" s="3">
        <v>15</v>
      </c>
      <c r="E203" s="3">
        <v>3892</v>
      </c>
      <c r="F203" s="3">
        <v>304</v>
      </c>
      <c r="G203" s="3">
        <v>150</v>
      </c>
      <c r="H203" s="11">
        <f>IFERROR(G203/E203, "")</f>
      </c>
      <c r="I203" s="11">
        <v>12.5</v>
      </c>
      <c r="J203" s="3">
        <v>72</v>
      </c>
      <c r="K203" s="2" t="s">
        <v>29</v>
      </c>
    </row>
    <row x14ac:dyDescent="0.25" r="204" customHeight="1" ht="18.75">
      <c r="A204" s="2"/>
      <c r="B204" s="2" t="s">
        <v>172</v>
      </c>
      <c r="C204" s="3">
        <v>8</v>
      </c>
      <c r="D204" s="3">
        <v>14</v>
      </c>
      <c r="E204" s="3">
        <v>4129</v>
      </c>
      <c r="F204" s="3">
        <v>351</v>
      </c>
      <c r="G204" s="3">
        <v>153</v>
      </c>
      <c r="H204" s="11">
        <f>IFERROR(G204/E204, "")</f>
      </c>
      <c r="I204" s="3">
        <v>13</v>
      </c>
      <c r="J204" s="3">
        <v>72</v>
      </c>
      <c r="K204" s="2" t="s">
        <v>29</v>
      </c>
    </row>
    <row x14ac:dyDescent="0.25" r="205" customHeight="1" ht="18.75">
      <c r="A205" s="2"/>
      <c r="B205" s="2" t="s">
        <v>205</v>
      </c>
      <c r="C205" s="3">
        <v>8</v>
      </c>
      <c r="D205" s="3">
        <v>14</v>
      </c>
      <c r="E205" s="3">
        <v>4077</v>
      </c>
      <c r="F205" s="3">
        <v>318</v>
      </c>
      <c r="G205" s="3">
        <v>150</v>
      </c>
      <c r="H205" s="11">
        <f>IFERROR(G205/E205, "")</f>
      </c>
      <c r="I205" s="3">
        <v>14</v>
      </c>
      <c r="J205" s="3">
        <v>72</v>
      </c>
      <c r="K205" s="2" t="s">
        <v>29</v>
      </c>
    </row>
    <row x14ac:dyDescent="0.25" r="206" customHeight="1" ht="18.75">
      <c r="A206" s="2"/>
      <c r="B206" s="2" t="s">
        <v>166</v>
      </c>
      <c r="C206" s="3">
        <v>8</v>
      </c>
      <c r="D206" s="3">
        <v>15</v>
      </c>
      <c r="E206" s="3">
        <v>4135</v>
      </c>
      <c r="F206" s="3">
        <v>318</v>
      </c>
      <c r="G206" s="3">
        <v>150</v>
      </c>
      <c r="H206" s="11">
        <f>IFERROR(G206/E206, "")</f>
      </c>
      <c r="I206" s="11">
        <v>13.5</v>
      </c>
      <c r="J206" s="3">
        <v>72</v>
      </c>
      <c r="K206" s="2" t="s">
        <v>29</v>
      </c>
    </row>
    <row x14ac:dyDescent="0.25" r="207" customHeight="1" ht="18.75">
      <c r="A207" s="2"/>
      <c r="B207" s="2" t="s">
        <v>206</v>
      </c>
      <c r="C207" s="3">
        <v>8</v>
      </c>
      <c r="D207" s="3">
        <v>12</v>
      </c>
      <c r="E207" s="3">
        <v>4456</v>
      </c>
      <c r="F207" s="3">
        <v>350</v>
      </c>
      <c r="G207" s="3">
        <v>160</v>
      </c>
      <c r="H207" s="11">
        <f>IFERROR(G207/E207, "")</f>
      </c>
      <c r="I207" s="11">
        <v>13.5</v>
      </c>
      <c r="J207" s="3">
        <v>72</v>
      </c>
      <c r="K207" s="2" t="s">
        <v>29</v>
      </c>
    </row>
    <row x14ac:dyDescent="0.25" r="208" customHeight="1" ht="18.75">
      <c r="A208" s="2"/>
      <c r="B208" s="2" t="s">
        <v>207</v>
      </c>
      <c r="C208" s="3">
        <v>8</v>
      </c>
      <c r="D208" s="3">
        <v>13</v>
      </c>
      <c r="E208" s="3">
        <v>4502</v>
      </c>
      <c r="F208" s="3">
        <v>350</v>
      </c>
      <c r="G208" s="3">
        <v>155</v>
      </c>
      <c r="H208" s="11">
        <f>IFERROR(G208/E208, "")</f>
      </c>
      <c r="I208" s="11">
        <v>13.5</v>
      </c>
      <c r="J208" s="3">
        <v>72</v>
      </c>
      <c r="K208" s="2" t="s">
        <v>29</v>
      </c>
    </row>
    <row x14ac:dyDescent="0.25" r="209" customHeight="1" ht="18.75">
      <c r="A209" s="2"/>
      <c r="B209" s="2" t="s">
        <v>208</v>
      </c>
      <c r="C209" s="3">
        <v>8</v>
      </c>
      <c r="D209" s="3">
        <v>13</v>
      </c>
      <c r="E209" s="3">
        <v>4294</v>
      </c>
      <c r="F209" s="3">
        <v>302</v>
      </c>
      <c r="G209" s="3">
        <v>140</v>
      </c>
      <c r="H209" s="11">
        <f>IFERROR(G209/E209, "")</f>
      </c>
      <c r="I209" s="3">
        <v>16</v>
      </c>
      <c r="J209" s="3">
        <v>72</v>
      </c>
      <c r="K209" s="2" t="s">
        <v>29</v>
      </c>
    </row>
    <row x14ac:dyDescent="0.25" r="210" customHeight="1" ht="18.75">
      <c r="A210" s="2"/>
      <c r="B210" s="2" t="s">
        <v>209</v>
      </c>
      <c r="C210" s="3">
        <v>8</v>
      </c>
      <c r="D210" s="3">
        <v>13</v>
      </c>
      <c r="E210" s="3">
        <v>4098</v>
      </c>
      <c r="F210" s="3">
        <v>307</v>
      </c>
      <c r="G210" s="3">
        <v>130</v>
      </c>
      <c r="H210" s="11">
        <f>IFERROR(G210/E210, "")</f>
      </c>
      <c r="I210" s="3">
        <v>14</v>
      </c>
      <c r="J210" s="3">
        <v>72</v>
      </c>
      <c r="K210" s="2" t="s">
        <v>29</v>
      </c>
    </row>
    <row x14ac:dyDescent="0.25" r="211" customHeight="1" ht="18.75">
      <c r="A211" s="2"/>
      <c r="B211" s="2" t="s">
        <v>185</v>
      </c>
      <c r="C211" s="3">
        <v>4</v>
      </c>
      <c r="D211" s="3">
        <v>19</v>
      </c>
      <c r="E211" s="3">
        <v>2310</v>
      </c>
      <c r="F211" s="3">
        <v>122</v>
      </c>
      <c r="G211" s="3">
        <v>85</v>
      </c>
      <c r="H211" s="11">
        <f>IFERROR(G211/E211, "")</f>
      </c>
      <c r="I211" s="11">
        <v>18.5</v>
      </c>
      <c r="J211" s="3">
        <v>73</v>
      </c>
      <c r="K211" s="2" t="s">
        <v>29</v>
      </c>
    </row>
    <row x14ac:dyDescent="0.25" r="212" customHeight="1" ht="18.75">
      <c r="A212" s="2"/>
      <c r="B212" s="2" t="s">
        <v>198</v>
      </c>
      <c r="C212" s="3">
        <v>4</v>
      </c>
      <c r="D212" s="3">
        <v>21</v>
      </c>
      <c r="E212" s="3">
        <v>2401</v>
      </c>
      <c r="F212" s="3">
        <v>140</v>
      </c>
      <c r="G212" s="3">
        <v>72</v>
      </c>
      <c r="H212" s="11">
        <f>IFERROR(G212/E212, "")</f>
      </c>
      <c r="I212" s="11">
        <v>19.5</v>
      </c>
      <c r="J212" s="3">
        <v>73</v>
      </c>
      <c r="K212" s="2" t="s">
        <v>29</v>
      </c>
    </row>
    <row x14ac:dyDescent="0.25" r="213" customHeight="1" ht="18.75">
      <c r="A213" s="2"/>
      <c r="B213" s="2" t="s">
        <v>210</v>
      </c>
      <c r="C213" s="3">
        <v>6</v>
      </c>
      <c r="D213" s="3">
        <v>21</v>
      </c>
      <c r="E213" s="3">
        <v>2472</v>
      </c>
      <c r="F213" s="3">
        <v>155</v>
      </c>
      <c r="G213" s="3">
        <v>107</v>
      </c>
      <c r="H213" s="11">
        <f>IFERROR(G213/E213, "")</f>
      </c>
      <c r="I213" s="3">
        <v>14</v>
      </c>
      <c r="J213" s="3">
        <v>73</v>
      </c>
      <c r="K213" s="2" t="s">
        <v>29</v>
      </c>
    </row>
    <row x14ac:dyDescent="0.25" r="214" customHeight="1" ht="18.75">
      <c r="A214" s="2"/>
      <c r="B214" s="2" t="s">
        <v>160</v>
      </c>
      <c r="C214" s="3">
        <v>6</v>
      </c>
      <c r="D214" s="3">
        <v>18</v>
      </c>
      <c r="E214" s="3">
        <v>2789</v>
      </c>
      <c r="F214" s="3">
        <v>232</v>
      </c>
      <c r="G214" s="3">
        <v>100</v>
      </c>
      <c r="H214" s="11">
        <f>IFERROR(G214/E214, "")</f>
      </c>
      <c r="I214" s="3">
        <v>15</v>
      </c>
      <c r="J214" s="3">
        <v>73</v>
      </c>
      <c r="K214" s="2" t="s">
        <v>29</v>
      </c>
    </row>
    <row x14ac:dyDescent="0.25" r="215" customHeight="1" ht="18.75">
      <c r="A215" s="2"/>
      <c r="B215" s="2" t="s">
        <v>159</v>
      </c>
      <c r="C215" s="3">
        <v>6</v>
      </c>
      <c r="D215" s="3">
        <v>18</v>
      </c>
      <c r="E215" s="3">
        <v>2945</v>
      </c>
      <c r="F215" s="3">
        <v>232</v>
      </c>
      <c r="G215" s="3">
        <v>100</v>
      </c>
      <c r="H215" s="11">
        <f>IFERROR(G215/E215, "")</f>
      </c>
      <c r="I215" s="3">
        <v>16</v>
      </c>
      <c r="J215" s="3">
        <v>73</v>
      </c>
      <c r="K215" s="2" t="s">
        <v>29</v>
      </c>
    </row>
    <row x14ac:dyDescent="0.25" r="216" customHeight="1" ht="18.75">
      <c r="A216" s="2"/>
      <c r="B216" s="2" t="s">
        <v>211</v>
      </c>
      <c r="C216" s="3">
        <v>6</v>
      </c>
      <c r="D216" s="3">
        <v>18</v>
      </c>
      <c r="E216" s="3">
        <v>3121</v>
      </c>
      <c r="F216" s="3">
        <v>225</v>
      </c>
      <c r="G216" s="3">
        <v>105</v>
      </c>
      <c r="H216" s="11">
        <f>IFERROR(G216/E216, "")</f>
      </c>
      <c r="I216" s="11">
        <v>16.5</v>
      </c>
      <c r="J216" s="3">
        <v>73</v>
      </c>
      <c r="K216" s="2" t="s">
        <v>29</v>
      </c>
    </row>
    <row x14ac:dyDescent="0.25" r="217" customHeight="1" ht="18.75">
      <c r="A217" s="2"/>
      <c r="B217" s="2" t="s">
        <v>161</v>
      </c>
      <c r="C217" s="3">
        <v>6</v>
      </c>
      <c r="D217" s="3">
        <v>23</v>
      </c>
      <c r="E217" s="3">
        <v>2904</v>
      </c>
      <c r="F217" s="3">
        <v>198</v>
      </c>
      <c r="G217" s="3">
        <v>95</v>
      </c>
      <c r="H217" s="11">
        <f>IFERROR(G217/E217, "")</f>
      </c>
      <c r="I217" s="3">
        <v>16</v>
      </c>
      <c r="J217" s="3">
        <v>73</v>
      </c>
      <c r="K217" s="2" t="s">
        <v>29</v>
      </c>
    </row>
    <row x14ac:dyDescent="0.25" r="218" customHeight="1" ht="18.75">
      <c r="A218" s="2"/>
      <c r="B218" s="2" t="s">
        <v>212</v>
      </c>
      <c r="C218" s="3">
        <v>6</v>
      </c>
      <c r="D218" s="3">
        <v>16</v>
      </c>
      <c r="E218" s="3">
        <v>3278</v>
      </c>
      <c r="F218" s="3">
        <v>250</v>
      </c>
      <c r="G218" s="3">
        <v>100</v>
      </c>
      <c r="H218" s="11">
        <f>IFERROR(G218/E218, "")</f>
      </c>
      <c r="I218" s="3">
        <v>18</v>
      </c>
      <c r="J218" s="3">
        <v>73</v>
      </c>
      <c r="K218" s="2" t="s">
        <v>29</v>
      </c>
    </row>
    <row x14ac:dyDescent="0.25" r="219" customHeight="1" ht="18.75">
      <c r="A219" s="2"/>
      <c r="B219" s="2" t="s">
        <v>162</v>
      </c>
      <c r="C219" s="3">
        <v>6</v>
      </c>
      <c r="D219" s="3">
        <v>18</v>
      </c>
      <c r="E219" s="3">
        <v>3021</v>
      </c>
      <c r="F219" s="3">
        <v>250</v>
      </c>
      <c r="G219" s="3">
        <v>88</v>
      </c>
      <c r="H219" s="11">
        <f>IFERROR(G219/E219, "")</f>
      </c>
      <c r="I219" s="11">
        <v>16.5</v>
      </c>
      <c r="J219" s="3">
        <v>73</v>
      </c>
      <c r="K219" s="2" t="s">
        <v>29</v>
      </c>
    </row>
    <row x14ac:dyDescent="0.25" r="220" customHeight="1" ht="18.75">
      <c r="A220" s="2"/>
      <c r="B220" s="2" t="s">
        <v>213</v>
      </c>
      <c r="C220" s="3">
        <v>8</v>
      </c>
      <c r="D220" s="3">
        <v>16</v>
      </c>
      <c r="E220" s="3">
        <v>4278</v>
      </c>
      <c r="F220" s="3">
        <v>400</v>
      </c>
      <c r="G220" s="3">
        <v>230</v>
      </c>
      <c r="H220" s="11">
        <f>IFERROR(G220/E220, "")</f>
      </c>
      <c r="I220" s="11">
        <v>9.5</v>
      </c>
      <c r="J220" s="3">
        <v>73</v>
      </c>
      <c r="K220" s="2" t="s">
        <v>29</v>
      </c>
    </row>
    <row x14ac:dyDescent="0.25" r="221" customHeight="1" ht="18.75">
      <c r="A221" s="2"/>
      <c r="B221" s="2" t="s">
        <v>214</v>
      </c>
      <c r="C221" s="3">
        <v>8</v>
      </c>
      <c r="D221" s="3">
        <v>11</v>
      </c>
      <c r="E221" s="3">
        <v>3664</v>
      </c>
      <c r="F221" s="3">
        <v>350</v>
      </c>
      <c r="G221" s="3">
        <v>180</v>
      </c>
      <c r="H221" s="11">
        <f>IFERROR(G221/E221, "")</f>
      </c>
      <c r="I221" s="3">
        <v>11</v>
      </c>
      <c r="J221" s="3">
        <v>73</v>
      </c>
      <c r="K221" s="2" t="s">
        <v>29</v>
      </c>
    </row>
    <row x14ac:dyDescent="0.25" r="222" customHeight="1" ht="18.75">
      <c r="A222" s="2"/>
      <c r="B222" s="2" t="s">
        <v>215</v>
      </c>
      <c r="C222" s="3">
        <v>8</v>
      </c>
      <c r="D222" s="3">
        <v>13</v>
      </c>
      <c r="E222" s="3">
        <v>3821</v>
      </c>
      <c r="F222" s="3">
        <v>360</v>
      </c>
      <c r="G222" s="3">
        <v>175</v>
      </c>
      <c r="H222" s="11">
        <f>IFERROR(G222/E222, "")</f>
      </c>
      <c r="I222" s="3">
        <v>11</v>
      </c>
      <c r="J222" s="3">
        <v>73</v>
      </c>
      <c r="K222" s="2" t="s">
        <v>29</v>
      </c>
    </row>
    <row x14ac:dyDescent="0.25" r="223" customHeight="1" ht="18.75">
      <c r="A223" s="2"/>
      <c r="B223" s="2" t="s">
        <v>216</v>
      </c>
      <c r="C223" s="3">
        <v>8</v>
      </c>
      <c r="D223" s="3">
        <v>12</v>
      </c>
      <c r="E223" s="3">
        <v>4951</v>
      </c>
      <c r="F223" s="3">
        <v>455</v>
      </c>
      <c r="G223" s="3">
        <v>225</v>
      </c>
      <c r="H223" s="11">
        <f>IFERROR(G223/E223, "")</f>
      </c>
      <c r="I223" s="3">
        <v>11</v>
      </c>
      <c r="J223" s="3">
        <v>73</v>
      </c>
      <c r="K223" s="2" t="s">
        <v>29</v>
      </c>
    </row>
    <row x14ac:dyDescent="0.25" r="224" customHeight="1" ht="18.75">
      <c r="A224" s="2"/>
      <c r="B224" s="2" t="s">
        <v>217</v>
      </c>
      <c r="C224" s="3">
        <v>8</v>
      </c>
      <c r="D224" s="3">
        <v>13</v>
      </c>
      <c r="E224" s="3">
        <v>4735</v>
      </c>
      <c r="F224" s="3">
        <v>440</v>
      </c>
      <c r="G224" s="3">
        <v>215</v>
      </c>
      <c r="H224" s="11">
        <f>IFERROR(G224/E224, "")</f>
      </c>
      <c r="I224" s="3">
        <v>11</v>
      </c>
      <c r="J224" s="3">
        <v>73</v>
      </c>
      <c r="K224" s="2" t="s">
        <v>29</v>
      </c>
    </row>
    <row x14ac:dyDescent="0.25" r="225" customHeight="1" ht="18.75">
      <c r="A225" s="2"/>
      <c r="B225" s="2" t="s">
        <v>218</v>
      </c>
      <c r="C225" s="3">
        <v>8</v>
      </c>
      <c r="D225" s="3">
        <v>15</v>
      </c>
      <c r="E225" s="3">
        <v>3399</v>
      </c>
      <c r="F225" s="3">
        <v>318</v>
      </c>
      <c r="G225" s="3">
        <v>150</v>
      </c>
      <c r="H225" s="11">
        <f>IFERROR(G225/E225, "")</f>
      </c>
      <c r="I225" s="3">
        <v>11</v>
      </c>
      <c r="J225" s="3">
        <v>73</v>
      </c>
      <c r="K225" s="2" t="s">
        <v>29</v>
      </c>
    </row>
    <row x14ac:dyDescent="0.25" r="226" customHeight="1" ht="18.75">
      <c r="A226" s="2"/>
      <c r="B226" s="2" t="s">
        <v>219</v>
      </c>
      <c r="C226" s="3">
        <v>8</v>
      </c>
      <c r="D226" s="3">
        <v>13</v>
      </c>
      <c r="E226" s="3">
        <v>4100</v>
      </c>
      <c r="F226" s="3">
        <v>350</v>
      </c>
      <c r="G226" s="3">
        <v>175</v>
      </c>
      <c r="H226" s="11">
        <f>IFERROR(G226/E226, "")</f>
      </c>
      <c r="I226" s="3">
        <v>13</v>
      </c>
      <c r="J226" s="3">
        <v>73</v>
      </c>
      <c r="K226" s="2" t="s">
        <v>29</v>
      </c>
    </row>
    <row x14ac:dyDescent="0.25" r="227" customHeight="1" ht="18.75">
      <c r="A227" s="2"/>
      <c r="B227" s="2" t="s">
        <v>189</v>
      </c>
      <c r="C227" s="3">
        <v>8</v>
      </c>
      <c r="D227" s="3">
        <v>14</v>
      </c>
      <c r="E227" s="3">
        <v>3672</v>
      </c>
      <c r="F227" s="3">
        <v>304</v>
      </c>
      <c r="G227" s="3">
        <v>150</v>
      </c>
      <c r="H227" s="11">
        <f>IFERROR(G227/E227, "")</f>
      </c>
      <c r="I227" s="11">
        <v>11.5</v>
      </c>
      <c r="J227" s="3">
        <v>73</v>
      </c>
      <c r="K227" s="2" t="s">
        <v>29</v>
      </c>
    </row>
    <row x14ac:dyDescent="0.25" r="228" customHeight="1" ht="18.75">
      <c r="A228" s="2"/>
      <c r="B228" s="2" t="s">
        <v>220</v>
      </c>
      <c r="C228" s="3">
        <v>8</v>
      </c>
      <c r="D228" s="3">
        <v>12</v>
      </c>
      <c r="E228" s="3">
        <v>4952</v>
      </c>
      <c r="F228" s="3">
        <v>429</v>
      </c>
      <c r="G228" s="3">
        <v>198</v>
      </c>
      <c r="H228" s="11">
        <f>IFERROR(G228/E228, "")</f>
      </c>
      <c r="I228" s="11">
        <v>11.5</v>
      </c>
      <c r="J228" s="3">
        <v>73</v>
      </c>
      <c r="K228" s="2" t="s">
        <v>29</v>
      </c>
    </row>
    <row x14ac:dyDescent="0.25" r="229" customHeight="1" ht="18.75">
      <c r="A229" s="2"/>
      <c r="B229" s="2" t="s">
        <v>221</v>
      </c>
      <c r="C229" s="3">
        <v>8</v>
      </c>
      <c r="D229" s="3">
        <v>12</v>
      </c>
      <c r="E229" s="3">
        <v>4499</v>
      </c>
      <c r="F229" s="3">
        <v>350</v>
      </c>
      <c r="G229" s="3">
        <v>180</v>
      </c>
      <c r="H229" s="11">
        <f>IFERROR(G229/E229, "")</f>
      </c>
      <c r="I229" s="11">
        <v>12.5</v>
      </c>
      <c r="J229" s="3">
        <v>73</v>
      </c>
      <c r="K229" s="2" t="s">
        <v>29</v>
      </c>
    </row>
    <row x14ac:dyDescent="0.25" r="230" customHeight="1" ht="18.75">
      <c r="A230" s="2"/>
      <c r="B230" s="2" t="s">
        <v>222</v>
      </c>
      <c r="C230" s="3">
        <v>8</v>
      </c>
      <c r="D230" s="3">
        <v>15</v>
      </c>
      <c r="E230" s="3">
        <v>3777</v>
      </c>
      <c r="F230" s="3">
        <v>318</v>
      </c>
      <c r="G230" s="3">
        <v>150</v>
      </c>
      <c r="H230" s="11">
        <f>IFERROR(G230/E230, "")</f>
      </c>
      <c r="I230" s="11">
        <v>12.5</v>
      </c>
      <c r="J230" s="3">
        <v>73</v>
      </c>
      <c r="K230" s="2" t="s">
        <v>29</v>
      </c>
    </row>
    <row x14ac:dyDescent="0.25" r="231" customHeight="1" ht="18.75">
      <c r="A231" s="2"/>
      <c r="B231" s="2" t="s">
        <v>223</v>
      </c>
      <c r="C231" s="3">
        <v>8</v>
      </c>
      <c r="D231" s="3">
        <v>13</v>
      </c>
      <c r="E231" s="3">
        <v>4654</v>
      </c>
      <c r="F231" s="3">
        <v>360</v>
      </c>
      <c r="G231" s="3">
        <v>170</v>
      </c>
      <c r="H231" s="11">
        <f>IFERROR(G231/E231, "")</f>
      </c>
      <c r="I231" s="3">
        <v>13</v>
      </c>
      <c r="J231" s="3">
        <v>73</v>
      </c>
      <c r="K231" s="2" t="s">
        <v>29</v>
      </c>
    </row>
    <row x14ac:dyDescent="0.25" r="232" customHeight="1" ht="18.75">
      <c r="A232" s="2"/>
      <c r="B232" s="2" t="s">
        <v>224</v>
      </c>
      <c r="C232" s="3">
        <v>8</v>
      </c>
      <c r="D232" s="3">
        <v>13</v>
      </c>
      <c r="E232" s="3">
        <v>3988</v>
      </c>
      <c r="F232" s="3">
        <v>350</v>
      </c>
      <c r="G232" s="3">
        <v>145</v>
      </c>
      <c r="H232" s="11">
        <f>IFERROR(G232/E232, "")</f>
      </c>
      <c r="I232" s="3">
        <v>13</v>
      </c>
      <c r="J232" s="3">
        <v>73</v>
      </c>
      <c r="K232" s="2" t="s">
        <v>29</v>
      </c>
    </row>
    <row x14ac:dyDescent="0.25" r="233" customHeight="1" ht="18.75">
      <c r="A233" s="2"/>
      <c r="B233" s="2" t="s">
        <v>225</v>
      </c>
      <c r="C233" s="3">
        <v>8</v>
      </c>
      <c r="D233" s="3">
        <v>13</v>
      </c>
      <c r="E233" s="3">
        <v>4363</v>
      </c>
      <c r="F233" s="3">
        <v>351</v>
      </c>
      <c r="G233" s="3">
        <v>158</v>
      </c>
      <c r="H233" s="11">
        <f>IFERROR(G233/E233, "")</f>
      </c>
      <c r="I233" s="3">
        <v>13</v>
      </c>
      <c r="J233" s="3">
        <v>73</v>
      </c>
      <c r="K233" s="2" t="s">
        <v>29</v>
      </c>
    </row>
    <row x14ac:dyDescent="0.25" r="234" customHeight="1" ht="18.75">
      <c r="A234" s="2"/>
      <c r="B234" s="2" t="s">
        <v>226</v>
      </c>
      <c r="C234" s="3">
        <v>8</v>
      </c>
      <c r="D234" s="3">
        <v>15</v>
      </c>
      <c r="E234" s="3">
        <v>4082</v>
      </c>
      <c r="F234" s="3">
        <v>350</v>
      </c>
      <c r="G234" s="3">
        <v>145</v>
      </c>
      <c r="H234" s="11">
        <f>IFERROR(G234/E234, "")</f>
      </c>
      <c r="I234" s="3">
        <v>13</v>
      </c>
      <c r="J234" s="3">
        <v>73</v>
      </c>
      <c r="K234" s="2" t="s">
        <v>29</v>
      </c>
    </row>
    <row x14ac:dyDescent="0.25" r="235" customHeight="1" ht="18.75">
      <c r="A235" s="2"/>
      <c r="B235" s="2" t="s">
        <v>227</v>
      </c>
      <c r="C235" s="3">
        <v>8</v>
      </c>
      <c r="D235" s="3">
        <v>14</v>
      </c>
      <c r="E235" s="3">
        <v>4237</v>
      </c>
      <c r="F235" s="3">
        <v>318</v>
      </c>
      <c r="G235" s="3">
        <v>150</v>
      </c>
      <c r="H235" s="11">
        <f>IFERROR(G235/E235, "")</f>
      </c>
      <c r="I235" s="11">
        <v>14.5</v>
      </c>
      <c r="J235" s="3">
        <v>73</v>
      </c>
      <c r="K235" s="2" t="s">
        <v>29</v>
      </c>
    </row>
    <row x14ac:dyDescent="0.25" r="236" customHeight="1" ht="18.75">
      <c r="A236" s="2"/>
      <c r="B236" s="2" t="s">
        <v>228</v>
      </c>
      <c r="C236" s="3">
        <v>8</v>
      </c>
      <c r="D236" s="3">
        <v>12</v>
      </c>
      <c r="E236" s="3">
        <v>4906</v>
      </c>
      <c r="F236" s="3">
        <v>400</v>
      </c>
      <c r="G236" s="3">
        <v>167</v>
      </c>
      <c r="H236" s="11">
        <f>IFERROR(G236/E236, "")</f>
      </c>
      <c r="I236" s="11">
        <v>12.5</v>
      </c>
      <c r="J236" s="3">
        <v>73</v>
      </c>
      <c r="K236" s="2" t="s">
        <v>29</v>
      </c>
    </row>
    <row x14ac:dyDescent="0.25" r="237" customHeight="1" ht="18.75">
      <c r="A237" s="2"/>
      <c r="B237" s="2" t="s">
        <v>229</v>
      </c>
      <c r="C237" s="3">
        <v>8</v>
      </c>
      <c r="D237" s="3">
        <v>14</v>
      </c>
      <c r="E237" s="3">
        <v>4042</v>
      </c>
      <c r="F237" s="3">
        <v>302</v>
      </c>
      <c r="G237" s="3">
        <v>137</v>
      </c>
      <c r="H237" s="11">
        <f>IFERROR(G237/E237, "")</f>
      </c>
      <c r="I237" s="11">
        <v>14.5</v>
      </c>
      <c r="J237" s="3">
        <v>73</v>
      </c>
      <c r="K237" s="2" t="s">
        <v>29</v>
      </c>
    </row>
    <row x14ac:dyDescent="0.25" r="238" customHeight="1" ht="18.75">
      <c r="A238" s="2"/>
      <c r="B238" s="2" t="s">
        <v>230</v>
      </c>
      <c r="C238" s="3">
        <v>8</v>
      </c>
      <c r="D238" s="3">
        <v>13</v>
      </c>
      <c r="E238" s="3">
        <v>4464</v>
      </c>
      <c r="F238" s="3">
        <v>400</v>
      </c>
      <c r="G238" s="3">
        <v>150</v>
      </c>
      <c r="H238" s="11">
        <f>IFERROR(G238/E238, "")</f>
      </c>
      <c r="I238" s="3">
        <v>12</v>
      </c>
      <c r="J238" s="3">
        <v>73</v>
      </c>
      <c r="K238" s="2" t="s">
        <v>29</v>
      </c>
    </row>
    <row x14ac:dyDescent="0.25" r="239" customHeight="1" ht="18.75">
      <c r="A239" s="2"/>
      <c r="B239" s="2" t="s">
        <v>165</v>
      </c>
      <c r="C239" s="3">
        <v>8</v>
      </c>
      <c r="D239" s="3">
        <v>11</v>
      </c>
      <c r="E239" s="3">
        <v>4997</v>
      </c>
      <c r="F239" s="3">
        <v>400</v>
      </c>
      <c r="G239" s="3">
        <v>150</v>
      </c>
      <c r="H239" s="11">
        <f>IFERROR(G239/E239, "")</f>
      </c>
      <c r="I239" s="3">
        <v>14</v>
      </c>
      <c r="J239" s="3">
        <v>73</v>
      </c>
      <c r="K239" s="2" t="s">
        <v>29</v>
      </c>
    </row>
    <row x14ac:dyDescent="0.25" r="240" customHeight="1" ht="18.75">
      <c r="A240" s="2"/>
      <c r="B240" s="2" t="s">
        <v>231</v>
      </c>
      <c r="C240" s="3">
        <v>4</v>
      </c>
      <c r="D240" s="3">
        <v>28</v>
      </c>
      <c r="E240" s="3">
        <v>2125</v>
      </c>
      <c r="F240" s="3">
        <v>90</v>
      </c>
      <c r="G240" s="3">
        <v>75</v>
      </c>
      <c r="H240" s="11">
        <f>IFERROR(G240/E240, "")</f>
      </c>
      <c r="I240" s="11">
        <v>14.5</v>
      </c>
      <c r="J240" s="3">
        <v>74</v>
      </c>
      <c r="K240" s="2" t="s">
        <v>29</v>
      </c>
    </row>
    <row x14ac:dyDescent="0.25" r="241" customHeight="1" ht="18.75">
      <c r="A241" s="2"/>
      <c r="B241" s="2" t="s">
        <v>185</v>
      </c>
      <c r="C241" s="3">
        <v>4</v>
      </c>
      <c r="D241" s="3">
        <v>26</v>
      </c>
      <c r="E241" s="3">
        <v>2451</v>
      </c>
      <c r="F241" s="3">
        <v>122</v>
      </c>
      <c r="G241" s="3">
        <v>80</v>
      </c>
      <c r="H241" s="11">
        <f>IFERROR(G241/E241, "")</f>
      </c>
      <c r="I241" s="11">
        <v>16.5</v>
      </c>
      <c r="J241" s="3">
        <v>74</v>
      </c>
      <c r="K241" s="2" t="s">
        <v>29</v>
      </c>
    </row>
    <row x14ac:dyDescent="0.25" r="242" customHeight="1" ht="18.75">
      <c r="A242" s="2"/>
      <c r="B242" s="2" t="s">
        <v>198</v>
      </c>
      <c r="C242" s="3">
        <v>4</v>
      </c>
      <c r="D242" s="3">
        <v>25</v>
      </c>
      <c r="E242" s="3">
        <v>2542</v>
      </c>
      <c r="F242" s="3">
        <v>140</v>
      </c>
      <c r="G242" s="3">
        <v>75</v>
      </c>
      <c r="H242" s="11">
        <f>IFERROR(G242/E242, "")</f>
      </c>
      <c r="I242" s="3">
        <v>17</v>
      </c>
      <c r="J242" s="3">
        <v>74</v>
      </c>
      <c r="K242" s="2" t="s">
        <v>29</v>
      </c>
    </row>
    <row x14ac:dyDescent="0.25" r="243" customHeight="1" ht="18.75">
      <c r="A243" s="2"/>
      <c r="B243" s="2" t="s">
        <v>159</v>
      </c>
      <c r="C243" s="3">
        <v>6</v>
      </c>
      <c r="D243" s="3">
        <v>19</v>
      </c>
      <c r="E243" s="3">
        <v>2901</v>
      </c>
      <c r="F243" s="3">
        <v>232</v>
      </c>
      <c r="G243" s="3">
        <v>100</v>
      </c>
      <c r="H243" s="11">
        <f>IFERROR(G243/E243, "")</f>
      </c>
      <c r="I243" s="3">
        <v>16</v>
      </c>
      <c r="J243" s="3">
        <v>74</v>
      </c>
      <c r="K243" s="2" t="s">
        <v>29</v>
      </c>
    </row>
    <row x14ac:dyDescent="0.25" r="244" customHeight="1" ht="18.75">
      <c r="A244" s="2"/>
      <c r="B244" s="2" t="s">
        <v>161</v>
      </c>
      <c r="C244" s="3">
        <v>6</v>
      </c>
      <c r="D244" s="3">
        <v>20</v>
      </c>
      <c r="E244" s="3">
        <v>3102</v>
      </c>
      <c r="F244" s="3">
        <v>198</v>
      </c>
      <c r="G244" s="3">
        <v>95</v>
      </c>
      <c r="H244" s="11">
        <f>IFERROR(G244/E244, "")</f>
      </c>
      <c r="I244" s="11">
        <v>16.5</v>
      </c>
      <c r="J244" s="3">
        <v>74</v>
      </c>
      <c r="K244" s="2" t="s">
        <v>29</v>
      </c>
    </row>
    <row x14ac:dyDescent="0.25" r="245" customHeight="1" ht="18.75">
      <c r="A245" s="2"/>
      <c r="B245" s="2" t="s">
        <v>189</v>
      </c>
      <c r="C245" s="3">
        <v>6</v>
      </c>
      <c r="D245" s="3">
        <v>16</v>
      </c>
      <c r="E245" s="3">
        <v>3632</v>
      </c>
      <c r="F245" s="3">
        <v>258</v>
      </c>
      <c r="G245" s="3">
        <v>110</v>
      </c>
      <c r="H245" s="11">
        <f>IFERROR(G245/E245, "")</f>
      </c>
      <c r="I245" s="3">
        <v>18</v>
      </c>
      <c r="J245" s="3">
        <v>74</v>
      </c>
      <c r="K245" s="2" t="s">
        <v>29</v>
      </c>
    </row>
    <row x14ac:dyDescent="0.25" r="246" customHeight="1" ht="18.75">
      <c r="A246" s="2"/>
      <c r="B246" s="2" t="s">
        <v>232</v>
      </c>
      <c r="C246" s="3">
        <v>6</v>
      </c>
      <c r="D246" s="3">
        <v>15</v>
      </c>
      <c r="E246" s="3">
        <v>3336</v>
      </c>
      <c r="F246" s="3">
        <v>250</v>
      </c>
      <c r="G246" s="3">
        <v>100</v>
      </c>
      <c r="H246" s="11">
        <f>IFERROR(G246/E246, "")</f>
      </c>
      <c r="I246" s="3">
        <v>17</v>
      </c>
      <c r="J246" s="3">
        <v>74</v>
      </c>
      <c r="K246" s="2" t="s">
        <v>29</v>
      </c>
    </row>
    <row x14ac:dyDescent="0.25" r="247" customHeight="1" ht="18.75">
      <c r="A247" s="2"/>
      <c r="B247" s="2" t="s">
        <v>233</v>
      </c>
      <c r="C247" s="3">
        <v>6</v>
      </c>
      <c r="D247" s="3">
        <v>18</v>
      </c>
      <c r="E247" s="3">
        <v>3613</v>
      </c>
      <c r="F247" s="3">
        <v>225</v>
      </c>
      <c r="G247" s="3">
        <v>105</v>
      </c>
      <c r="H247" s="11">
        <f>IFERROR(G247/E247, "")</f>
      </c>
      <c r="I247" s="11">
        <v>16.5</v>
      </c>
      <c r="J247" s="3">
        <v>74</v>
      </c>
      <c r="K247" s="2" t="s">
        <v>29</v>
      </c>
    </row>
    <row x14ac:dyDescent="0.25" r="248" customHeight="1" ht="18.75">
      <c r="A248" s="2"/>
      <c r="B248" s="2" t="s">
        <v>234</v>
      </c>
      <c r="C248" s="3">
        <v>6</v>
      </c>
      <c r="D248" s="3">
        <v>16</v>
      </c>
      <c r="E248" s="3">
        <v>3781</v>
      </c>
      <c r="F248" s="3">
        <v>250</v>
      </c>
      <c r="G248" s="3">
        <v>100</v>
      </c>
      <c r="H248" s="11">
        <f>IFERROR(G248/E248, "")</f>
      </c>
      <c r="I248" s="3">
        <v>17</v>
      </c>
      <c r="J248" s="3">
        <v>74</v>
      </c>
      <c r="K248" s="2" t="s">
        <v>29</v>
      </c>
    </row>
    <row x14ac:dyDescent="0.25" r="249" customHeight="1" ht="18.75">
      <c r="A249" s="2"/>
      <c r="B249" s="2" t="s">
        <v>162</v>
      </c>
      <c r="C249" s="3">
        <v>6</v>
      </c>
      <c r="D249" s="3">
        <v>21</v>
      </c>
      <c r="E249" s="3">
        <v>2875</v>
      </c>
      <c r="F249" s="3">
        <v>200</v>
      </c>
      <c r="G249" s="1"/>
      <c r="H249" s="3">
        <f>IFERROR(G249/E249, "")</f>
      </c>
      <c r="I249" s="3">
        <v>17</v>
      </c>
      <c r="J249" s="3">
        <v>74</v>
      </c>
      <c r="K249" s="2" t="s">
        <v>29</v>
      </c>
    </row>
    <row x14ac:dyDescent="0.25" r="250" customHeight="1" ht="18.75">
      <c r="A250" s="2"/>
      <c r="B250" s="2" t="s">
        <v>204</v>
      </c>
      <c r="C250" s="3">
        <v>8</v>
      </c>
      <c r="D250" s="3">
        <v>14</v>
      </c>
      <c r="E250" s="3">
        <v>4257</v>
      </c>
      <c r="F250" s="3">
        <v>304</v>
      </c>
      <c r="G250" s="3">
        <v>150</v>
      </c>
      <c r="H250" s="11">
        <f>IFERROR(G250/E250, "")</f>
      </c>
      <c r="I250" s="11">
        <v>15.5</v>
      </c>
      <c r="J250" s="3">
        <v>74</v>
      </c>
      <c r="K250" s="2" t="s">
        <v>29</v>
      </c>
    </row>
    <row x14ac:dyDescent="0.25" r="251" customHeight="1" ht="18.75">
      <c r="A251" s="2"/>
      <c r="B251" s="2" t="s">
        <v>229</v>
      </c>
      <c r="C251" s="3">
        <v>8</v>
      </c>
      <c r="D251" s="3">
        <v>16</v>
      </c>
      <c r="E251" s="3">
        <v>4141</v>
      </c>
      <c r="F251" s="3">
        <v>302</v>
      </c>
      <c r="G251" s="3">
        <v>140</v>
      </c>
      <c r="H251" s="11">
        <f>IFERROR(G251/E251, "")</f>
      </c>
      <c r="I251" s="3">
        <v>14</v>
      </c>
      <c r="J251" s="3">
        <v>74</v>
      </c>
      <c r="K251" s="2" t="s">
        <v>29</v>
      </c>
    </row>
    <row x14ac:dyDescent="0.25" r="252" customHeight="1" ht="18.75">
      <c r="A252" s="2"/>
      <c r="B252" s="2" t="s">
        <v>235</v>
      </c>
      <c r="C252" s="3">
        <v>8</v>
      </c>
      <c r="D252" s="3">
        <v>14</v>
      </c>
      <c r="E252" s="3">
        <v>4457</v>
      </c>
      <c r="F252" s="3">
        <v>318</v>
      </c>
      <c r="G252" s="3">
        <v>150</v>
      </c>
      <c r="H252" s="11">
        <f>IFERROR(G252/E252, "")</f>
      </c>
      <c r="I252" s="11">
        <v>13.5</v>
      </c>
      <c r="J252" s="3">
        <v>74</v>
      </c>
      <c r="K252" s="2" t="s">
        <v>29</v>
      </c>
    </row>
    <row x14ac:dyDescent="0.25" r="253" customHeight="1" ht="18.75">
      <c r="A253" s="2"/>
      <c r="B253" s="2" t="s">
        <v>236</v>
      </c>
      <c r="C253" s="3">
        <v>8</v>
      </c>
      <c r="D253" s="3">
        <v>13</v>
      </c>
      <c r="E253" s="3">
        <v>4699</v>
      </c>
      <c r="F253" s="3">
        <v>350</v>
      </c>
      <c r="G253" s="3">
        <v>150</v>
      </c>
      <c r="H253" s="11">
        <f>IFERROR(G253/E253, "")</f>
      </c>
      <c r="I253" s="11">
        <v>14.5</v>
      </c>
      <c r="J253" s="3">
        <v>74</v>
      </c>
      <c r="K253" s="2" t="s">
        <v>29</v>
      </c>
    </row>
    <row x14ac:dyDescent="0.25" r="254" customHeight="1" ht="18.75">
      <c r="A254" s="2"/>
      <c r="B254" s="2" t="s">
        <v>208</v>
      </c>
      <c r="C254" s="3">
        <v>8</v>
      </c>
      <c r="D254" s="3">
        <v>14</v>
      </c>
      <c r="E254" s="3">
        <v>4638</v>
      </c>
      <c r="F254" s="3">
        <v>302</v>
      </c>
      <c r="G254" s="3">
        <v>140</v>
      </c>
      <c r="H254" s="11">
        <f>IFERROR(G254/E254, "")</f>
      </c>
      <c r="I254" s="3">
        <v>16</v>
      </c>
      <c r="J254" s="3">
        <v>74</v>
      </c>
      <c r="K254" s="2" t="s">
        <v>29</v>
      </c>
    </row>
    <row x14ac:dyDescent="0.25" r="255" customHeight="1" ht="18.75">
      <c r="A255" s="2"/>
      <c r="B255" s="2" t="s">
        <v>185</v>
      </c>
      <c r="C255" s="3">
        <v>4</v>
      </c>
      <c r="D255" s="3">
        <v>23</v>
      </c>
      <c r="E255" s="3">
        <v>2639</v>
      </c>
      <c r="F255" s="3">
        <v>140</v>
      </c>
      <c r="G255" s="3">
        <v>83</v>
      </c>
      <c r="H255" s="11">
        <f>IFERROR(G255/E255, "")</f>
      </c>
      <c r="I255" s="3">
        <v>17</v>
      </c>
      <c r="J255" s="3">
        <v>75</v>
      </c>
      <c r="K255" s="2" t="s">
        <v>29</v>
      </c>
    </row>
    <row x14ac:dyDescent="0.25" r="256" customHeight="1" ht="18.75">
      <c r="A256" s="2"/>
      <c r="B256" s="2" t="s">
        <v>237</v>
      </c>
      <c r="C256" s="3">
        <v>4</v>
      </c>
      <c r="D256" s="3">
        <v>23</v>
      </c>
      <c r="E256" s="3">
        <v>2592</v>
      </c>
      <c r="F256" s="3">
        <v>140</v>
      </c>
      <c r="G256" s="3">
        <v>78</v>
      </c>
      <c r="H256" s="11">
        <f>IFERROR(G256/E256, "")</f>
      </c>
      <c r="I256" s="11">
        <v>18.5</v>
      </c>
      <c r="J256" s="3">
        <v>75</v>
      </c>
      <c r="K256" s="2" t="s">
        <v>29</v>
      </c>
    </row>
    <row x14ac:dyDescent="0.25" r="257" customHeight="1" ht="18.75">
      <c r="A257" s="2"/>
      <c r="B257" s="2" t="s">
        <v>238</v>
      </c>
      <c r="C257" s="3">
        <v>6</v>
      </c>
      <c r="D257" s="3">
        <v>21</v>
      </c>
      <c r="E257" s="3">
        <v>3039</v>
      </c>
      <c r="F257" s="3">
        <v>231</v>
      </c>
      <c r="G257" s="3">
        <v>110</v>
      </c>
      <c r="H257" s="11">
        <f>IFERROR(G257/E257, "")</f>
      </c>
      <c r="I257" s="3">
        <v>15</v>
      </c>
      <c r="J257" s="3">
        <v>75</v>
      </c>
      <c r="K257" s="2" t="s">
        <v>29</v>
      </c>
    </row>
    <row x14ac:dyDescent="0.25" r="258" customHeight="1" ht="18.75">
      <c r="A258" s="2"/>
      <c r="B258" s="2" t="s">
        <v>160</v>
      </c>
      <c r="C258" s="3">
        <v>6</v>
      </c>
      <c r="D258" s="3">
        <v>20</v>
      </c>
      <c r="E258" s="3">
        <v>2914</v>
      </c>
      <c r="F258" s="3">
        <v>232</v>
      </c>
      <c r="G258" s="3">
        <v>100</v>
      </c>
      <c r="H258" s="11">
        <f>IFERROR(G258/E258, "")</f>
      </c>
      <c r="I258" s="3">
        <v>16</v>
      </c>
      <c r="J258" s="3">
        <v>75</v>
      </c>
      <c r="K258" s="2" t="s">
        <v>29</v>
      </c>
    </row>
    <row x14ac:dyDescent="0.25" r="259" customHeight="1" ht="18.75">
      <c r="A259" s="2"/>
      <c r="B259" s="2" t="s">
        <v>185</v>
      </c>
      <c r="C259" s="3">
        <v>6</v>
      </c>
      <c r="D259" s="3">
        <v>18</v>
      </c>
      <c r="E259" s="3">
        <v>2984</v>
      </c>
      <c r="F259" s="3">
        <v>171</v>
      </c>
      <c r="G259" s="3">
        <v>97</v>
      </c>
      <c r="H259" s="11">
        <f>IFERROR(G259/E259, "")</f>
      </c>
      <c r="I259" s="11">
        <v>14.5</v>
      </c>
      <c r="J259" s="3">
        <v>75</v>
      </c>
      <c r="K259" s="2" t="s">
        <v>29</v>
      </c>
    </row>
    <row x14ac:dyDescent="0.25" r="260" customHeight="1" ht="18.75">
      <c r="A260" s="2"/>
      <c r="B260" s="2" t="s">
        <v>232</v>
      </c>
      <c r="C260" s="3">
        <v>6</v>
      </c>
      <c r="D260" s="3">
        <v>18</v>
      </c>
      <c r="E260" s="3">
        <v>3459</v>
      </c>
      <c r="F260" s="3">
        <v>250</v>
      </c>
      <c r="G260" s="3">
        <v>105</v>
      </c>
      <c r="H260" s="11">
        <f>IFERROR(G260/E260, "")</f>
      </c>
      <c r="I260" s="3">
        <v>16</v>
      </c>
      <c r="J260" s="3">
        <v>75</v>
      </c>
      <c r="K260" s="2" t="s">
        <v>29</v>
      </c>
    </row>
    <row x14ac:dyDescent="0.25" r="261" customHeight="1" ht="18.75">
      <c r="A261" s="2"/>
      <c r="B261" s="2" t="s">
        <v>189</v>
      </c>
      <c r="C261" s="3">
        <v>6</v>
      </c>
      <c r="D261" s="3">
        <v>15</v>
      </c>
      <c r="E261" s="3">
        <v>3730</v>
      </c>
      <c r="F261" s="3">
        <v>258</v>
      </c>
      <c r="G261" s="3">
        <v>110</v>
      </c>
      <c r="H261" s="11">
        <f>IFERROR(G261/E261, "")</f>
      </c>
      <c r="I261" s="3">
        <v>19</v>
      </c>
      <c r="J261" s="3">
        <v>75</v>
      </c>
      <c r="K261" s="2" t="s">
        <v>29</v>
      </c>
    </row>
    <row x14ac:dyDescent="0.25" r="262" customHeight="1" ht="18.75">
      <c r="A262" s="2"/>
      <c r="B262" s="2" t="s">
        <v>239</v>
      </c>
      <c r="C262" s="3">
        <v>6</v>
      </c>
      <c r="D262" s="3">
        <v>19</v>
      </c>
      <c r="E262" s="3">
        <v>3264</v>
      </c>
      <c r="F262" s="3">
        <v>225</v>
      </c>
      <c r="G262" s="3">
        <v>95</v>
      </c>
      <c r="H262" s="11">
        <f>IFERROR(G262/E262, "")</f>
      </c>
      <c r="I262" s="3">
        <v>16</v>
      </c>
      <c r="J262" s="3">
        <v>75</v>
      </c>
      <c r="K262" s="2" t="s">
        <v>29</v>
      </c>
    </row>
    <row x14ac:dyDescent="0.25" r="263" customHeight="1" ht="18.75">
      <c r="A263" s="2"/>
      <c r="B263" s="2" t="s">
        <v>240</v>
      </c>
      <c r="C263" s="3">
        <v>6</v>
      </c>
      <c r="D263" s="3">
        <v>17</v>
      </c>
      <c r="E263" s="3">
        <v>3907</v>
      </c>
      <c r="F263" s="3">
        <v>231</v>
      </c>
      <c r="G263" s="3">
        <v>110</v>
      </c>
      <c r="H263" s="11">
        <f>IFERROR(G263/E263, "")</f>
      </c>
      <c r="I263" s="3">
        <v>21</v>
      </c>
      <c r="J263" s="3">
        <v>75</v>
      </c>
      <c r="K263" s="2" t="s">
        <v>29</v>
      </c>
    </row>
    <row x14ac:dyDescent="0.25" r="264" customHeight="1" ht="18.75">
      <c r="A264" s="2"/>
      <c r="B264" s="2" t="s">
        <v>241</v>
      </c>
      <c r="C264" s="3">
        <v>6</v>
      </c>
      <c r="D264" s="3">
        <v>19</v>
      </c>
      <c r="E264" s="3">
        <v>3211</v>
      </c>
      <c r="F264" s="3">
        <v>232</v>
      </c>
      <c r="G264" s="3">
        <v>90</v>
      </c>
      <c r="H264" s="11">
        <f>IFERROR(G264/E264, "")</f>
      </c>
      <c r="I264" s="3">
        <v>17</v>
      </c>
      <c r="J264" s="3">
        <v>75</v>
      </c>
      <c r="K264" s="2" t="s">
        <v>29</v>
      </c>
    </row>
    <row x14ac:dyDescent="0.25" r="265" customHeight="1" ht="18.75">
      <c r="A265" s="2"/>
      <c r="B265" s="2" t="s">
        <v>242</v>
      </c>
      <c r="C265" s="3">
        <v>6</v>
      </c>
      <c r="D265" s="3">
        <v>16</v>
      </c>
      <c r="E265" s="3">
        <v>3897</v>
      </c>
      <c r="F265" s="3">
        <v>250</v>
      </c>
      <c r="G265" s="3">
        <v>105</v>
      </c>
      <c r="H265" s="11">
        <f>IFERROR(G265/E265, "")</f>
      </c>
      <c r="I265" s="11">
        <v>18.5</v>
      </c>
      <c r="J265" s="3">
        <v>75</v>
      </c>
      <c r="K265" s="2" t="s">
        <v>29</v>
      </c>
    </row>
    <row x14ac:dyDescent="0.25" r="266" customHeight="1" ht="18.75">
      <c r="A266" s="2"/>
      <c r="B266" s="2" t="s">
        <v>243</v>
      </c>
      <c r="C266" s="3">
        <v>6</v>
      </c>
      <c r="D266" s="3">
        <v>18</v>
      </c>
      <c r="E266" s="3">
        <v>3785</v>
      </c>
      <c r="F266" s="3">
        <v>225</v>
      </c>
      <c r="G266" s="3">
        <v>95</v>
      </c>
      <c r="H266" s="11">
        <f>IFERROR(G266/E266, "")</f>
      </c>
      <c r="I266" s="3">
        <v>19</v>
      </c>
      <c r="J266" s="3">
        <v>75</v>
      </c>
      <c r="K266" s="2" t="s">
        <v>29</v>
      </c>
    </row>
    <row x14ac:dyDescent="0.25" r="267" customHeight="1" ht="18.75">
      <c r="A267" s="2"/>
      <c r="B267" s="2" t="s">
        <v>162</v>
      </c>
      <c r="C267" s="3">
        <v>6</v>
      </c>
      <c r="D267" s="3">
        <v>15</v>
      </c>
      <c r="E267" s="3">
        <v>3158</v>
      </c>
      <c r="F267" s="3">
        <v>250</v>
      </c>
      <c r="G267" s="3">
        <v>72</v>
      </c>
      <c r="H267" s="11">
        <f>IFERROR(G267/E267, "")</f>
      </c>
      <c r="I267" s="11">
        <v>19.5</v>
      </c>
      <c r="J267" s="3">
        <v>75</v>
      </c>
      <c r="K267" s="2" t="s">
        <v>29</v>
      </c>
    </row>
    <row x14ac:dyDescent="0.25" r="268" customHeight="1" ht="18.75">
      <c r="A268" s="2"/>
      <c r="B268" s="2" t="s">
        <v>244</v>
      </c>
      <c r="C268" s="3">
        <v>6</v>
      </c>
      <c r="D268" s="3">
        <v>15</v>
      </c>
      <c r="E268" s="3">
        <v>3432</v>
      </c>
      <c r="F268" s="3">
        <v>250</v>
      </c>
      <c r="G268" s="3">
        <v>72</v>
      </c>
      <c r="H268" s="11">
        <f>IFERROR(G268/E268, "")</f>
      </c>
      <c r="I268" s="3">
        <v>21</v>
      </c>
      <c r="J268" s="3">
        <v>75</v>
      </c>
      <c r="K268" s="2" t="s">
        <v>29</v>
      </c>
    </row>
    <row x14ac:dyDescent="0.25" r="269" customHeight="1" ht="18.75">
      <c r="A269" s="2"/>
      <c r="B269" s="2" t="s">
        <v>245</v>
      </c>
      <c r="C269" s="3">
        <v>8</v>
      </c>
      <c r="D269" s="3">
        <v>13</v>
      </c>
      <c r="E269" s="3">
        <v>3169</v>
      </c>
      <c r="F269" s="3">
        <v>302</v>
      </c>
      <c r="G269" s="3">
        <v>129</v>
      </c>
      <c r="H269" s="11">
        <f>IFERROR(G269/E269, "")</f>
      </c>
      <c r="I269" s="3">
        <v>12</v>
      </c>
      <c r="J269" s="3">
        <v>75</v>
      </c>
      <c r="K269" s="2" t="s">
        <v>29</v>
      </c>
    </row>
    <row x14ac:dyDescent="0.25" r="270" customHeight="1" ht="18.75">
      <c r="A270" s="2"/>
      <c r="B270" s="2" t="s">
        <v>164</v>
      </c>
      <c r="C270" s="3">
        <v>8</v>
      </c>
      <c r="D270" s="3">
        <v>16</v>
      </c>
      <c r="E270" s="3">
        <v>4668</v>
      </c>
      <c r="F270" s="3">
        <v>400</v>
      </c>
      <c r="G270" s="3">
        <v>170</v>
      </c>
      <c r="H270" s="11">
        <f>IFERROR(G270/E270, "")</f>
      </c>
      <c r="I270" s="11">
        <v>11.5</v>
      </c>
      <c r="J270" s="3">
        <v>75</v>
      </c>
      <c r="K270" s="2" t="s">
        <v>29</v>
      </c>
    </row>
    <row x14ac:dyDescent="0.25" r="271" customHeight="1" ht="18.75">
      <c r="A271" s="2"/>
      <c r="B271" s="2" t="s">
        <v>246</v>
      </c>
      <c r="C271" s="3">
        <v>8</v>
      </c>
      <c r="D271" s="3">
        <v>20</v>
      </c>
      <c r="E271" s="3">
        <v>3221</v>
      </c>
      <c r="F271" s="3">
        <v>262</v>
      </c>
      <c r="G271" s="3">
        <v>110</v>
      </c>
      <c r="H271" s="11">
        <f>IFERROR(G271/E271, "")</f>
      </c>
      <c r="I271" s="11">
        <v>13.5</v>
      </c>
      <c r="J271" s="3">
        <v>75</v>
      </c>
      <c r="K271" s="2" t="s">
        <v>29</v>
      </c>
    </row>
    <row x14ac:dyDescent="0.25" r="272" customHeight="1" ht="18.75">
      <c r="A272" s="2"/>
      <c r="B272" s="2" t="s">
        <v>247</v>
      </c>
      <c r="C272" s="3">
        <v>8</v>
      </c>
      <c r="D272" s="3">
        <v>16</v>
      </c>
      <c r="E272" s="3">
        <v>4498</v>
      </c>
      <c r="F272" s="3">
        <v>318</v>
      </c>
      <c r="G272" s="3">
        <v>150</v>
      </c>
      <c r="H272" s="11">
        <f>IFERROR(G272/E272, "")</f>
      </c>
      <c r="I272" s="11">
        <v>14.5</v>
      </c>
      <c r="J272" s="3">
        <v>75</v>
      </c>
      <c r="K272" s="2" t="s">
        <v>29</v>
      </c>
    </row>
    <row x14ac:dyDescent="0.25" r="273" customHeight="1" ht="18.75">
      <c r="A273" s="2"/>
      <c r="B273" s="2" t="s">
        <v>248</v>
      </c>
      <c r="C273" s="3">
        <v>8</v>
      </c>
      <c r="D273" s="3">
        <v>15</v>
      </c>
      <c r="E273" s="3">
        <v>4440</v>
      </c>
      <c r="F273" s="3">
        <v>350</v>
      </c>
      <c r="G273" s="3">
        <v>145</v>
      </c>
      <c r="H273" s="11">
        <f>IFERROR(G273/E273, "")</f>
      </c>
      <c r="I273" s="3">
        <v>14</v>
      </c>
      <c r="J273" s="3">
        <v>75</v>
      </c>
      <c r="K273" s="2" t="s">
        <v>29</v>
      </c>
    </row>
    <row x14ac:dyDescent="0.25" r="274" customHeight="1" ht="18.75">
      <c r="A274" s="2"/>
      <c r="B274" s="2" t="s">
        <v>225</v>
      </c>
      <c r="C274" s="3">
        <v>8</v>
      </c>
      <c r="D274" s="3">
        <v>14</v>
      </c>
      <c r="E274" s="3">
        <v>4657</v>
      </c>
      <c r="F274" s="3">
        <v>351</v>
      </c>
      <c r="G274" s="3">
        <v>148</v>
      </c>
      <c r="H274" s="11">
        <f>IFERROR(G274/E274, "")</f>
      </c>
      <c r="I274" s="11">
        <v>13.5</v>
      </c>
      <c r="J274" s="3">
        <v>75</v>
      </c>
      <c r="K274" s="2" t="s">
        <v>29</v>
      </c>
    </row>
    <row x14ac:dyDescent="0.25" r="275" customHeight="1" ht="18.75">
      <c r="A275" s="2"/>
      <c r="B275" s="2" t="s">
        <v>249</v>
      </c>
      <c r="C275" s="3">
        <v>4</v>
      </c>
      <c r="D275" s="3">
        <v>25</v>
      </c>
      <c r="E275" s="3">
        <v>2572</v>
      </c>
      <c r="F275" s="3">
        <v>140</v>
      </c>
      <c r="G275" s="3">
        <v>92</v>
      </c>
      <c r="H275" s="11">
        <f>IFERROR(G275/E275, "")</f>
      </c>
      <c r="I275" s="11">
        <v>14.9</v>
      </c>
      <c r="J275" s="3">
        <v>76</v>
      </c>
      <c r="K275" s="2" t="s">
        <v>29</v>
      </c>
    </row>
    <row x14ac:dyDescent="0.25" r="276" customHeight="1" ht="18.75">
      <c r="A276" s="2"/>
      <c r="B276" s="2" t="s">
        <v>231</v>
      </c>
      <c r="C276" s="3">
        <v>4</v>
      </c>
      <c r="D276" s="3">
        <v>26</v>
      </c>
      <c r="E276" s="3">
        <v>2255</v>
      </c>
      <c r="F276" s="3">
        <v>98</v>
      </c>
      <c r="G276" s="3">
        <v>79</v>
      </c>
      <c r="H276" s="11">
        <f>IFERROR(G276/E276, "")</f>
      </c>
      <c r="I276" s="11">
        <v>17.7</v>
      </c>
      <c r="J276" s="3">
        <v>76</v>
      </c>
      <c r="K276" s="2" t="s">
        <v>29</v>
      </c>
    </row>
    <row x14ac:dyDescent="0.25" r="277" customHeight="1" ht="18.75">
      <c r="A277" s="2"/>
      <c r="B277" s="2" t="s">
        <v>185</v>
      </c>
      <c r="C277" s="3">
        <v>4</v>
      </c>
      <c r="D277" s="11">
        <v>26.5</v>
      </c>
      <c r="E277" s="3">
        <v>2565</v>
      </c>
      <c r="F277" s="3">
        <v>140</v>
      </c>
      <c r="G277" s="3">
        <v>72</v>
      </c>
      <c r="H277" s="11">
        <f>IFERROR(G277/E277, "")</f>
      </c>
      <c r="I277" s="11">
        <v>13.6</v>
      </c>
      <c r="J277" s="3">
        <v>76</v>
      </c>
      <c r="K277" s="2" t="s">
        <v>29</v>
      </c>
    </row>
    <row x14ac:dyDescent="0.25" r="278" customHeight="1" ht="18.75">
      <c r="A278" s="2"/>
      <c r="B278" s="2" t="s">
        <v>250</v>
      </c>
      <c r="C278" s="3">
        <v>4</v>
      </c>
      <c r="D278" s="11">
        <v>24.5</v>
      </c>
      <c r="E278" s="3">
        <v>2164</v>
      </c>
      <c r="F278" s="3">
        <v>98</v>
      </c>
      <c r="G278" s="3">
        <v>60</v>
      </c>
      <c r="H278" s="11">
        <f>IFERROR(G278/E278, "")</f>
      </c>
      <c r="I278" s="11">
        <v>22.1</v>
      </c>
      <c r="J278" s="3">
        <v>76</v>
      </c>
      <c r="K278" s="2" t="s">
        <v>29</v>
      </c>
    </row>
    <row x14ac:dyDescent="0.25" r="279" customHeight="1" ht="18.75">
      <c r="A279" s="2"/>
      <c r="B279" s="2" t="s">
        <v>251</v>
      </c>
      <c r="C279" s="3">
        <v>4</v>
      </c>
      <c r="D279" s="3">
        <v>29</v>
      </c>
      <c r="E279" s="3">
        <v>2035</v>
      </c>
      <c r="F279" s="3">
        <v>85</v>
      </c>
      <c r="G279" s="3">
        <v>52</v>
      </c>
      <c r="H279" s="11">
        <f>IFERROR(G279/E279, "")</f>
      </c>
      <c r="I279" s="11">
        <v>22.2</v>
      </c>
      <c r="J279" s="3">
        <v>76</v>
      </c>
      <c r="K279" s="2" t="s">
        <v>29</v>
      </c>
    </row>
    <row x14ac:dyDescent="0.25" r="280" customHeight="1" ht="18.75">
      <c r="A280" s="2"/>
      <c r="B280" s="2" t="s">
        <v>232</v>
      </c>
      <c r="C280" s="3">
        <v>6</v>
      </c>
      <c r="D280" s="3">
        <v>22</v>
      </c>
      <c r="E280" s="3">
        <v>3353</v>
      </c>
      <c r="F280" s="3">
        <v>250</v>
      </c>
      <c r="G280" s="3">
        <v>105</v>
      </c>
      <c r="H280" s="11">
        <f>IFERROR(G280/E280, "")</f>
      </c>
      <c r="I280" s="11">
        <v>14.5</v>
      </c>
      <c r="J280" s="3">
        <v>76</v>
      </c>
      <c r="K280" s="2" t="s">
        <v>29</v>
      </c>
    </row>
    <row x14ac:dyDescent="0.25" r="281" customHeight="1" ht="18.75">
      <c r="A281" s="2"/>
      <c r="B281" s="2" t="s">
        <v>211</v>
      </c>
      <c r="C281" s="3">
        <v>6</v>
      </c>
      <c r="D281" s="3">
        <v>22</v>
      </c>
      <c r="E281" s="3">
        <v>3233</v>
      </c>
      <c r="F281" s="3">
        <v>225</v>
      </c>
      <c r="G281" s="3">
        <v>100</v>
      </c>
      <c r="H281" s="11">
        <f>IFERROR(G281/E281, "")</f>
      </c>
      <c r="I281" s="11">
        <v>15.4</v>
      </c>
      <c r="J281" s="3">
        <v>76</v>
      </c>
      <c r="K281" s="2" t="s">
        <v>29</v>
      </c>
    </row>
    <row x14ac:dyDescent="0.25" r="282" customHeight="1" ht="18.75">
      <c r="A282" s="2"/>
      <c r="B282" s="2" t="s">
        <v>252</v>
      </c>
      <c r="C282" s="3">
        <v>6</v>
      </c>
      <c r="D282" s="11">
        <v>18.5</v>
      </c>
      <c r="E282" s="3">
        <v>3645</v>
      </c>
      <c r="F282" s="3">
        <v>250</v>
      </c>
      <c r="G282" s="3">
        <v>110</v>
      </c>
      <c r="H282" s="11">
        <f>IFERROR(G282/E282, "")</f>
      </c>
      <c r="I282" s="11">
        <v>16.2</v>
      </c>
      <c r="J282" s="3">
        <v>76</v>
      </c>
      <c r="K282" s="2" t="s">
        <v>29</v>
      </c>
    </row>
    <row x14ac:dyDescent="0.25" r="283" customHeight="1" ht="18.75">
      <c r="A283" s="2"/>
      <c r="B283" s="2" t="s">
        <v>253</v>
      </c>
      <c r="C283" s="3">
        <v>6</v>
      </c>
      <c r="D283" s="11">
        <v>17.5</v>
      </c>
      <c r="E283" s="3">
        <v>3193</v>
      </c>
      <c r="F283" s="3">
        <v>258</v>
      </c>
      <c r="G283" s="3">
        <v>95</v>
      </c>
      <c r="H283" s="11">
        <f>IFERROR(G283/E283, "")</f>
      </c>
      <c r="I283" s="11">
        <v>17.8</v>
      </c>
      <c r="J283" s="3">
        <v>76</v>
      </c>
      <c r="K283" s="2" t="s">
        <v>29</v>
      </c>
    </row>
    <row x14ac:dyDescent="0.25" r="284" customHeight="1" ht="18.75">
      <c r="A284" s="2"/>
      <c r="B284" s="2" t="s">
        <v>159</v>
      </c>
      <c r="C284" s="3">
        <v>6</v>
      </c>
      <c r="D284" s="11">
        <v>22.5</v>
      </c>
      <c r="E284" s="3">
        <v>3085</v>
      </c>
      <c r="F284" s="3">
        <v>232</v>
      </c>
      <c r="G284" s="3">
        <v>90</v>
      </c>
      <c r="H284" s="11">
        <f>IFERROR(G284/E284, "")</f>
      </c>
      <c r="I284" s="11">
        <v>17.6</v>
      </c>
      <c r="J284" s="3">
        <v>76</v>
      </c>
      <c r="K284" s="2" t="s">
        <v>29</v>
      </c>
    </row>
    <row x14ac:dyDescent="0.25" r="285" customHeight="1" ht="18.75">
      <c r="A285" s="2"/>
      <c r="B285" s="2" t="s">
        <v>254</v>
      </c>
      <c r="C285" s="3">
        <v>6</v>
      </c>
      <c r="D285" s="3">
        <v>20</v>
      </c>
      <c r="E285" s="3">
        <v>3651</v>
      </c>
      <c r="F285" s="3">
        <v>225</v>
      </c>
      <c r="G285" s="3">
        <v>100</v>
      </c>
      <c r="H285" s="11">
        <f>IFERROR(G285/E285, "")</f>
      </c>
      <c r="I285" s="11">
        <v>17.7</v>
      </c>
      <c r="J285" s="3">
        <v>76</v>
      </c>
      <c r="K285" s="2" t="s">
        <v>29</v>
      </c>
    </row>
    <row x14ac:dyDescent="0.25" r="286" customHeight="1" ht="18.75">
      <c r="A286" s="2"/>
      <c r="B286" s="2" t="s">
        <v>162</v>
      </c>
      <c r="C286" s="3">
        <v>6</v>
      </c>
      <c r="D286" s="3">
        <v>24</v>
      </c>
      <c r="E286" s="3">
        <v>3012</v>
      </c>
      <c r="F286" s="3">
        <v>200</v>
      </c>
      <c r="G286" s="3">
        <v>81</v>
      </c>
      <c r="H286" s="11">
        <f>IFERROR(G286/E286, "")</f>
      </c>
      <c r="I286" s="11">
        <v>17.6</v>
      </c>
      <c r="J286" s="3">
        <v>76</v>
      </c>
      <c r="K286" s="2" t="s">
        <v>29</v>
      </c>
    </row>
    <row x14ac:dyDescent="0.25" r="287" customHeight="1" ht="18.75">
      <c r="A287" s="2"/>
      <c r="B287" s="2" t="s">
        <v>255</v>
      </c>
      <c r="C287" s="3">
        <v>6</v>
      </c>
      <c r="D287" s="3">
        <v>18</v>
      </c>
      <c r="E287" s="3">
        <v>3574</v>
      </c>
      <c r="F287" s="3">
        <v>250</v>
      </c>
      <c r="G287" s="3">
        <v>78</v>
      </c>
      <c r="H287" s="11">
        <f>IFERROR(G287/E287, "")</f>
      </c>
      <c r="I287" s="3">
        <v>21</v>
      </c>
      <c r="J287" s="3">
        <v>76</v>
      </c>
      <c r="K287" s="2" t="s">
        <v>29</v>
      </c>
    </row>
    <row x14ac:dyDescent="0.25" r="288" customHeight="1" ht="18.75">
      <c r="A288" s="2"/>
      <c r="B288" s="2" t="s">
        <v>256</v>
      </c>
      <c r="C288" s="3">
        <v>8</v>
      </c>
      <c r="D288" s="11">
        <v>16.5</v>
      </c>
      <c r="E288" s="3">
        <v>4380</v>
      </c>
      <c r="F288" s="3">
        <v>350</v>
      </c>
      <c r="G288" s="3">
        <v>180</v>
      </c>
      <c r="H288" s="11">
        <f>IFERROR(G288/E288, "")</f>
      </c>
      <c r="I288" s="11">
        <v>12.1</v>
      </c>
      <c r="J288" s="3">
        <v>76</v>
      </c>
      <c r="K288" s="2" t="s">
        <v>29</v>
      </c>
    </row>
    <row x14ac:dyDescent="0.25" r="289" customHeight="1" ht="18.75">
      <c r="A289" s="2"/>
      <c r="B289" s="2" t="s">
        <v>257</v>
      </c>
      <c r="C289" s="3">
        <v>8</v>
      </c>
      <c r="D289" s="3">
        <v>13</v>
      </c>
      <c r="E289" s="3">
        <v>3755</v>
      </c>
      <c r="F289" s="3">
        <v>318</v>
      </c>
      <c r="G289" s="3">
        <v>150</v>
      </c>
      <c r="H289" s="11">
        <f>IFERROR(G289/E289, "")</f>
      </c>
      <c r="I289" s="3">
        <v>14</v>
      </c>
      <c r="J289" s="3">
        <v>76</v>
      </c>
      <c r="K289" s="2" t="s">
        <v>29</v>
      </c>
    </row>
    <row x14ac:dyDescent="0.25" r="290" customHeight="1" ht="18.75">
      <c r="A290" s="2"/>
      <c r="B290" s="2" t="s">
        <v>258</v>
      </c>
      <c r="C290" s="3">
        <v>8</v>
      </c>
      <c r="D290" s="3">
        <v>13</v>
      </c>
      <c r="E290" s="3">
        <v>3940</v>
      </c>
      <c r="F290" s="3">
        <v>318</v>
      </c>
      <c r="G290" s="3">
        <v>150</v>
      </c>
      <c r="H290" s="11">
        <f>IFERROR(G290/E290, "")</f>
      </c>
      <c r="I290" s="11">
        <v>13.2</v>
      </c>
      <c r="J290" s="3">
        <v>76</v>
      </c>
      <c r="K290" s="2" t="s">
        <v>29</v>
      </c>
    </row>
    <row x14ac:dyDescent="0.25" r="291" customHeight="1" ht="18.75">
      <c r="A291" s="2"/>
      <c r="B291" s="2" t="s">
        <v>229</v>
      </c>
      <c r="C291" s="3">
        <v>8</v>
      </c>
      <c r="D291" s="11">
        <v>14.5</v>
      </c>
      <c r="E291" s="3">
        <v>4215</v>
      </c>
      <c r="F291" s="3">
        <v>351</v>
      </c>
      <c r="G291" s="3">
        <v>152</v>
      </c>
      <c r="H291" s="11">
        <f>IFERROR(G291/E291, "")</f>
      </c>
      <c r="I291" s="11">
        <v>12.8</v>
      </c>
      <c r="J291" s="3">
        <v>76</v>
      </c>
      <c r="K291" s="2" t="s">
        <v>29</v>
      </c>
    </row>
    <row x14ac:dyDescent="0.25" r="292" customHeight="1" ht="18.75">
      <c r="A292" s="2"/>
      <c r="B292" s="2" t="s">
        <v>259</v>
      </c>
      <c r="C292" s="3">
        <v>8</v>
      </c>
      <c r="D292" s="3">
        <v>13</v>
      </c>
      <c r="E292" s="3">
        <v>4055</v>
      </c>
      <c r="F292" s="3">
        <v>350</v>
      </c>
      <c r="G292" s="3">
        <v>145</v>
      </c>
      <c r="H292" s="11">
        <f>IFERROR(G292/E292, "")</f>
      </c>
      <c r="I292" s="3">
        <v>12</v>
      </c>
      <c r="J292" s="3">
        <v>76</v>
      </c>
      <c r="K292" s="2" t="s">
        <v>29</v>
      </c>
    </row>
    <row x14ac:dyDescent="0.25" r="293" customHeight="1" ht="18.75">
      <c r="A293" s="2"/>
      <c r="B293" s="2" t="s">
        <v>260</v>
      </c>
      <c r="C293" s="3">
        <v>8</v>
      </c>
      <c r="D293" s="3">
        <v>16</v>
      </c>
      <c r="E293" s="3">
        <v>4190</v>
      </c>
      <c r="F293" s="3">
        <v>318</v>
      </c>
      <c r="G293" s="3">
        <v>150</v>
      </c>
      <c r="H293" s="11">
        <f>IFERROR(G293/E293, "")</f>
      </c>
      <c r="I293" s="3">
        <v>13</v>
      </c>
      <c r="J293" s="3">
        <v>76</v>
      </c>
      <c r="K293" s="2" t="s">
        <v>29</v>
      </c>
    </row>
    <row x14ac:dyDescent="0.25" r="294" customHeight="1" ht="18.75">
      <c r="A294" s="2"/>
      <c r="B294" s="2" t="s">
        <v>261</v>
      </c>
      <c r="C294" s="3">
        <v>8</v>
      </c>
      <c r="D294" s="3">
        <v>13</v>
      </c>
      <c r="E294" s="3">
        <v>3870</v>
      </c>
      <c r="F294" s="3">
        <v>302</v>
      </c>
      <c r="G294" s="3">
        <v>130</v>
      </c>
      <c r="H294" s="11">
        <f>IFERROR(G294/E294, "")</f>
      </c>
      <c r="I294" s="3">
        <v>15</v>
      </c>
      <c r="J294" s="3">
        <v>76</v>
      </c>
      <c r="K294" s="2" t="s">
        <v>29</v>
      </c>
    </row>
    <row x14ac:dyDescent="0.25" r="295" customHeight="1" ht="18.75">
      <c r="A295" s="2"/>
      <c r="B295" s="2" t="s">
        <v>234</v>
      </c>
      <c r="C295" s="3">
        <v>8</v>
      </c>
      <c r="D295" s="11">
        <v>17.5</v>
      </c>
      <c r="E295" s="3">
        <v>4215</v>
      </c>
      <c r="F295" s="3">
        <v>305</v>
      </c>
      <c r="G295" s="3">
        <v>140</v>
      </c>
      <c r="H295" s="11">
        <f>IFERROR(G295/E295, "")</f>
      </c>
      <c r="I295" s="3">
        <v>13</v>
      </c>
      <c r="J295" s="3">
        <v>76</v>
      </c>
      <c r="K295" s="2" t="s">
        <v>29</v>
      </c>
    </row>
    <row x14ac:dyDescent="0.25" r="296" customHeight="1" ht="18.75">
      <c r="A296" s="2"/>
      <c r="B296" s="2" t="s">
        <v>189</v>
      </c>
      <c r="C296" s="3">
        <v>8</v>
      </c>
      <c r="D296" s="11">
        <v>15.5</v>
      </c>
      <c r="E296" s="3">
        <v>3962</v>
      </c>
      <c r="F296" s="3">
        <v>304</v>
      </c>
      <c r="G296" s="3">
        <v>120</v>
      </c>
      <c r="H296" s="11">
        <f>IFERROR(G296/E296, "")</f>
      </c>
      <c r="I296" s="11">
        <v>13.9</v>
      </c>
      <c r="J296" s="3">
        <v>76</v>
      </c>
      <c r="K296" s="2" t="s">
        <v>29</v>
      </c>
    </row>
    <row x14ac:dyDescent="0.25" r="297" customHeight="1" ht="18.75">
      <c r="A297" s="2"/>
      <c r="B297" s="2" t="s">
        <v>262</v>
      </c>
      <c r="C297" s="3">
        <v>4</v>
      </c>
      <c r="D297" s="11">
        <v>25.5</v>
      </c>
      <c r="E297" s="3">
        <v>2300</v>
      </c>
      <c r="F297" s="3">
        <v>122</v>
      </c>
      <c r="G297" s="3">
        <v>96</v>
      </c>
      <c r="H297" s="11">
        <f>IFERROR(G297/E297, "")</f>
      </c>
      <c r="I297" s="11">
        <v>15.5</v>
      </c>
      <c r="J297" s="3">
        <v>77</v>
      </c>
      <c r="K297" s="2" t="s">
        <v>29</v>
      </c>
    </row>
    <row x14ac:dyDescent="0.25" r="298" customHeight="1" ht="18.75">
      <c r="A298" s="2"/>
      <c r="B298" s="2" t="s">
        <v>263</v>
      </c>
      <c r="C298" s="3">
        <v>4</v>
      </c>
      <c r="D298" s="11">
        <v>33.5</v>
      </c>
      <c r="E298" s="3">
        <v>2075</v>
      </c>
      <c r="F298" s="3">
        <v>98</v>
      </c>
      <c r="G298" s="3">
        <v>83</v>
      </c>
      <c r="H298" s="11">
        <f>IFERROR(G298/E298, "")</f>
      </c>
      <c r="I298" s="11">
        <v>15.9</v>
      </c>
      <c r="J298" s="3">
        <v>77</v>
      </c>
      <c r="K298" s="2" t="s">
        <v>29</v>
      </c>
    </row>
    <row x14ac:dyDescent="0.25" r="299" customHeight="1" ht="18.75">
      <c r="A299" s="2"/>
      <c r="B299" s="2" t="s">
        <v>264</v>
      </c>
      <c r="C299" s="3">
        <v>4</v>
      </c>
      <c r="D299" s="3">
        <v>30</v>
      </c>
      <c r="E299" s="3">
        <v>2155</v>
      </c>
      <c r="F299" s="3">
        <v>111</v>
      </c>
      <c r="G299" s="3">
        <v>80</v>
      </c>
      <c r="H299" s="11">
        <f>IFERROR(G299/E299, "")</f>
      </c>
      <c r="I299" s="11">
        <v>14.8</v>
      </c>
      <c r="J299" s="3">
        <v>77</v>
      </c>
      <c r="K299" s="2" t="s">
        <v>29</v>
      </c>
    </row>
    <row x14ac:dyDescent="0.25" r="300" customHeight="1" ht="18.75">
      <c r="A300" s="2"/>
      <c r="B300" s="2" t="s">
        <v>265</v>
      </c>
      <c r="C300" s="3">
        <v>4</v>
      </c>
      <c r="D300" s="11">
        <v>25.5</v>
      </c>
      <c r="E300" s="3">
        <v>2755</v>
      </c>
      <c r="F300" s="3">
        <v>140</v>
      </c>
      <c r="G300" s="3">
        <v>89</v>
      </c>
      <c r="H300" s="11">
        <f>IFERROR(G300/E300, "")</f>
      </c>
      <c r="I300" s="11">
        <v>15.8</v>
      </c>
      <c r="J300" s="3">
        <v>77</v>
      </c>
      <c r="K300" s="2" t="s">
        <v>29</v>
      </c>
    </row>
    <row x14ac:dyDescent="0.25" r="301" customHeight="1" ht="18.75">
      <c r="A301" s="2"/>
      <c r="B301" s="2" t="s">
        <v>266</v>
      </c>
      <c r="C301" s="3">
        <v>4</v>
      </c>
      <c r="D301" s="11">
        <v>24.5</v>
      </c>
      <c r="E301" s="3">
        <v>2740</v>
      </c>
      <c r="F301" s="3">
        <v>151</v>
      </c>
      <c r="G301" s="3">
        <v>88</v>
      </c>
      <c r="H301" s="11">
        <f>IFERROR(G301/E301, "")</f>
      </c>
      <c r="I301" s="3">
        <v>16</v>
      </c>
      <c r="J301" s="3">
        <v>77</v>
      </c>
      <c r="K301" s="2" t="s">
        <v>29</v>
      </c>
    </row>
    <row x14ac:dyDescent="0.25" r="302" customHeight="1" ht="18.75">
      <c r="A302" s="2"/>
      <c r="B302" s="2" t="s">
        <v>251</v>
      </c>
      <c r="C302" s="3">
        <v>4</v>
      </c>
      <c r="D302" s="11">
        <v>30.5</v>
      </c>
      <c r="E302" s="3">
        <v>2051</v>
      </c>
      <c r="F302" s="3">
        <v>98</v>
      </c>
      <c r="G302" s="3">
        <v>63</v>
      </c>
      <c r="H302" s="11">
        <f>IFERROR(G302/E302, "")</f>
      </c>
      <c r="I302" s="3">
        <v>17</v>
      </c>
      <c r="J302" s="3">
        <v>77</v>
      </c>
      <c r="K302" s="2" t="s">
        <v>29</v>
      </c>
    </row>
    <row x14ac:dyDescent="0.25" r="303" customHeight="1" ht="18.75">
      <c r="A303" s="2"/>
      <c r="B303" s="2" t="s">
        <v>267</v>
      </c>
      <c r="C303" s="3">
        <v>6</v>
      </c>
      <c r="D303" s="11">
        <v>17.5</v>
      </c>
      <c r="E303" s="3">
        <v>3520</v>
      </c>
      <c r="F303" s="3">
        <v>250</v>
      </c>
      <c r="G303" s="3">
        <v>110</v>
      </c>
      <c r="H303" s="11">
        <f>IFERROR(G303/E303, "")</f>
      </c>
      <c r="I303" s="11">
        <v>16.4</v>
      </c>
      <c r="J303" s="3">
        <v>77</v>
      </c>
      <c r="K303" s="2" t="s">
        <v>29</v>
      </c>
    </row>
    <row x14ac:dyDescent="0.25" r="304" customHeight="1" ht="18.75">
      <c r="A304" s="2"/>
      <c r="B304" s="2" t="s">
        <v>268</v>
      </c>
      <c r="C304" s="3">
        <v>6</v>
      </c>
      <c r="D304" s="11">
        <v>20.5</v>
      </c>
      <c r="E304" s="3">
        <v>3425</v>
      </c>
      <c r="F304" s="3">
        <v>231</v>
      </c>
      <c r="G304" s="3">
        <v>105</v>
      </c>
      <c r="H304" s="11">
        <f>IFERROR(G304/E304, "")</f>
      </c>
      <c r="I304" s="11">
        <v>16.9</v>
      </c>
      <c r="J304" s="3">
        <v>77</v>
      </c>
      <c r="K304" s="2" t="s">
        <v>29</v>
      </c>
    </row>
    <row x14ac:dyDescent="0.25" r="305" customHeight="1" ht="18.75">
      <c r="A305" s="2"/>
      <c r="B305" s="2" t="s">
        <v>269</v>
      </c>
      <c r="C305" s="3">
        <v>6</v>
      </c>
      <c r="D305" s="11">
        <v>18.5</v>
      </c>
      <c r="E305" s="3">
        <v>3525</v>
      </c>
      <c r="F305" s="3">
        <v>250</v>
      </c>
      <c r="G305" s="3">
        <v>98</v>
      </c>
      <c r="H305" s="11">
        <f>IFERROR(G305/E305, "")</f>
      </c>
      <c r="I305" s="3">
        <v>19</v>
      </c>
      <c r="J305" s="3">
        <v>77</v>
      </c>
      <c r="K305" s="2" t="s">
        <v>29</v>
      </c>
    </row>
    <row x14ac:dyDescent="0.25" r="306" customHeight="1" ht="18.75">
      <c r="A306" s="2"/>
      <c r="B306" s="2" t="s">
        <v>270</v>
      </c>
      <c r="C306" s="3">
        <v>6</v>
      </c>
      <c r="D306" s="3">
        <v>19</v>
      </c>
      <c r="E306" s="3">
        <v>3630</v>
      </c>
      <c r="F306" s="3">
        <v>225</v>
      </c>
      <c r="G306" s="3">
        <v>100</v>
      </c>
      <c r="H306" s="11">
        <f>IFERROR(G306/E306, "")</f>
      </c>
      <c r="I306" s="11">
        <v>17.7</v>
      </c>
      <c r="J306" s="3">
        <v>77</v>
      </c>
      <c r="K306" s="2" t="s">
        <v>29</v>
      </c>
    </row>
    <row x14ac:dyDescent="0.25" r="307" customHeight="1" ht="18.75">
      <c r="A307" s="2"/>
      <c r="B307" s="2" t="s">
        <v>271</v>
      </c>
      <c r="C307" s="3">
        <v>8</v>
      </c>
      <c r="D307" s="11">
        <v>15.5</v>
      </c>
      <c r="E307" s="3">
        <v>4325</v>
      </c>
      <c r="F307" s="3">
        <v>400</v>
      </c>
      <c r="G307" s="3">
        <v>190</v>
      </c>
      <c r="H307" s="11">
        <f>IFERROR(G307/E307, "")</f>
      </c>
      <c r="I307" s="11">
        <v>12.2</v>
      </c>
      <c r="J307" s="3">
        <v>77</v>
      </c>
      <c r="K307" s="2" t="s">
        <v>29</v>
      </c>
    </row>
    <row x14ac:dyDescent="0.25" r="308" customHeight="1" ht="18.75">
      <c r="A308" s="2"/>
      <c r="B308" s="2" t="s">
        <v>272</v>
      </c>
      <c r="C308" s="3">
        <v>8</v>
      </c>
      <c r="D308" s="3">
        <v>16</v>
      </c>
      <c r="E308" s="3">
        <v>4220</v>
      </c>
      <c r="F308" s="3">
        <v>400</v>
      </c>
      <c r="G308" s="3">
        <v>180</v>
      </c>
      <c r="H308" s="11">
        <f>IFERROR(G308/E308, "")</f>
      </c>
      <c r="I308" s="11">
        <v>11.1</v>
      </c>
      <c r="J308" s="3">
        <v>77</v>
      </c>
      <c r="K308" s="2" t="s">
        <v>29</v>
      </c>
    </row>
    <row x14ac:dyDescent="0.25" r="309" customHeight="1" ht="18.75">
      <c r="A309" s="2"/>
      <c r="B309" s="2" t="s">
        <v>273</v>
      </c>
      <c r="C309" s="3">
        <v>8</v>
      </c>
      <c r="D309" s="11">
        <v>15.5</v>
      </c>
      <c r="E309" s="3">
        <v>4165</v>
      </c>
      <c r="F309" s="3">
        <v>350</v>
      </c>
      <c r="G309" s="3">
        <v>170</v>
      </c>
      <c r="H309" s="11">
        <f>IFERROR(G309/E309, "")</f>
      </c>
      <c r="I309" s="11">
        <v>11.4</v>
      </c>
      <c r="J309" s="3">
        <v>77</v>
      </c>
      <c r="K309" s="2" t="s">
        <v>29</v>
      </c>
    </row>
    <row x14ac:dyDescent="0.25" r="310" customHeight="1" ht="18.75">
      <c r="A310" s="2"/>
      <c r="B310" s="2" t="s">
        <v>230</v>
      </c>
      <c r="C310" s="3">
        <v>8</v>
      </c>
      <c r="D310" s="11">
        <v>17.5</v>
      </c>
      <c r="E310" s="3">
        <v>3880</v>
      </c>
      <c r="F310" s="3">
        <v>305</v>
      </c>
      <c r="G310" s="3">
        <v>145</v>
      </c>
      <c r="H310" s="11">
        <f>IFERROR(G310/E310, "")</f>
      </c>
      <c r="I310" s="11">
        <v>12.5</v>
      </c>
      <c r="J310" s="3">
        <v>77</v>
      </c>
      <c r="K310" s="2" t="s">
        <v>29</v>
      </c>
    </row>
    <row x14ac:dyDescent="0.25" r="311" customHeight="1" ht="18.75">
      <c r="A311" s="2"/>
      <c r="B311" s="2" t="s">
        <v>274</v>
      </c>
      <c r="C311" s="3">
        <v>8</v>
      </c>
      <c r="D311" s="11">
        <v>15.5</v>
      </c>
      <c r="E311" s="3">
        <v>4140</v>
      </c>
      <c r="F311" s="3">
        <v>318</v>
      </c>
      <c r="G311" s="3">
        <v>145</v>
      </c>
      <c r="H311" s="11">
        <f>IFERROR(G311/E311, "")</f>
      </c>
      <c r="I311" s="11">
        <v>13.7</v>
      </c>
      <c r="J311" s="3">
        <v>77</v>
      </c>
      <c r="K311" s="2" t="s">
        <v>29</v>
      </c>
    </row>
    <row x14ac:dyDescent="0.25" r="312" customHeight="1" ht="18.75">
      <c r="A312" s="2"/>
      <c r="B312" s="2" t="s">
        <v>275</v>
      </c>
      <c r="C312" s="3">
        <v>8</v>
      </c>
      <c r="D312" s="3">
        <v>16</v>
      </c>
      <c r="E312" s="3">
        <v>4335</v>
      </c>
      <c r="F312" s="3">
        <v>351</v>
      </c>
      <c r="G312" s="3">
        <v>149</v>
      </c>
      <c r="H312" s="11">
        <f>IFERROR(G312/E312, "")</f>
      </c>
      <c r="I312" s="11">
        <v>14.5</v>
      </c>
      <c r="J312" s="3">
        <v>77</v>
      </c>
      <c r="K312" s="2" t="s">
        <v>29</v>
      </c>
    </row>
    <row x14ac:dyDescent="0.25" r="313" customHeight="1" ht="18.75">
      <c r="A313" s="2"/>
      <c r="B313" s="2" t="s">
        <v>276</v>
      </c>
      <c r="C313" s="3">
        <v>8</v>
      </c>
      <c r="D313" s="3">
        <v>15</v>
      </c>
      <c r="E313" s="3">
        <v>4295</v>
      </c>
      <c r="F313" s="3">
        <v>302</v>
      </c>
      <c r="G313" s="3">
        <v>130</v>
      </c>
      <c r="H313" s="11">
        <f>IFERROR(G313/E313, "")</f>
      </c>
      <c r="I313" s="11">
        <v>14.9</v>
      </c>
      <c r="J313" s="3">
        <v>77</v>
      </c>
      <c r="K313" s="2" t="s">
        <v>29</v>
      </c>
    </row>
    <row x14ac:dyDescent="0.25" r="314" customHeight="1" ht="18.75">
      <c r="A314" s="2"/>
      <c r="B314" s="2" t="s">
        <v>277</v>
      </c>
      <c r="C314" s="3">
        <v>8</v>
      </c>
      <c r="D314" s="3">
        <v>17</v>
      </c>
      <c r="E314" s="3">
        <v>4060</v>
      </c>
      <c r="F314" s="3">
        <v>260</v>
      </c>
      <c r="G314" s="3">
        <v>110</v>
      </c>
      <c r="H314" s="11">
        <f>IFERROR(G314/E314, "")</f>
      </c>
      <c r="I314" s="3">
        <v>19</v>
      </c>
      <c r="J314" s="3">
        <v>77</v>
      </c>
      <c r="K314" s="2" t="s">
        <v>29</v>
      </c>
    </row>
    <row x14ac:dyDescent="0.25" r="315" customHeight="1" ht="18.75">
      <c r="A315" s="2"/>
      <c r="B315" s="2" t="s">
        <v>278</v>
      </c>
      <c r="C315" s="3">
        <v>4</v>
      </c>
      <c r="D315" s="11">
        <v>23.2</v>
      </c>
      <c r="E315" s="3">
        <v>2745</v>
      </c>
      <c r="F315" s="3">
        <v>156</v>
      </c>
      <c r="G315" s="3">
        <v>105</v>
      </c>
      <c r="H315" s="11">
        <f>IFERROR(G315/E315, "")</f>
      </c>
      <c r="I315" s="11">
        <v>16.7</v>
      </c>
      <c r="J315" s="3">
        <v>78</v>
      </c>
      <c r="K315" s="2" t="s">
        <v>29</v>
      </c>
    </row>
    <row x14ac:dyDescent="0.25" r="316" customHeight="1" ht="18.75">
      <c r="A316" s="2"/>
      <c r="B316" s="2" t="s">
        <v>279</v>
      </c>
      <c r="C316" s="3">
        <v>4</v>
      </c>
      <c r="D316" s="11">
        <v>36.1</v>
      </c>
      <c r="E316" s="3">
        <v>1800</v>
      </c>
      <c r="F316" s="3">
        <v>98</v>
      </c>
      <c r="G316" s="3">
        <v>66</v>
      </c>
      <c r="H316" s="11">
        <f>IFERROR(G316/E316, "")</f>
      </c>
      <c r="I316" s="11">
        <v>14.4</v>
      </c>
      <c r="J316" s="3">
        <v>78</v>
      </c>
      <c r="K316" s="2" t="s">
        <v>29</v>
      </c>
    </row>
    <row x14ac:dyDescent="0.25" r="317" customHeight="1" ht="18.75">
      <c r="A317" s="2"/>
      <c r="B317" s="2" t="s">
        <v>280</v>
      </c>
      <c r="C317" s="3">
        <v>4</v>
      </c>
      <c r="D317" s="11">
        <v>30.9</v>
      </c>
      <c r="E317" s="3">
        <v>2230</v>
      </c>
      <c r="F317" s="3">
        <v>105</v>
      </c>
      <c r="G317" s="3">
        <v>75</v>
      </c>
      <c r="H317" s="11">
        <f>IFERROR(G317/E317, "")</f>
      </c>
      <c r="I317" s="11">
        <v>14.5</v>
      </c>
      <c r="J317" s="3">
        <v>78</v>
      </c>
      <c r="K317" s="2" t="s">
        <v>29</v>
      </c>
    </row>
    <row x14ac:dyDescent="0.25" r="318" customHeight="1" ht="18.75">
      <c r="A318" s="2"/>
      <c r="B318" s="2" t="s">
        <v>281</v>
      </c>
      <c r="C318" s="3">
        <v>4</v>
      </c>
      <c r="D318" s="11">
        <v>25.1</v>
      </c>
      <c r="E318" s="3">
        <v>2720</v>
      </c>
      <c r="F318" s="3">
        <v>140</v>
      </c>
      <c r="G318" s="3">
        <v>88</v>
      </c>
      <c r="H318" s="11">
        <f>IFERROR(G318/E318, "")</f>
      </c>
      <c r="I318" s="11">
        <v>15.4</v>
      </c>
      <c r="J318" s="3">
        <v>78</v>
      </c>
      <c r="K318" s="2" t="s">
        <v>29</v>
      </c>
    </row>
    <row x14ac:dyDescent="0.25" r="319" customHeight="1" ht="18.75">
      <c r="A319" s="2"/>
      <c r="B319" s="2" t="s">
        <v>251</v>
      </c>
      <c r="C319" s="3">
        <v>4</v>
      </c>
      <c r="D319" s="3">
        <v>30</v>
      </c>
      <c r="E319" s="3">
        <v>2155</v>
      </c>
      <c r="F319" s="3">
        <v>98</v>
      </c>
      <c r="G319" s="3">
        <v>68</v>
      </c>
      <c r="H319" s="11">
        <f>IFERROR(G319/E319, "")</f>
      </c>
      <c r="I319" s="11">
        <v>16.5</v>
      </c>
      <c r="J319" s="3">
        <v>78</v>
      </c>
      <c r="K319" s="2" t="s">
        <v>29</v>
      </c>
    </row>
    <row x14ac:dyDescent="0.25" r="320" customHeight="1" ht="18.75">
      <c r="A320" s="2"/>
      <c r="B320" s="2" t="s">
        <v>282</v>
      </c>
      <c r="C320" s="3">
        <v>4</v>
      </c>
      <c r="D320" s="11">
        <v>23.8</v>
      </c>
      <c r="E320" s="3">
        <v>2855</v>
      </c>
      <c r="F320" s="3">
        <v>151</v>
      </c>
      <c r="G320" s="3">
        <v>85</v>
      </c>
      <c r="H320" s="11">
        <f>IFERROR(G320/E320, "")</f>
      </c>
      <c r="I320" s="11">
        <v>17.6</v>
      </c>
      <c r="J320" s="3">
        <v>78</v>
      </c>
      <c r="K320" s="2" t="s">
        <v>29</v>
      </c>
    </row>
    <row x14ac:dyDescent="0.25" r="321" customHeight="1" ht="18.75">
      <c r="A321" s="2"/>
      <c r="B321" s="2" t="s">
        <v>283</v>
      </c>
      <c r="C321" s="3">
        <v>6</v>
      </c>
      <c r="D321" s="11">
        <v>17.7</v>
      </c>
      <c r="E321" s="3">
        <v>3445</v>
      </c>
      <c r="F321" s="3">
        <v>231</v>
      </c>
      <c r="G321" s="3">
        <v>165</v>
      </c>
      <c r="H321" s="11">
        <f>IFERROR(G321/E321, "")</f>
      </c>
      <c r="I321" s="11">
        <v>13.4</v>
      </c>
      <c r="J321" s="3">
        <v>78</v>
      </c>
      <c r="K321" s="2" t="s">
        <v>29</v>
      </c>
    </row>
    <row x14ac:dyDescent="0.25" r="322" customHeight="1" ht="18.75">
      <c r="A322" s="2"/>
      <c r="B322" s="2" t="s">
        <v>284</v>
      </c>
      <c r="C322" s="3">
        <v>6</v>
      </c>
      <c r="D322" s="11">
        <v>18.1</v>
      </c>
      <c r="E322" s="3">
        <v>3410</v>
      </c>
      <c r="F322" s="3">
        <v>258</v>
      </c>
      <c r="G322" s="3">
        <v>120</v>
      </c>
      <c r="H322" s="11">
        <f>IFERROR(G322/E322, "")</f>
      </c>
      <c r="I322" s="11">
        <v>15.1</v>
      </c>
      <c r="J322" s="3">
        <v>78</v>
      </c>
      <c r="K322" s="2" t="s">
        <v>29</v>
      </c>
    </row>
    <row x14ac:dyDescent="0.25" r="323" customHeight="1" ht="18.75">
      <c r="A323" s="2"/>
      <c r="B323" s="2" t="s">
        <v>285</v>
      </c>
      <c r="C323" s="3">
        <v>6</v>
      </c>
      <c r="D323" s="11">
        <v>20.6</v>
      </c>
      <c r="E323" s="3">
        <v>3380</v>
      </c>
      <c r="F323" s="3">
        <v>231</v>
      </c>
      <c r="G323" s="3">
        <v>105</v>
      </c>
      <c r="H323" s="11">
        <f>IFERROR(G323/E323, "")</f>
      </c>
      <c r="I323" s="11">
        <v>15.8</v>
      </c>
      <c r="J323" s="3">
        <v>78</v>
      </c>
      <c r="K323" s="2" t="s">
        <v>29</v>
      </c>
    </row>
    <row x14ac:dyDescent="0.25" r="324" customHeight="1" ht="18.75">
      <c r="A324" s="2"/>
      <c r="B324" s="2" t="s">
        <v>286</v>
      </c>
      <c r="C324" s="3">
        <v>6</v>
      </c>
      <c r="D324" s="11">
        <v>18.6</v>
      </c>
      <c r="E324" s="3">
        <v>3620</v>
      </c>
      <c r="F324" s="3">
        <v>225</v>
      </c>
      <c r="G324" s="3">
        <v>110</v>
      </c>
      <c r="H324" s="11">
        <f>IFERROR(G324/E324, "")</f>
      </c>
      <c r="I324" s="11">
        <v>18.7</v>
      </c>
      <c r="J324" s="3">
        <v>78</v>
      </c>
      <c r="K324" s="2" t="s">
        <v>29</v>
      </c>
    </row>
    <row x14ac:dyDescent="0.25" r="325" customHeight="1" ht="18.75">
      <c r="A325" s="2"/>
      <c r="B325" s="2" t="s">
        <v>224</v>
      </c>
      <c r="C325" s="3">
        <v>6</v>
      </c>
      <c r="D325" s="11">
        <v>20.5</v>
      </c>
      <c r="E325" s="3">
        <v>3155</v>
      </c>
      <c r="F325" s="3">
        <v>200</v>
      </c>
      <c r="G325" s="3">
        <v>95</v>
      </c>
      <c r="H325" s="11">
        <f>IFERROR(G325/E325, "")</f>
      </c>
      <c r="I325" s="11">
        <v>18.2</v>
      </c>
      <c r="J325" s="3">
        <v>78</v>
      </c>
      <c r="K325" s="2" t="s">
        <v>29</v>
      </c>
    </row>
    <row x14ac:dyDescent="0.25" r="326" customHeight="1" ht="18.75">
      <c r="A326" s="2"/>
      <c r="B326" s="2" t="s">
        <v>287</v>
      </c>
      <c r="C326" s="3">
        <v>6</v>
      </c>
      <c r="D326" s="11">
        <v>19.2</v>
      </c>
      <c r="E326" s="3">
        <v>3535</v>
      </c>
      <c r="F326" s="3">
        <v>231</v>
      </c>
      <c r="G326" s="3">
        <v>105</v>
      </c>
      <c r="H326" s="11">
        <f>IFERROR(G326/E326, "")</f>
      </c>
      <c r="I326" s="11">
        <v>19.2</v>
      </c>
      <c r="J326" s="3">
        <v>78</v>
      </c>
      <c r="K326" s="2" t="s">
        <v>29</v>
      </c>
    </row>
    <row x14ac:dyDescent="0.25" r="327" customHeight="1" ht="18.75">
      <c r="A327" s="2"/>
      <c r="B327" s="2" t="s">
        <v>288</v>
      </c>
      <c r="C327" s="3">
        <v>6</v>
      </c>
      <c r="D327" s="11">
        <v>20.5</v>
      </c>
      <c r="E327" s="3">
        <v>3430</v>
      </c>
      <c r="F327" s="3">
        <v>225</v>
      </c>
      <c r="G327" s="3">
        <v>100</v>
      </c>
      <c r="H327" s="11">
        <f>IFERROR(G327/E327, "")</f>
      </c>
      <c r="I327" s="11">
        <v>17.2</v>
      </c>
      <c r="J327" s="3">
        <v>78</v>
      </c>
      <c r="K327" s="2" t="s">
        <v>29</v>
      </c>
    </row>
    <row x14ac:dyDescent="0.25" r="328" customHeight="1" ht="18.75">
      <c r="A328" s="2"/>
      <c r="B328" s="2" t="s">
        <v>289</v>
      </c>
      <c r="C328" s="3">
        <v>6</v>
      </c>
      <c r="D328" s="11">
        <v>20.2</v>
      </c>
      <c r="E328" s="3">
        <v>2965</v>
      </c>
      <c r="F328" s="3">
        <v>200</v>
      </c>
      <c r="G328" s="3">
        <v>85</v>
      </c>
      <c r="H328" s="11">
        <f>IFERROR(G328/E328, "")</f>
      </c>
      <c r="I328" s="11">
        <v>15.8</v>
      </c>
      <c r="J328" s="3">
        <v>78</v>
      </c>
      <c r="K328" s="2" t="s">
        <v>29</v>
      </c>
    </row>
    <row x14ac:dyDescent="0.25" r="329" customHeight="1" ht="18.75">
      <c r="A329" s="2"/>
      <c r="B329" s="2" t="s">
        <v>290</v>
      </c>
      <c r="C329" s="3">
        <v>6</v>
      </c>
      <c r="D329" s="11">
        <v>19.4</v>
      </c>
      <c r="E329" s="3">
        <v>3210</v>
      </c>
      <c r="F329" s="3">
        <v>232</v>
      </c>
      <c r="G329" s="3">
        <v>90</v>
      </c>
      <c r="H329" s="11">
        <f>IFERROR(G329/E329, "")</f>
      </c>
      <c r="I329" s="11">
        <v>17.2</v>
      </c>
      <c r="J329" s="3">
        <v>78</v>
      </c>
      <c r="K329" s="2" t="s">
        <v>29</v>
      </c>
    </row>
    <row x14ac:dyDescent="0.25" r="330" customHeight="1" ht="18.75">
      <c r="A330" s="2"/>
      <c r="B330" s="2" t="s">
        <v>291</v>
      </c>
      <c r="C330" s="3">
        <v>6</v>
      </c>
      <c r="D330" s="11">
        <v>20.8</v>
      </c>
      <c r="E330" s="3">
        <v>3070</v>
      </c>
      <c r="F330" s="3">
        <v>200</v>
      </c>
      <c r="G330" s="3">
        <v>85</v>
      </c>
      <c r="H330" s="11">
        <f>IFERROR(G330/E330, "")</f>
      </c>
      <c r="I330" s="11">
        <v>16.7</v>
      </c>
      <c r="J330" s="3">
        <v>78</v>
      </c>
      <c r="K330" s="2" t="s">
        <v>29</v>
      </c>
    </row>
    <row x14ac:dyDescent="0.25" r="331" customHeight="1" ht="18.75">
      <c r="A331" s="2"/>
      <c r="B331" s="2" t="s">
        <v>292</v>
      </c>
      <c r="C331" s="3">
        <v>8</v>
      </c>
      <c r="D331" s="11">
        <v>18.1</v>
      </c>
      <c r="E331" s="3">
        <v>3205</v>
      </c>
      <c r="F331" s="3">
        <v>302</v>
      </c>
      <c r="G331" s="3">
        <v>139</v>
      </c>
      <c r="H331" s="11">
        <f>IFERROR(G331/E331, "")</f>
      </c>
      <c r="I331" s="11">
        <v>11.2</v>
      </c>
      <c r="J331" s="3">
        <v>78</v>
      </c>
      <c r="K331" s="2" t="s">
        <v>29</v>
      </c>
    </row>
    <row x14ac:dyDescent="0.25" r="332" customHeight="1" ht="18.75">
      <c r="A332" s="2"/>
      <c r="B332" s="2" t="s">
        <v>273</v>
      </c>
      <c r="C332" s="3">
        <v>8</v>
      </c>
      <c r="D332" s="11">
        <v>19.2</v>
      </c>
      <c r="E332" s="3">
        <v>3425</v>
      </c>
      <c r="F332" s="3">
        <v>305</v>
      </c>
      <c r="G332" s="3">
        <v>145</v>
      </c>
      <c r="H332" s="11">
        <f>IFERROR(G332/E332, "")</f>
      </c>
      <c r="I332" s="11">
        <v>13.2</v>
      </c>
      <c r="J332" s="3">
        <v>78</v>
      </c>
      <c r="K332" s="2" t="s">
        <v>29</v>
      </c>
    </row>
    <row x14ac:dyDescent="0.25" r="333" customHeight="1" ht="18.75">
      <c r="A333" s="2"/>
      <c r="B333" s="2" t="s">
        <v>293</v>
      </c>
      <c r="C333" s="3">
        <v>8</v>
      </c>
      <c r="D333" s="11">
        <v>20.2</v>
      </c>
      <c r="E333" s="3">
        <v>3570</v>
      </c>
      <c r="F333" s="3">
        <v>302</v>
      </c>
      <c r="G333" s="3">
        <v>139</v>
      </c>
      <c r="H333" s="11">
        <f>IFERROR(G333/E333, "")</f>
      </c>
      <c r="I333" s="11">
        <v>12.8</v>
      </c>
      <c r="J333" s="3">
        <v>78</v>
      </c>
      <c r="K333" s="2" t="s">
        <v>29</v>
      </c>
    </row>
    <row x14ac:dyDescent="0.25" r="334" customHeight="1" ht="18.75">
      <c r="A334" s="2"/>
      <c r="B334" s="2" t="s">
        <v>294</v>
      </c>
      <c r="C334" s="3">
        <v>8</v>
      </c>
      <c r="D334" s="11">
        <v>19.4</v>
      </c>
      <c r="E334" s="3">
        <v>3735</v>
      </c>
      <c r="F334" s="3">
        <v>318</v>
      </c>
      <c r="G334" s="3">
        <v>140</v>
      </c>
      <c r="H334" s="11">
        <f>IFERROR(G334/E334, "")</f>
      </c>
      <c r="I334" s="11">
        <v>13.2</v>
      </c>
      <c r="J334" s="3">
        <v>78</v>
      </c>
      <c r="K334" s="2" t="s">
        <v>29</v>
      </c>
    </row>
    <row x14ac:dyDescent="0.25" r="335" customHeight="1" ht="18.75">
      <c r="A335" s="2"/>
      <c r="B335" s="2" t="s">
        <v>295</v>
      </c>
      <c r="C335" s="3">
        <v>8</v>
      </c>
      <c r="D335" s="11">
        <v>17.5</v>
      </c>
      <c r="E335" s="3">
        <v>4080</v>
      </c>
      <c r="F335" s="3">
        <v>318</v>
      </c>
      <c r="G335" s="3">
        <v>140</v>
      </c>
      <c r="H335" s="11">
        <f>IFERROR(G335/E335, "")</f>
      </c>
      <c r="I335" s="11">
        <v>13.7</v>
      </c>
      <c r="J335" s="3">
        <v>78</v>
      </c>
      <c r="K335" s="2" t="s">
        <v>29</v>
      </c>
    </row>
    <row x14ac:dyDescent="0.25" r="336" customHeight="1" ht="18.75">
      <c r="A336" s="2"/>
      <c r="B336" s="2" t="s">
        <v>296</v>
      </c>
      <c r="C336" s="3">
        <v>8</v>
      </c>
      <c r="D336" s="11">
        <v>19.9</v>
      </c>
      <c r="E336" s="3">
        <v>3365</v>
      </c>
      <c r="F336" s="3">
        <v>260</v>
      </c>
      <c r="G336" s="3">
        <v>110</v>
      </c>
      <c r="H336" s="11">
        <f>IFERROR(G336/E336, "")</f>
      </c>
      <c r="I336" s="11">
        <v>15.5</v>
      </c>
      <c r="J336" s="3">
        <v>78</v>
      </c>
      <c r="K336" s="2" t="s">
        <v>29</v>
      </c>
    </row>
    <row x14ac:dyDescent="0.25" r="337" customHeight="1" ht="18.75">
      <c r="A337" s="2"/>
      <c r="B337" s="2" t="s">
        <v>297</v>
      </c>
      <c r="C337" s="3">
        <v>4</v>
      </c>
      <c r="D337" s="11">
        <v>35.7</v>
      </c>
      <c r="E337" s="3">
        <v>1915</v>
      </c>
      <c r="F337" s="3">
        <v>98</v>
      </c>
      <c r="G337" s="3">
        <v>80</v>
      </c>
      <c r="H337" s="11">
        <f>IFERROR(G337/E337, "")</f>
      </c>
      <c r="I337" s="11">
        <v>14.4</v>
      </c>
      <c r="J337" s="3">
        <v>79</v>
      </c>
      <c r="K337" s="2" t="s">
        <v>29</v>
      </c>
    </row>
    <row x14ac:dyDescent="0.25" r="338" customHeight="1" ht="18.75">
      <c r="A338" s="2"/>
      <c r="B338" s="2" t="s">
        <v>298</v>
      </c>
      <c r="C338" s="3">
        <v>4</v>
      </c>
      <c r="D338" s="11">
        <v>33.5</v>
      </c>
      <c r="E338" s="3">
        <v>2556</v>
      </c>
      <c r="F338" s="3">
        <v>151</v>
      </c>
      <c r="G338" s="3">
        <v>90</v>
      </c>
      <c r="H338" s="11">
        <f>IFERROR(G338/E338, "")</f>
      </c>
      <c r="I338" s="11">
        <v>13.2</v>
      </c>
      <c r="J338" s="3">
        <v>79</v>
      </c>
      <c r="K338" s="2" t="s">
        <v>29</v>
      </c>
    </row>
    <row x14ac:dyDescent="0.25" r="339" customHeight="1" ht="18.75">
      <c r="A339" s="2"/>
      <c r="B339" s="2" t="s">
        <v>299</v>
      </c>
      <c r="C339" s="3">
        <v>4</v>
      </c>
      <c r="D339" s="11">
        <v>28.4</v>
      </c>
      <c r="E339" s="3">
        <v>2670</v>
      </c>
      <c r="F339" s="3">
        <v>151</v>
      </c>
      <c r="G339" s="3">
        <v>90</v>
      </c>
      <c r="H339" s="11">
        <f>IFERROR(G339/E339, "")</f>
      </c>
      <c r="I339" s="3">
        <v>16</v>
      </c>
      <c r="J339" s="3">
        <v>79</v>
      </c>
      <c r="K339" s="2" t="s">
        <v>29</v>
      </c>
    </row>
    <row x14ac:dyDescent="0.25" r="340" customHeight="1" ht="18.75">
      <c r="A340" s="2"/>
      <c r="B340" s="2" t="s">
        <v>300</v>
      </c>
      <c r="C340" s="3">
        <v>4</v>
      </c>
      <c r="D340" s="11">
        <v>34.5</v>
      </c>
      <c r="E340" s="3">
        <v>2150</v>
      </c>
      <c r="F340" s="3">
        <v>105</v>
      </c>
      <c r="G340" s="3">
        <v>70</v>
      </c>
      <c r="H340" s="11">
        <f>IFERROR(G340/E340, "")</f>
      </c>
      <c r="I340" s="11">
        <v>14.9</v>
      </c>
      <c r="J340" s="3">
        <v>79</v>
      </c>
      <c r="K340" s="2" t="s">
        <v>29</v>
      </c>
    </row>
    <row x14ac:dyDescent="0.25" r="341" customHeight="1" ht="18.75">
      <c r="A341" s="2"/>
      <c r="B341" s="2" t="s">
        <v>301</v>
      </c>
      <c r="C341" s="3">
        <v>4</v>
      </c>
      <c r="D341" s="11">
        <v>34.2</v>
      </c>
      <c r="E341" s="3">
        <v>2200</v>
      </c>
      <c r="F341" s="3">
        <v>105</v>
      </c>
      <c r="G341" s="3">
        <v>70</v>
      </c>
      <c r="H341" s="11">
        <f>IFERROR(G341/E341, "")</f>
      </c>
      <c r="I341" s="11">
        <v>13.2</v>
      </c>
      <c r="J341" s="3">
        <v>79</v>
      </c>
      <c r="K341" s="2" t="s">
        <v>29</v>
      </c>
    </row>
    <row x14ac:dyDescent="0.25" r="342" customHeight="1" ht="18.75">
      <c r="A342" s="2"/>
      <c r="B342" s="2" t="s">
        <v>302</v>
      </c>
      <c r="C342" s="3">
        <v>4</v>
      </c>
      <c r="D342" s="11">
        <v>22.3</v>
      </c>
      <c r="E342" s="3">
        <v>2890</v>
      </c>
      <c r="F342" s="3">
        <v>140</v>
      </c>
      <c r="G342" s="3">
        <v>88</v>
      </c>
      <c r="H342" s="11">
        <f>IFERROR(G342/E342, "")</f>
      </c>
      <c r="I342" s="11">
        <v>17.3</v>
      </c>
      <c r="J342" s="3">
        <v>79</v>
      </c>
      <c r="K342" s="2" t="s">
        <v>29</v>
      </c>
    </row>
    <row x14ac:dyDescent="0.25" r="343" customHeight="1" ht="18.75">
      <c r="A343" s="2"/>
      <c r="B343" s="2" t="s">
        <v>303</v>
      </c>
      <c r="C343" s="3">
        <v>4</v>
      </c>
      <c r="D343" s="11">
        <v>27.4</v>
      </c>
      <c r="E343" s="3">
        <v>2670</v>
      </c>
      <c r="F343" s="3">
        <v>121</v>
      </c>
      <c r="G343" s="3">
        <v>80</v>
      </c>
      <c r="H343" s="11">
        <f>IFERROR(G343/E343, "")</f>
      </c>
      <c r="I343" s="3">
        <v>15</v>
      </c>
      <c r="J343" s="3">
        <v>79</v>
      </c>
      <c r="K343" s="2" t="s">
        <v>29</v>
      </c>
    </row>
    <row x14ac:dyDescent="0.25" r="344" customHeight="1" ht="18.75">
      <c r="A344" s="2"/>
      <c r="B344" s="2" t="s">
        <v>304</v>
      </c>
      <c r="C344" s="3">
        <v>6</v>
      </c>
      <c r="D344" s="11">
        <v>28.8</v>
      </c>
      <c r="E344" s="3">
        <v>2595</v>
      </c>
      <c r="F344" s="3">
        <v>173</v>
      </c>
      <c r="G344" s="3">
        <v>115</v>
      </c>
      <c r="H344" s="11">
        <f>IFERROR(G344/E344, "")</f>
      </c>
      <c r="I344" s="11">
        <v>11.3</v>
      </c>
      <c r="J344" s="3">
        <v>79</v>
      </c>
      <c r="K344" s="2" t="s">
        <v>29</v>
      </c>
    </row>
    <row x14ac:dyDescent="0.25" r="345" customHeight="1" ht="18.75">
      <c r="A345" s="2"/>
      <c r="B345" s="2" t="s">
        <v>305</v>
      </c>
      <c r="C345" s="3">
        <v>6</v>
      </c>
      <c r="D345" s="11">
        <v>26.8</v>
      </c>
      <c r="E345" s="3">
        <v>2700</v>
      </c>
      <c r="F345" s="3">
        <v>173</v>
      </c>
      <c r="G345" s="3">
        <v>115</v>
      </c>
      <c r="H345" s="11">
        <f>IFERROR(G345/E345, "")</f>
      </c>
      <c r="I345" s="11">
        <v>12.9</v>
      </c>
      <c r="J345" s="3">
        <v>79</v>
      </c>
      <c r="K345" s="2" t="s">
        <v>29</v>
      </c>
    </row>
    <row x14ac:dyDescent="0.25" r="346" customHeight="1" ht="18.75">
      <c r="A346" s="2"/>
      <c r="B346" s="2" t="s">
        <v>306</v>
      </c>
      <c r="C346" s="3">
        <v>6</v>
      </c>
      <c r="D346" s="11">
        <v>21.5</v>
      </c>
      <c r="E346" s="3">
        <v>3245</v>
      </c>
      <c r="F346" s="3">
        <v>231</v>
      </c>
      <c r="G346" s="3">
        <v>115</v>
      </c>
      <c r="H346" s="11">
        <f>IFERROR(G346/E346, "")</f>
      </c>
      <c r="I346" s="11">
        <v>15.4</v>
      </c>
      <c r="J346" s="3">
        <v>79</v>
      </c>
      <c r="K346" s="2" t="s">
        <v>29</v>
      </c>
    </row>
    <row x14ac:dyDescent="0.25" r="347" customHeight="1" ht="18.75">
      <c r="A347" s="2"/>
      <c r="B347" s="2" t="s">
        <v>307</v>
      </c>
      <c r="C347" s="3">
        <v>6</v>
      </c>
      <c r="D347" s="11">
        <v>20.6</v>
      </c>
      <c r="E347" s="3">
        <v>3360</v>
      </c>
      <c r="F347" s="3">
        <v>225</v>
      </c>
      <c r="G347" s="3">
        <v>110</v>
      </c>
      <c r="H347" s="11">
        <f>IFERROR(G347/E347, "")</f>
      </c>
      <c r="I347" s="11">
        <v>16.6</v>
      </c>
      <c r="J347" s="3">
        <v>79</v>
      </c>
      <c r="K347" s="2" t="s">
        <v>29</v>
      </c>
    </row>
    <row x14ac:dyDescent="0.25" r="348" customHeight="1" ht="18.75">
      <c r="A348" s="2"/>
      <c r="B348" s="2" t="s">
        <v>308</v>
      </c>
      <c r="C348" s="3">
        <v>6</v>
      </c>
      <c r="D348" s="11">
        <v>19.8</v>
      </c>
      <c r="E348" s="3">
        <v>2990</v>
      </c>
      <c r="F348" s="3">
        <v>200</v>
      </c>
      <c r="G348" s="3">
        <v>85</v>
      </c>
      <c r="H348" s="11">
        <f>IFERROR(G348/E348, "")</f>
      </c>
      <c r="I348" s="11">
        <v>18.2</v>
      </c>
      <c r="J348" s="3">
        <v>79</v>
      </c>
      <c r="K348" s="2" t="s">
        <v>29</v>
      </c>
    </row>
    <row x14ac:dyDescent="0.25" r="349" customHeight="1" ht="18.75">
      <c r="A349" s="2"/>
      <c r="B349" s="2" t="s">
        <v>309</v>
      </c>
      <c r="C349" s="3">
        <v>6</v>
      </c>
      <c r="D349" s="11">
        <v>20.2</v>
      </c>
      <c r="E349" s="3">
        <v>3265</v>
      </c>
      <c r="F349" s="3">
        <v>232</v>
      </c>
      <c r="G349" s="3">
        <v>90</v>
      </c>
      <c r="H349" s="11">
        <f>IFERROR(G349/E349, "")</f>
      </c>
      <c r="I349" s="11">
        <v>18.2</v>
      </c>
      <c r="J349" s="3">
        <v>79</v>
      </c>
      <c r="K349" s="2" t="s">
        <v>29</v>
      </c>
    </row>
    <row x14ac:dyDescent="0.25" r="350" customHeight="1" ht="18.75">
      <c r="A350" s="2"/>
      <c r="B350" s="2" t="s">
        <v>310</v>
      </c>
      <c r="C350" s="3">
        <v>8</v>
      </c>
      <c r="D350" s="11">
        <v>18.5</v>
      </c>
      <c r="E350" s="3">
        <v>3940</v>
      </c>
      <c r="F350" s="3">
        <v>360</v>
      </c>
      <c r="G350" s="3">
        <v>150</v>
      </c>
      <c r="H350" s="11">
        <f>IFERROR(G350/E350, "")</f>
      </c>
      <c r="I350" s="3">
        <v>13</v>
      </c>
      <c r="J350" s="3">
        <v>79</v>
      </c>
      <c r="K350" s="2" t="s">
        <v>29</v>
      </c>
    </row>
    <row x14ac:dyDescent="0.25" r="351" customHeight="1" ht="18.75">
      <c r="A351" s="2"/>
      <c r="B351" s="2" t="s">
        <v>163</v>
      </c>
      <c r="C351" s="3">
        <v>8</v>
      </c>
      <c r="D351" s="11">
        <v>16.9</v>
      </c>
      <c r="E351" s="3">
        <v>4360</v>
      </c>
      <c r="F351" s="3">
        <v>350</v>
      </c>
      <c r="G351" s="3">
        <v>155</v>
      </c>
      <c r="H351" s="11">
        <f>IFERROR(G351/E351, "")</f>
      </c>
      <c r="I351" s="11">
        <v>14.9</v>
      </c>
      <c r="J351" s="3">
        <v>79</v>
      </c>
      <c r="K351" s="2" t="s">
        <v>29</v>
      </c>
    </row>
    <row x14ac:dyDescent="0.25" r="352" customHeight="1" ht="18.75">
      <c r="A352" s="2"/>
      <c r="B352" s="2" t="s">
        <v>311</v>
      </c>
      <c r="C352" s="3">
        <v>8</v>
      </c>
      <c r="D352" s="11">
        <v>18.2</v>
      </c>
      <c r="E352" s="3">
        <v>3830</v>
      </c>
      <c r="F352" s="3">
        <v>318</v>
      </c>
      <c r="G352" s="3">
        <v>135</v>
      </c>
      <c r="H352" s="11">
        <f>IFERROR(G352/E352, "")</f>
      </c>
      <c r="I352" s="11">
        <v>15.2</v>
      </c>
      <c r="J352" s="3">
        <v>79</v>
      </c>
      <c r="K352" s="2" t="s">
        <v>29</v>
      </c>
    </row>
    <row x14ac:dyDescent="0.25" r="353" customHeight="1" ht="18.75">
      <c r="A353" s="2"/>
      <c r="B353" s="2" t="s">
        <v>194</v>
      </c>
      <c r="C353" s="3">
        <v>8</v>
      </c>
      <c r="D353" s="11">
        <v>15.5</v>
      </c>
      <c r="E353" s="3">
        <v>4054</v>
      </c>
      <c r="F353" s="3">
        <v>351</v>
      </c>
      <c r="G353" s="3">
        <v>142</v>
      </c>
      <c r="H353" s="11">
        <f>IFERROR(G353/E353, "")</f>
      </c>
      <c r="I353" s="11">
        <v>14.3</v>
      </c>
      <c r="J353" s="3">
        <v>79</v>
      </c>
      <c r="K353" s="2" t="s">
        <v>29</v>
      </c>
    </row>
    <row x14ac:dyDescent="0.25" r="354" customHeight="1" ht="18.75">
      <c r="A354" s="2"/>
      <c r="B354" s="2" t="s">
        <v>312</v>
      </c>
      <c r="C354" s="3">
        <v>8</v>
      </c>
      <c r="D354" s="11">
        <v>16.5</v>
      </c>
      <c r="E354" s="3">
        <v>3955</v>
      </c>
      <c r="F354" s="3">
        <v>351</v>
      </c>
      <c r="G354" s="3">
        <v>138</v>
      </c>
      <c r="H354" s="11">
        <f>IFERROR(G354/E354, "")</f>
      </c>
      <c r="I354" s="11">
        <v>13.2</v>
      </c>
      <c r="J354" s="3">
        <v>79</v>
      </c>
      <c r="K354" s="2" t="s">
        <v>29</v>
      </c>
    </row>
    <row x14ac:dyDescent="0.25" r="355" customHeight="1" ht="18.75">
      <c r="A355" s="2"/>
      <c r="B355" s="2" t="s">
        <v>313</v>
      </c>
      <c r="C355" s="3">
        <v>8</v>
      </c>
      <c r="D355" s="11">
        <v>19.2</v>
      </c>
      <c r="E355" s="3">
        <v>3605</v>
      </c>
      <c r="F355" s="3">
        <v>267</v>
      </c>
      <c r="G355" s="3">
        <v>125</v>
      </c>
      <c r="H355" s="11">
        <f>IFERROR(G355/E355, "")</f>
      </c>
      <c r="I355" s="3">
        <v>15</v>
      </c>
      <c r="J355" s="3">
        <v>79</v>
      </c>
      <c r="K355" s="2" t="s">
        <v>29</v>
      </c>
    </row>
    <row x14ac:dyDescent="0.25" r="356" customHeight="1" ht="18.75">
      <c r="A356" s="2"/>
      <c r="B356" s="2" t="s">
        <v>314</v>
      </c>
      <c r="C356" s="3">
        <v>8</v>
      </c>
      <c r="D356" s="11">
        <v>17.6</v>
      </c>
      <c r="E356" s="3">
        <v>3725</v>
      </c>
      <c r="F356" s="3">
        <v>302</v>
      </c>
      <c r="G356" s="3">
        <v>129</v>
      </c>
      <c r="H356" s="11">
        <f>IFERROR(G356/E356, "")</f>
      </c>
      <c r="I356" s="11">
        <v>13.4</v>
      </c>
      <c r="J356" s="3">
        <v>79</v>
      </c>
      <c r="K356" s="2" t="s">
        <v>29</v>
      </c>
    </row>
    <row x14ac:dyDescent="0.25" r="357" customHeight="1" ht="18.75">
      <c r="A357" s="2"/>
      <c r="B357" s="2" t="s">
        <v>230</v>
      </c>
      <c r="C357" s="3">
        <v>8</v>
      </c>
      <c r="D357" s="3">
        <v>17</v>
      </c>
      <c r="E357" s="3">
        <v>3840</v>
      </c>
      <c r="F357" s="3">
        <v>305</v>
      </c>
      <c r="G357" s="3">
        <v>130</v>
      </c>
      <c r="H357" s="11">
        <f>IFERROR(G357/E357, "")</f>
      </c>
      <c r="I357" s="11">
        <v>15.4</v>
      </c>
      <c r="J357" s="3">
        <v>79</v>
      </c>
      <c r="K357" s="2" t="s">
        <v>29</v>
      </c>
    </row>
    <row x14ac:dyDescent="0.25" r="358" customHeight="1" ht="18.75">
      <c r="A358" s="2"/>
      <c r="B358" s="2" t="s">
        <v>315</v>
      </c>
      <c r="C358" s="3">
        <v>8</v>
      </c>
      <c r="D358" s="3">
        <v>23</v>
      </c>
      <c r="E358" s="3">
        <v>3900</v>
      </c>
      <c r="F358" s="3">
        <v>350</v>
      </c>
      <c r="G358" s="3">
        <v>125</v>
      </c>
      <c r="H358" s="11">
        <f>IFERROR(G358/E358, "")</f>
      </c>
      <c r="I358" s="11">
        <v>17.4</v>
      </c>
      <c r="J358" s="3">
        <v>79</v>
      </c>
      <c r="K358" s="2" t="s">
        <v>29</v>
      </c>
    </row>
    <row x14ac:dyDescent="0.25" r="359" customHeight="1" ht="18.75">
      <c r="A359" s="2"/>
      <c r="B359" s="2" t="s">
        <v>296</v>
      </c>
      <c r="C359" s="3">
        <v>8</v>
      </c>
      <c r="D359" s="11">
        <v>23.9</v>
      </c>
      <c r="E359" s="3">
        <v>3420</v>
      </c>
      <c r="F359" s="3">
        <v>260</v>
      </c>
      <c r="G359" s="3">
        <v>90</v>
      </c>
      <c r="H359" s="11">
        <f>IFERROR(G359/E359, "")</f>
      </c>
      <c r="I359" s="11">
        <v>22.2</v>
      </c>
      <c r="J359" s="3">
        <v>79</v>
      </c>
      <c r="K359" s="2" t="s">
        <v>29</v>
      </c>
    </row>
    <row x14ac:dyDescent="0.25" r="360" customHeight="1" ht="18.75">
      <c r="A360" s="2"/>
      <c r="B360" s="2" t="s">
        <v>231</v>
      </c>
      <c r="C360" s="3">
        <v>4</v>
      </c>
      <c r="D360" s="11">
        <v>27.9</v>
      </c>
      <c r="E360" s="3">
        <v>2800</v>
      </c>
      <c r="F360" s="3">
        <v>156</v>
      </c>
      <c r="G360" s="3">
        <v>105</v>
      </c>
      <c r="H360" s="11">
        <f>IFERROR(G360/E360, "")</f>
      </c>
      <c r="I360" s="11">
        <v>14.4</v>
      </c>
      <c r="J360" s="3">
        <v>80</v>
      </c>
      <c r="K360" s="2" t="s">
        <v>29</v>
      </c>
    </row>
    <row x14ac:dyDescent="0.25" r="361" customHeight="1" ht="18.75">
      <c r="A361" s="2"/>
      <c r="B361" s="2" t="s">
        <v>304</v>
      </c>
      <c r="C361" s="3">
        <v>4</v>
      </c>
      <c r="D361" s="3">
        <v>28</v>
      </c>
      <c r="E361" s="3">
        <v>2678</v>
      </c>
      <c r="F361" s="3">
        <v>151</v>
      </c>
      <c r="G361" s="3">
        <v>90</v>
      </c>
      <c r="H361" s="11">
        <f>IFERROR(G361/E361, "")</f>
      </c>
      <c r="I361" s="11">
        <v>16.5</v>
      </c>
      <c r="J361" s="3">
        <v>80</v>
      </c>
      <c r="K361" s="2" t="s">
        <v>29</v>
      </c>
    </row>
    <row x14ac:dyDescent="0.25" r="362" customHeight="1" ht="18.75">
      <c r="A362" s="2"/>
      <c r="B362" s="2" t="s">
        <v>251</v>
      </c>
      <c r="C362" s="3">
        <v>4</v>
      </c>
      <c r="D362" s="11">
        <v>32.1</v>
      </c>
      <c r="E362" s="3">
        <v>2120</v>
      </c>
      <c r="F362" s="3">
        <v>98</v>
      </c>
      <c r="G362" s="3">
        <v>70</v>
      </c>
      <c r="H362" s="11">
        <f>IFERROR(G362/E362, "")</f>
      </c>
      <c r="I362" s="11">
        <v>15.5</v>
      </c>
      <c r="J362" s="3">
        <v>80</v>
      </c>
      <c r="K362" s="2" t="s">
        <v>29</v>
      </c>
    </row>
    <row x14ac:dyDescent="0.25" r="363" customHeight="1" ht="18.75">
      <c r="A363" s="2"/>
      <c r="B363" s="2" t="s">
        <v>316</v>
      </c>
      <c r="C363" s="3">
        <v>4</v>
      </c>
      <c r="D363" s="11">
        <v>26.4</v>
      </c>
      <c r="E363" s="3">
        <v>2870</v>
      </c>
      <c r="F363" s="3">
        <v>140</v>
      </c>
      <c r="G363" s="3">
        <v>88</v>
      </c>
      <c r="H363" s="11">
        <f>IFERROR(G363/E363, "")</f>
      </c>
      <c r="I363" s="11">
        <v>18.1</v>
      </c>
      <c r="J363" s="3">
        <v>80</v>
      </c>
      <c r="K363" s="2" t="s">
        <v>29</v>
      </c>
    </row>
    <row x14ac:dyDescent="0.25" r="364" customHeight="1" ht="18.75">
      <c r="A364" s="2"/>
      <c r="B364" s="2" t="s">
        <v>290</v>
      </c>
      <c r="C364" s="3">
        <v>4</v>
      </c>
      <c r="D364" s="11">
        <v>24.3</v>
      </c>
      <c r="E364" s="3">
        <v>3003</v>
      </c>
      <c r="F364" s="3">
        <v>151</v>
      </c>
      <c r="G364" s="3">
        <v>90</v>
      </c>
      <c r="H364" s="11">
        <f>IFERROR(G364/E364, "")</f>
      </c>
      <c r="I364" s="11">
        <v>20.1</v>
      </c>
      <c r="J364" s="3">
        <v>80</v>
      </c>
      <c r="K364" s="2" t="s">
        <v>29</v>
      </c>
    </row>
    <row x14ac:dyDescent="0.25" r="365" customHeight="1" ht="18.75">
      <c r="A365" s="2"/>
      <c r="B365" s="2" t="s">
        <v>317</v>
      </c>
      <c r="C365" s="3">
        <v>4</v>
      </c>
      <c r="D365" s="11">
        <v>23.6</v>
      </c>
      <c r="E365" s="3">
        <v>2905</v>
      </c>
      <c r="F365" s="3">
        <v>140</v>
      </c>
      <c r="G365" s="1"/>
      <c r="H365" s="3">
        <f>IFERROR(G365/E365, "")</f>
      </c>
      <c r="I365" s="11">
        <v>14.3</v>
      </c>
      <c r="J365" s="3">
        <v>80</v>
      </c>
      <c r="K365" s="2" t="s">
        <v>29</v>
      </c>
    </row>
    <row x14ac:dyDescent="0.25" r="366" customHeight="1" ht="18.75">
      <c r="A366" s="2"/>
      <c r="B366" s="2" t="s">
        <v>286</v>
      </c>
      <c r="C366" s="3">
        <v>6</v>
      </c>
      <c r="D366" s="11">
        <v>19.1</v>
      </c>
      <c r="E366" s="3">
        <v>3381</v>
      </c>
      <c r="F366" s="3">
        <v>225</v>
      </c>
      <c r="G366" s="3">
        <v>90</v>
      </c>
      <c r="H366" s="11">
        <f>IFERROR(G366/E366, "")</f>
      </c>
      <c r="I366" s="11">
        <v>18.7</v>
      </c>
      <c r="J366" s="3">
        <v>80</v>
      </c>
      <c r="K366" s="2" t="s">
        <v>29</v>
      </c>
    </row>
    <row x14ac:dyDescent="0.25" r="367" customHeight="1" ht="18.75">
      <c r="A367" s="2"/>
      <c r="B367" s="2" t="s">
        <v>318</v>
      </c>
      <c r="C367" s="3">
        <v>4</v>
      </c>
      <c r="D367" s="3">
        <v>30</v>
      </c>
      <c r="E367" s="3">
        <v>2385</v>
      </c>
      <c r="F367" s="3">
        <v>135</v>
      </c>
      <c r="G367" s="3">
        <v>84</v>
      </c>
      <c r="H367" s="11">
        <f>IFERROR(G367/E367, "")</f>
      </c>
      <c r="I367" s="11">
        <v>12.9</v>
      </c>
      <c r="J367" s="3">
        <v>81</v>
      </c>
      <c r="K367" s="2" t="s">
        <v>29</v>
      </c>
    </row>
    <row x14ac:dyDescent="0.25" r="368" customHeight="1" ht="18.75">
      <c r="A368" s="2"/>
      <c r="B368" s="2" t="s">
        <v>319</v>
      </c>
      <c r="C368" s="3">
        <v>4</v>
      </c>
      <c r="D368" s="11">
        <v>25.8</v>
      </c>
      <c r="E368" s="3">
        <v>2620</v>
      </c>
      <c r="F368" s="3">
        <v>156</v>
      </c>
      <c r="G368" s="3">
        <v>92</v>
      </c>
      <c r="H368" s="11">
        <f>IFERROR(G368/E368, "")</f>
      </c>
      <c r="I368" s="11">
        <v>14.4</v>
      </c>
      <c r="J368" s="3">
        <v>81</v>
      </c>
      <c r="K368" s="2" t="s">
        <v>29</v>
      </c>
    </row>
    <row x14ac:dyDescent="0.25" r="369" customHeight="1" ht="18.75">
      <c r="A369" s="2"/>
      <c r="B369" s="2" t="s">
        <v>320</v>
      </c>
      <c r="C369" s="3">
        <v>4</v>
      </c>
      <c r="D369" s="3">
        <v>39</v>
      </c>
      <c r="E369" s="3">
        <v>1875</v>
      </c>
      <c r="F369" s="3">
        <v>86</v>
      </c>
      <c r="G369" s="3">
        <v>64</v>
      </c>
      <c r="H369" s="11">
        <f>IFERROR(G369/E369, "")</f>
      </c>
      <c r="I369" s="11">
        <v>16.4</v>
      </c>
      <c r="J369" s="3">
        <v>81</v>
      </c>
      <c r="K369" s="2" t="s">
        <v>29</v>
      </c>
    </row>
    <row x14ac:dyDescent="0.25" r="370" customHeight="1" ht="18.75">
      <c r="A370" s="2"/>
      <c r="B370" s="2" t="s">
        <v>318</v>
      </c>
      <c r="C370" s="3">
        <v>4</v>
      </c>
      <c r="D370" s="11">
        <v>27.2</v>
      </c>
      <c r="E370" s="3">
        <v>2490</v>
      </c>
      <c r="F370" s="3">
        <v>135</v>
      </c>
      <c r="G370" s="3">
        <v>84</v>
      </c>
      <c r="H370" s="11">
        <f>IFERROR(G370/E370, "")</f>
      </c>
      <c r="I370" s="11">
        <v>15.7</v>
      </c>
      <c r="J370" s="3">
        <v>81</v>
      </c>
      <c r="K370" s="2" t="s">
        <v>29</v>
      </c>
    </row>
    <row x14ac:dyDescent="0.25" r="371" customHeight="1" ht="18.75">
      <c r="A371" s="2"/>
      <c r="B371" s="2" t="s">
        <v>268</v>
      </c>
      <c r="C371" s="3">
        <v>4</v>
      </c>
      <c r="D371" s="11">
        <v>26.6</v>
      </c>
      <c r="E371" s="3">
        <v>2635</v>
      </c>
      <c r="F371" s="3">
        <v>151</v>
      </c>
      <c r="G371" s="3">
        <v>84</v>
      </c>
      <c r="H371" s="11">
        <f>IFERROR(G371/E371, "")</f>
      </c>
      <c r="I371" s="11">
        <v>16.4</v>
      </c>
      <c r="J371" s="3">
        <v>81</v>
      </c>
      <c r="K371" s="2" t="s">
        <v>29</v>
      </c>
    </row>
    <row x14ac:dyDescent="0.25" r="372" customHeight="1" ht="18.75">
      <c r="A372" s="2"/>
      <c r="B372" s="2" t="s">
        <v>321</v>
      </c>
      <c r="C372" s="3">
        <v>4</v>
      </c>
      <c r="D372" s="11">
        <v>34.4</v>
      </c>
      <c r="E372" s="3">
        <v>2045</v>
      </c>
      <c r="F372" s="3">
        <v>98</v>
      </c>
      <c r="G372" s="3">
        <v>65</v>
      </c>
      <c r="H372" s="11">
        <f>IFERROR(G372/E372, "")</f>
      </c>
      <c r="I372" s="11">
        <v>16.2</v>
      </c>
      <c r="J372" s="3">
        <v>81</v>
      </c>
      <c r="K372" s="2" t="s">
        <v>29</v>
      </c>
    </row>
    <row x14ac:dyDescent="0.25" r="373" customHeight="1" ht="18.75">
      <c r="A373" s="2"/>
      <c r="B373" s="2" t="s">
        <v>322</v>
      </c>
      <c r="C373" s="3">
        <v>4</v>
      </c>
      <c r="D373" s="11">
        <v>34.7</v>
      </c>
      <c r="E373" s="3">
        <v>2215</v>
      </c>
      <c r="F373" s="3">
        <v>105</v>
      </c>
      <c r="G373" s="3">
        <v>63</v>
      </c>
      <c r="H373" s="11">
        <f>IFERROR(G373/E373, "")</f>
      </c>
      <c r="I373" s="11">
        <v>14.9</v>
      </c>
      <c r="J373" s="3">
        <v>81</v>
      </c>
      <c r="K373" s="2" t="s">
        <v>29</v>
      </c>
    </row>
    <row x14ac:dyDescent="0.25" r="374" customHeight="1" ht="18.75">
      <c r="A374" s="2"/>
      <c r="B374" s="2" t="s">
        <v>323</v>
      </c>
      <c r="C374" s="3">
        <v>4</v>
      </c>
      <c r="D374" s="11">
        <v>29.9</v>
      </c>
      <c r="E374" s="3">
        <v>2380</v>
      </c>
      <c r="F374" s="3">
        <v>98</v>
      </c>
      <c r="G374" s="3">
        <v>65</v>
      </c>
      <c r="H374" s="11">
        <f>IFERROR(G374/E374, "")</f>
      </c>
      <c r="I374" s="11">
        <v>20.7</v>
      </c>
      <c r="J374" s="3">
        <v>81</v>
      </c>
      <c r="K374" s="2" t="s">
        <v>29</v>
      </c>
    </row>
    <row x14ac:dyDescent="0.25" r="375" customHeight="1" ht="18.75">
      <c r="A375" s="2"/>
      <c r="B375" s="2" t="s">
        <v>304</v>
      </c>
      <c r="C375" s="3">
        <v>6</v>
      </c>
      <c r="D375" s="11">
        <v>23.5</v>
      </c>
      <c r="E375" s="3">
        <v>2725</v>
      </c>
      <c r="F375" s="3">
        <v>173</v>
      </c>
      <c r="G375" s="3">
        <v>110</v>
      </c>
      <c r="H375" s="11">
        <f>IFERROR(G375/E375, "")</f>
      </c>
      <c r="I375" s="11">
        <v>12.6</v>
      </c>
      <c r="J375" s="3">
        <v>81</v>
      </c>
      <c r="K375" s="2" t="s">
        <v>29</v>
      </c>
    </row>
    <row x14ac:dyDescent="0.25" r="376" customHeight="1" ht="18.75">
      <c r="A376" s="2"/>
      <c r="B376" s="2" t="s">
        <v>240</v>
      </c>
      <c r="C376" s="3">
        <v>6</v>
      </c>
      <c r="D376" s="11">
        <v>22.4</v>
      </c>
      <c r="E376" s="3">
        <v>3415</v>
      </c>
      <c r="F376" s="3">
        <v>231</v>
      </c>
      <c r="G376" s="3">
        <v>110</v>
      </c>
      <c r="H376" s="11">
        <f>IFERROR(G376/E376, "")</f>
      </c>
      <c r="I376" s="11">
        <v>15.8</v>
      </c>
      <c r="J376" s="3">
        <v>81</v>
      </c>
      <c r="K376" s="2" t="s">
        <v>29</v>
      </c>
    </row>
    <row x14ac:dyDescent="0.25" r="377" customHeight="1" ht="18.75">
      <c r="A377" s="2"/>
      <c r="B377" s="2" t="s">
        <v>324</v>
      </c>
      <c r="C377" s="3">
        <v>6</v>
      </c>
      <c r="D377" s="11">
        <v>20.2</v>
      </c>
      <c r="E377" s="3">
        <v>3060</v>
      </c>
      <c r="F377" s="3">
        <v>200</v>
      </c>
      <c r="G377" s="3">
        <v>88</v>
      </c>
      <c r="H377" s="11">
        <f>IFERROR(G377/E377, "")</f>
      </c>
      <c r="I377" s="11">
        <v>17.1</v>
      </c>
      <c r="J377" s="3">
        <v>81</v>
      </c>
      <c r="K377" s="2" t="s">
        <v>29</v>
      </c>
    </row>
    <row x14ac:dyDescent="0.25" r="378" customHeight="1" ht="18.75">
      <c r="A378" s="2"/>
      <c r="B378" s="2" t="s">
        <v>325</v>
      </c>
      <c r="C378" s="3">
        <v>6</v>
      </c>
      <c r="D378" s="11">
        <v>17.6</v>
      </c>
      <c r="E378" s="3">
        <v>3465</v>
      </c>
      <c r="F378" s="3">
        <v>225</v>
      </c>
      <c r="G378" s="3">
        <v>85</v>
      </c>
      <c r="H378" s="11">
        <f>IFERROR(G378/E378, "")</f>
      </c>
      <c r="I378" s="11">
        <v>16.6</v>
      </c>
      <c r="J378" s="3">
        <v>81</v>
      </c>
      <c r="K378" s="2" t="s">
        <v>29</v>
      </c>
    </row>
    <row x14ac:dyDescent="0.25" r="379" customHeight="1" ht="18.75">
      <c r="A379" s="2"/>
      <c r="B379" s="2" t="s">
        <v>326</v>
      </c>
      <c r="C379" s="3">
        <v>8</v>
      </c>
      <c r="D379" s="11">
        <v>26.6</v>
      </c>
      <c r="E379" s="3">
        <v>3725</v>
      </c>
      <c r="F379" s="3">
        <v>350</v>
      </c>
      <c r="G379" s="3">
        <v>105</v>
      </c>
      <c r="H379" s="11">
        <f>IFERROR(G379/E379, "")</f>
      </c>
      <c r="I379" s="3">
        <v>19</v>
      </c>
      <c r="J379" s="3">
        <v>81</v>
      </c>
      <c r="K379" s="2" t="s">
        <v>29</v>
      </c>
    </row>
    <row x14ac:dyDescent="0.25" r="380" customHeight="1" ht="18.75">
      <c r="A380" s="2"/>
      <c r="B380" s="2" t="s">
        <v>327</v>
      </c>
      <c r="C380" s="3">
        <v>4</v>
      </c>
      <c r="D380" s="3">
        <v>34</v>
      </c>
      <c r="E380" s="3">
        <v>2395</v>
      </c>
      <c r="F380" s="3">
        <v>112</v>
      </c>
      <c r="G380" s="3">
        <v>88</v>
      </c>
      <c r="H380" s="11">
        <f>IFERROR(G380/E380, "")</f>
      </c>
      <c r="I380" s="3">
        <v>18</v>
      </c>
      <c r="J380" s="3">
        <v>82</v>
      </c>
      <c r="K380" s="2" t="s">
        <v>29</v>
      </c>
    </row>
    <row x14ac:dyDescent="0.25" r="381" customHeight="1" ht="18.75">
      <c r="A381" s="2"/>
      <c r="B381" s="2" t="s">
        <v>328</v>
      </c>
      <c r="C381" s="3">
        <v>4</v>
      </c>
      <c r="D381" s="3">
        <v>32</v>
      </c>
      <c r="E381" s="3">
        <v>2295</v>
      </c>
      <c r="F381" s="3">
        <v>135</v>
      </c>
      <c r="G381" s="3">
        <v>84</v>
      </c>
      <c r="H381" s="11">
        <f>IFERROR(G381/E381, "")</f>
      </c>
      <c r="I381" s="11">
        <v>11.6</v>
      </c>
      <c r="J381" s="3">
        <v>82</v>
      </c>
      <c r="K381" s="2" t="s">
        <v>29</v>
      </c>
    </row>
    <row x14ac:dyDescent="0.25" r="382" customHeight="1" ht="18.75">
      <c r="A382" s="2"/>
      <c r="B382" s="2" t="s">
        <v>329</v>
      </c>
      <c r="C382" s="3">
        <v>4</v>
      </c>
      <c r="D382" s="3">
        <v>26</v>
      </c>
      <c r="E382" s="3">
        <v>2585</v>
      </c>
      <c r="F382" s="3">
        <v>156</v>
      </c>
      <c r="G382" s="3">
        <v>92</v>
      </c>
      <c r="H382" s="11">
        <f>IFERROR(G382/E382, "")</f>
      </c>
      <c r="I382" s="11">
        <v>14.5</v>
      </c>
      <c r="J382" s="3">
        <v>82</v>
      </c>
      <c r="K382" s="2" t="s">
        <v>29</v>
      </c>
    </row>
    <row x14ac:dyDescent="0.25" r="383" customHeight="1" ht="18.75">
      <c r="A383" s="2"/>
      <c r="B383" s="2" t="s">
        <v>330</v>
      </c>
      <c r="C383" s="3">
        <v>4</v>
      </c>
      <c r="D383" s="3">
        <v>36</v>
      </c>
      <c r="E383" s="3">
        <v>2370</v>
      </c>
      <c r="F383" s="3">
        <v>135</v>
      </c>
      <c r="G383" s="3">
        <v>84</v>
      </c>
      <c r="H383" s="11">
        <f>IFERROR(G383/E383, "")</f>
      </c>
      <c r="I383" s="3">
        <v>13</v>
      </c>
      <c r="J383" s="3">
        <v>82</v>
      </c>
      <c r="K383" s="2" t="s">
        <v>29</v>
      </c>
    </row>
    <row x14ac:dyDescent="0.25" r="384" customHeight="1" ht="18.75">
      <c r="A384" s="2"/>
      <c r="B384" s="2" t="s">
        <v>331</v>
      </c>
      <c r="C384" s="3">
        <v>4</v>
      </c>
      <c r="D384" s="3">
        <v>28</v>
      </c>
      <c r="E384" s="3">
        <v>2605</v>
      </c>
      <c r="F384" s="3">
        <v>112</v>
      </c>
      <c r="G384" s="3">
        <v>88</v>
      </c>
      <c r="H384" s="11">
        <f>IFERROR(G384/E384, "")</f>
      </c>
      <c r="I384" s="11">
        <v>19.6</v>
      </c>
      <c r="J384" s="3">
        <v>82</v>
      </c>
      <c r="K384" s="2" t="s">
        <v>29</v>
      </c>
    </row>
    <row x14ac:dyDescent="0.25" r="385" customHeight="1" ht="18.75">
      <c r="A385" s="2"/>
      <c r="B385" s="2" t="s">
        <v>332</v>
      </c>
      <c r="C385" s="3">
        <v>4</v>
      </c>
      <c r="D385" s="3">
        <v>27</v>
      </c>
      <c r="E385" s="3">
        <v>2640</v>
      </c>
      <c r="F385" s="3">
        <v>112</v>
      </c>
      <c r="G385" s="3">
        <v>88</v>
      </c>
      <c r="H385" s="11">
        <f>IFERROR(G385/E385, "")</f>
      </c>
      <c r="I385" s="11">
        <v>18.6</v>
      </c>
      <c r="J385" s="3">
        <v>82</v>
      </c>
      <c r="K385" s="2" t="s">
        <v>29</v>
      </c>
    </row>
    <row x14ac:dyDescent="0.25" r="386" customHeight="1" ht="18.75">
      <c r="A386" s="2"/>
      <c r="B386" s="2" t="s">
        <v>333</v>
      </c>
      <c r="C386" s="3">
        <v>4</v>
      </c>
      <c r="D386" s="3">
        <v>29</v>
      </c>
      <c r="E386" s="3">
        <v>2525</v>
      </c>
      <c r="F386" s="3">
        <v>135</v>
      </c>
      <c r="G386" s="3">
        <v>84</v>
      </c>
      <c r="H386" s="11">
        <f>IFERROR(G386/E386, "")</f>
      </c>
      <c r="I386" s="3">
        <v>16</v>
      </c>
      <c r="J386" s="3">
        <v>82</v>
      </c>
      <c r="K386" s="2" t="s">
        <v>29</v>
      </c>
    </row>
    <row x14ac:dyDescent="0.25" r="387" customHeight="1" ht="18.75">
      <c r="A387" s="2"/>
      <c r="B387" s="2" t="s">
        <v>334</v>
      </c>
      <c r="C387" s="3">
        <v>4</v>
      </c>
      <c r="D387" s="3">
        <v>31</v>
      </c>
      <c r="E387" s="3">
        <v>2575</v>
      </c>
      <c r="F387" s="3">
        <v>112</v>
      </c>
      <c r="G387" s="3">
        <v>85</v>
      </c>
      <c r="H387" s="11">
        <f>IFERROR(G387/E387, "")</f>
      </c>
      <c r="I387" s="11">
        <v>16.2</v>
      </c>
      <c r="J387" s="3">
        <v>82</v>
      </c>
      <c r="K387" s="2" t="s">
        <v>29</v>
      </c>
    </row>
    <row x14ac:dyDescent="0.25" r="388" customHeight="1" ht="18.75">
      <c r="A388" s="2"/>
      <c r="B388" s="2" t="s">
        <v>335</v>
      </c>
      <c r="C388" s="3">
        <v>4</v>
      </c>
      <c r="D388" s="3">
        <v>36</v>
      </c>
      <c r="E388" s="3">
        <v>2125</v>
      </c>
      <c r="F388" s="3">
        <v>98</v>
      </c>
      <c r="G388" s="3">
        <v>70</v>
      </c>
      <c r="H388" s="11">
        <f>IFERROR(G388/E388, "")</f>
      </c>
      <c r="I388" s="11">
        <v>17.3</v>
      </c>
      <c r="J388" s="3">
        <v>82</v>
      </c>
      <c r="K388" s="2" t="s">
        <v>29</v>
      </c>
    </row>
    <row x14ac:dyDescent="0.25" r="389" customHeight="1" ht="18.75">
      <c r="A389" s="2"/>
      <c r="B389" s="2" t="s">
        <v>298</v>
      </c>
      <c r="C389" s="3">
        <v>4</v>
      </c>
      <c r="D389" s="3">
        <v>27</v>
      </c>
      <c r="E389" s="3">
        <v>2735</v>
      </c>
      <c r="F389" s="3">
        <v>151</v>
      </c>
      <c r="G389" s="3">
        <v>90</v>
      </c>
      <c r="H389" s="11">
        <f>IFERROR(G389/E389, "")</f>
      </c>
      <c r="I389" s="3">
        <v>18</v>
      </c>
      <c r="J389" s="3">
        <v>82</v>
      </c>
      <c r="K389" s="2" t="s">
        <v>29</v>
      </c>
    </row>
    <row x14ac:dyDescent="0.25" r="390" customHeight="1" ht="18.75">
      <c r="A390" s="2"/>
      <c r="B390" s="2" t="s">
        <v>336</v>
      </c>
      <c r="C390" s="3">
        <v>4</v>
      </c>
      <c r="D390" s="3">
        <v>24</v>
      </c>
      <c r="E390" s="3">
        <v>2865</v>
      </c>
      <c r="F390" s="3">
        <v>140</v>
      </c>
      <c r="G390" s="3">
        <v>92</v>
      </c>
      <c r="H390" s="11">
        <f>IFERROR(G390/E390, "")</f>
      </c>
      <c r="I390" s="11">
        <v>16.4</v>
      </c>
      <c r="J390" s="3">
        <v>82</v>
      </c>
      <c r="K390" s="2" t="s">
        <v>29</v>
      </c>
    </row>
    <row x14ac:dyDescent="0.25" r="391" customHeight="1" ht="18.75">
      <c r="A391" s="2"/>
      <c r="B391" s="2" t="s">
        <v>337</v>
      </c>
      <c r="C391" s="3">
        <v>4</v>
      </c>
      <c r="D391" s="3">
        <v>27</v>
      </c>
      <c r="E391" s="3">
        <v>2790</v>
      </c>
      <c r="F391" s="3">
        <v>140</v>
      </c>
      <c r="G391" s="3">
        <v>86</v>
      </c>
      <c r="H391" s="11">
        <f>IFERROR(G391/E391, "")</f>
      </c>
      <c r="I391" s="11">
        <v>15.6</v>
      </c>
      <c r="J391" s="3">
        <v>82</v>
      </c>
      <c r="K391" s="2" t="s">
        <v>29</v>
      </c>
    </row>
    <row x14ac:dyDescent="0.25" r="392" customHeight="1" ht="18.75">
      <c r="A392" s="2"/>
      <c r="B392" s="2" t="s">
        <v>338</v>
      </c>
      <c r="C392" s="3">
        <v>4</v>
      </c>
      <c r="D392" s="3">
        <v>27</v>
      </c>
      <c r="E392" s="3">
        <v>2950</v>
      </c>
      <c r="F392" s="3">
        <v>151</v>
      </c>
      <c r="G392" s="3">
        <v>90</v>
      </c>
      <c r="H392" s="11">
        <f>IFERROR(G392/E392, "")</f>
      </c>
      <c r="I392" s="11">
        <v>17.3</v>
      </c>
      <c r="J392" s="3">
        <v>82</v>
      </c>
      <c r="K392" s="2" t="s">
        <v>29</v>
      </c>
    </row>
    <row x14ac:dyDescent="0.25" r="393" customHeight="1" ht="18.75">
      <c r="A393" s="2"/>
      <c r="B393" s="2" t="s">
        <v>339</v>
      </c>
      <c r="C393" s="3">
        <v>4</v>
      </c>
      <c r="D393" s="3">
        <v>31</v>
      </c>
      <c r="E393" s="3">
        <v>2720</v>
      </c>
      <c r="F393" s="3">
        <v>119</v>
      </c>
      <c r="G393" s="3">
        <v>82</v>
      </c>
      <c r="H393" s="11">
        <f>IFERROR(G393/E393, "")</f>
      </c>
      <c r="I393" s="11">
        <v>19.4</v>
      </c>
      <c r="J393" s="3">
        <v>82</v>
      </c>
      <c r="K393" s="2" t="s">
        <v>29</v>
      </c>
    </row>
    <row x14ac:dyDescent="0.25" r="394" customHeight="1" ht="18.75">
      <c r="A394" s="2"/>
      <c r="B394" s="2" t="s">
        <v>340</v>
      </c>
      <c r="C394" s="3">
        <v>4</v>
      </c>
      <c r="D394" s="3">
        <v>28</v>
      </c>
      <c r="E394" s="3">
        <v>2625</v>
      </c>
      <c r="F394" s="3">
        <v>120</v>
      </c>
      <c r="G394" s="3">
        <v>79</v>
      </c>
      <c r="H394" s="11">
        <f>IFERROR(G394/E394, "")</f>
      </c>
      <c r="I394" s="11">
        <v>18.6</v>
      </c>
      <c r="J394" s="3">
        <v>82</v>
      </c>
      <c r="K394" s="2" t="s">
        <v>29</v>
      </c>
    </row>
    <row x14ac:dyDescent="0.25" r="395" customHeight="1" ht="18.75">
      <c r="A395" s="2"/>
      <c r="B395" s="2" t="s">
        <v>341</v>
      </c>
      <c r="C395" s="3">
        <v>4</v>
      </c>
      <c r="D395" s="3">
        <v>38</v>
      </c>
      <c r="E395" s="3">
        <v>2125</v>
      </c>
      <c r="F395" s="3">
        <v>105</v>
      </c>
      <c r="G395" s="3">
        <v>63</v>
      </c>
      <c r="H395" s="11">
        <f>IFERROR(G395/E395, "")</f>
      </c>
      <c r="I395" s="11">
        <v>14.7</v>
      </c>
      <c r="J395" s="3">
        <v>82</v>
      </c>
      <c r="K395" s="2" t="s">
        <v>29</v>
      </c>
    </row>
    <row x14ac:dyDescent="0.25" r="396" customHeight="1" ht="18.75">
      <c r="A396" s="2"/>
      <c r="B396" s="2" t="s">
        <v>342</v>
      </c>
      <c r="C396" s="3">
        <v>4</v>
      </c>
      <c r="D396" s="3">
        <v>23</v>
      </c>
      <c r="E396" s="3">
        <v>3035</v>
      </c>
      <c r="F396" s="3">
        <v>151</v>
      </c>
      <c r="G396" s="1"/>
      <c r="H396" s="3">
        <f>IFERROR(G396/E396, "")</f>
      </c>
      <c r="I396" s="11">
        <v>20.5</v>
      </c>
      <c r="J396" s="3">
        <v>82</v>
      </c>
      <c r="K396" s="2" t="s">
        <v>29</v>
      </c>
    </row>
    <row x14ac:dyDescent="0.25" r="397" customHeight="1" ht="18.75">
      <c r="A397" s="2"/>
      <c r="B397" s="2" t="s">
        <v>343</v>
      </c>
      <c r="C397" s="3">
        <v>6</v>
      </c>
      <c r="D397" s="3">
        <v>22</v>
      </c>
      <c r="E397" s="3">
        <v>2835</v>
      </c>
      <c r="F397" s="3">
        <v>232</v>
      </c>
      <c r="G397" s="3">
        <v>112</v>
      </c>
      <c r="H397" s="11">
        <f>IFERROR(G397/E397, "")</f>
      </c>
      <c r="I397" s="11">
        <v>14.7</v>
      </c>
      <c r="J397" s="3">
        <v>82</v>
      </c>
      <c r="K397" s="2" t="s">
        <v>29</v>
      </c>
    </row>
    <row x14ac:dyDescent="0.25" r="398" customHeight="1" ht="18.75">
      <c r="A398" s="2"/>
      <c r="B398" s="2" t="s">
        <v>344</v>
      </c>
      <c r="C398" s="3">
        <v>6</v>
      </c>
      <c r="D398" s="3">
        <v>25</v>
      </c>
      <c r="E398" s="3">
        <v>2945</v>
      </c>
      <c r="F398" s="3">
        <v>181</v>
      </c>
      <c r="G398" s="3">
        <v>110</v>
      </c>
      <c r="H398" s="11">
        <f>IFERROR(G398/E398, "")</f>
      </c>
      <c r="I398" s="11">
        <v>16.4</v>
      </c>
      <c r="J398" s="3">
        <v>82</v>
      </c>
      <c r="K398" s="2" t="s">
        <v>29</v>
      </c>
    </row>
    <row x14ac:dyDescent="0.25" r="399" customHeight="1" ht="18.75">
      <c r="A399" s="2"/>
      <c r="B399" s="2" t="s">
        <v>345</v>
      </c>
      <c r="C399" s="3">
        <v>6</v>
      </c>
      <c r="D399" s="3">
        <v>38</v>
      </c>
      <c r="E399" s="3">
        <v>3015</v>
      </c>
      <c r="F399" s="3">
        <v>262</v>
      </c>
      <c r="G399" s="3">
        <v>85</v>
      </c>
      <c r="H399" s="11">
        <f>IFERROR(G399/E399, "")</f>
      </c>
      <c r="I399" s="3">
        <v>17</v>
      </c>
      <c r="J399" s="3">
        <v>82</v>
      </c>
      <c r="K399" s="2" t="s">
        <v>29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F45"/>
  <sheetViews>
    <sheetView workbookViewId="0"/>
  </sheetViews>
  <sheetFormatPr defaultRowHeight="15" x14ac:dyDescent="0.25"/>
  <cols>
    <col min="1" max="1" style="5" width="20.862142857142857" customWidth="1" bestFit="1"/>
    <col min="2" max="2" style="13" width="12.576428571428572" customWidth="1" bestFit="1"/>
    <col min="3" max="3" style="14" width="14.43357142857143" customWidth="1" bestFit="1"/>
    <col min="4" max="4" style="5" width="14.43357142857143" customWidth="1" bestFit="1"/>
    <col min="5" max="5" style="5" width="12.576428571428572" customWidth="1" bestFit="1"/>
    <col min="6" max="6" style="5" width="13.719285714285713" customWidth="1" bestFit="1"/>
    <col min="7" max="7" style="5" width="13.719285714285713" customWidth="1" bestFit="1"/>
    <col min="8" max="8" style="5" width="12.576428571428572" customWidth="1" bestFit="1"/>
    <col min="9" max="9" style="15" width="13.719285714285713" customWidth="1" bestFit="1"/>
    <col min="10" max="10" style="5" width="13.719285714285713" customWidth="1" bestFit="1"/>
    <col min="11" max="11" style="16" width="12.576428571428572" customWidth="1" bestFit="1"/>
    <col min="12" max="12" style="15" width="20.719285714285714" customWidth="1" bestFit="1"/>
    <col min="13" max="13" style="5" width="15.576428571428572" customWidth="1" bestFit="1"/>
    <col min="14" max="14" style="5" width="15.576428571428572" customWidth="1" bestFit="1"/>
    <col min="15" max="15" style="5" width="15.576428571428572" customWidth="1" bestFit="1"/>
    <col min="16" max="16" style="5" width="15.576428571428572" customWidth="1" bestFit="1"/>
    <col min="17" max="17" style="5" width="15.576428571428572" customWidth="1" bestFit="1"/>
    <col min="18" max="18" style="5" width="15.576428571428572" customWidth="1" bestFit="1"/>
    <col min="19" max="19" style="5" width="15.576428571428572" customWidth="1" bestFit="1"/>
    <col min="20" max="20" style="5" width="15.576428571428572" customWidth="1" bestFit="1"/>
    <col min="21" max="21" style="5" width="12.576428571428572" customWidth="1" bestFit="1"/>
    <col min="22" max="22" style="16" width="13.719285714285713" customWidth="1" bestFit="1"/>
    <col min="23" max="23" style="5" width="15.576428571428572" customWidth="1" bestFit="1"/>
    <col min="24" max="24" style="5" width="15.576428571428572" customWidth="1" bestFit="1"/>
    <col min="25" max="25" style="5" width="15.576428571428572" customWidth="1" bestFit="1"/>
    <col min="26" max="26" style="5" width="15.576428571428572" customWidth="1" bestFit="1"/>
    <col min="27" max="27" style="5" width="15.576428571428572" customWidth="1" bestFit="1"/>
    <col min="28" max="28" style="5" width="15.576428571428572" customWidth="1" bestFit="1"/>
    <col min="29" max="29" style="5" width="15.576428571428572" customWidth="1" bestFit="1"/>
    <col min="30" max="30" style="5" width="15.576428571428572" customWidth="1" bestFit="1"/>
    <col min="31" max="31" style="16" width="12.576428571428572" customWidth="1" bestFit="1"/>
    <col min="32" max="32" style="16" width="13.719285714285713" customWidth="1" bestFit="1"/>
  </cols>
  <sheetData>
    <row x14ac:dyDescent="0.25" r="1" customHeight="1" ht="18.75">
      <c r="A1" s="2"/>
      <c r="B1" s="6" t="s">
        <v>19</v>
      </c>
      <c r="C1" s="7"/>
      <c r="D1" s="2"/>
      <c r="E1" s="2"/>
      <c r="F1" s="2"/>
      <c r="G1" s="2"/>
      <c r="H1" s="2"/>
      <c r="I1" s="8"/>
      <c r="J1" s="2"/>
      <c r="K1" s="9" t="s">
        <v>20</v>
      </c>
      <c r="L1" s="8"/>
      <c r="M1" s="2"/>
      <c r="N1" s="2"/>
      <c r="O1" s="2"/>
      <c r="P1" s="2"/>
      <c r="Q1" s="2"/>
      <c r="R1" s="2"/>
      <c r="S1" s="2"/>
      <c r="T1" s="2"/>
      <c r="U1" s="2" t="s">
        <v>21</v>
      </c>
      <c r="V1" s="9"/>
      <c r="W1" s="2"/>
      <c r="X1" s="2"/>
      <c r="Y1" s="2"/>
      <c r="Z1" s="2"/>
      <c r="AA1" s="2"/>
      <c r="AB1" s="2"/>
      <c r="AC1" s="2"/>
      <c r="AD1" s="2"/>
      <c r="AE1" s="9" t="s">
        <v>22</v>
      </c>
      <c r="AF1" s="9"/>
    </row>
    <row x14ac:dyDescent="0.25" r="2" customHeight="1" ht="18.75">
      <c r="A2" s="2"/>
      <c r="B2" s="6" t="s">
        <v>23</v>
      </c>
      <c r="C2" s="7" t="s">
        <v>24</v>
      </c>
      <c r="D2" s="2"/>
      <c r="E2" s="2"/>
      <c r="F2" s="2"/>
      <c r="G2" s="2"/>
      <c r="H2" s="2"/>
      <c r="I2" s="8"/>
      <c r="J2" s="2"/>
      <c r="K2" s="9" t="s">
        <v>23</v>
      </c>
      <c r="L2" s="8" t="s">
        <v>25</v>
      </c>
      <c r="M2" s="2"/>
      <c r="N2" s="2"/>
      <c r="O2" s="2"/>
      <c r="P2" s="2"/>
      <c r="Q2" s="2"/>
      <c r="R2" s="2"/>
      <c r="S2" s="2"/>
      <c r="T2" s="2"/>
      <c r="U2" s="2" t="s">
        <v>23</v>
      </c>
      <c r="V2" s="9" t="s">
        <v>26</v>
      </c>
      <c r="W2" s="2"/>
      <c r="X2" s="2"/>
      <c r="Y2" s="2"/>
      <c r="Z2" s="2"/>
      <c r="AA2" s="2"/>
      <c r="AB2" s="2"/>
      <c r="AC2" s="2"/>
      <c r="AD2" s="2"/>
      <c r="AE2" s="9" t="s">
        <v>23</v>
      </c>
      <c r="AF2" s="9" t="s">
        <v>26</v>
      </c>
    </row>
    <row x14ac:dyDescent="0.25" r="3" customHeight="1" ht="18.75">
      <c r="A3" s="2"/>
      <c r="B3" s="10" t="s">
        <v>27</v>
      </c>
      <c r="C3" s="11">
        <v>27.891428571428573</v>
      </c>
      <c r="D3" s="2"/>
      <c r="E3" s="2"/>
      <c r="F3" s="2"/>
      <c r="G3" s="2"/>
      <c r="H3" s="2"/>
      <c r="I3" s="8"/>
      <c r="J3" s="2"/>
      <c r="K3" s="10">
        <v>3</v>
      </c>
      <c r="L3" s="11">
        <v>99.25</v>
      </c>
      <c r="M3" s="2"/>
      <c r="N3" s="2"/>
      <c r="O3" s="2"/>
      <c r="P3" s="2"/>
      <c r="Q3" s="2"/>
      <c r="R3" s="2"/>
      <c r="S3" s="2"/>
      <c r="T3" s="2"/>
      <c r="U3" s="12" t="s">
        <v>27</v>
      </c>
      <c r="V3" s="3">
        <v>70</v>
      </c>
      <c r="W3" s="2"/>
      <c r="X3" s="2"/>
      <c r="Y3" s="2"/>
      <c r="Z3" s="2"/>
      <c r="AA3" s="2"/>
      <c r="AB3" s="2"/>
      <c r="AC3" s="2"/>
      <c r="AD3" s="2"/>
      <c r="AE3" s="10" t="s">
        <v>27</v>
      </c>
      <c r="AF3" s="3">
        <v>70</v>
      </c>
    </row>
    <row x14ac:dyDescent="0.25" r="4" customHeight="1" ht="18.75">
      <c r="A4" s="2"/>
      <c r="B4" s="10">
        <v>70</v>
      </c>
      <c r="C4" s="11">
        <v>25.2</v>
      </c>
      <c r="D4" s="2"/>
      <c r="E4" s="2"/>
      <c r="F4" s="2"/>
      <c r="G4" s="2"/>
      <c r="H4" s="2"/>
      <c r="I4" s="8"/>
      <c r="J4" s="2"/>
      <c r="K4" s="10">
        <v>4</v>
      </c>
      <c r="L4" s="11">
        <v>78.28140703517587</v>
      </c>
      <c r="M4" s="2"/>
      <c r="N4" s="2"/>
      <c r="O4" s="2"/>
      <c r="P4" s="2"/>
      <c r="Q4" s="2"/>
      <c r="R4" s="2"/>
      <c r="S4" s="2"/>
      <c r="T4" s="2"/>
      <c r="U4" s="12" t="s">
        <v>28</v>
      </c>
      <c r="V4" s="3">
        <v>79</v>
      </c>
      <c r="W4" s="2"/>
      <c r="X4" s="2"/>
      <c r="Y4" s="2"/>
      <c r="Z4" s="2"/>
      <c r="AA4" s="2"/>
      <c r="AB4" s="2"/>
      <c r="AC4" s="2"/>
      <c r="AD4" s="2"/>
      <c r="AE4" s="10">
        <v>4</v>
      </c>
      <c r="AF4" s="3">
        <v>63</v>
      </c>
    </row>
    <row x14ac:dyDescent="0.25" r="5" customHeight="1" ht="18.75">
      <c r="A5" s="2"/>
      <c r="B5" s="10">
        <v>71</v>
      </c>
      <c r="C5" s="11">
        <v>28.75</v>
      </c>
      <c r="D5" s="2"/>
      <c r="E5" s="2"/>
      <c r="F5" s="2"/>
      <c r="G5" s="2"/>
      <c r="H5" s="2"/>
      <c r="I5" s="8"/>
      <c r="J5" s="2"/>
      <c r="K5" s="10">
        <v>5</v>
      </c>
      <c r="L5" s="11">
        <v>82.33333333333333</v>
      </c>
      <c r="M5" s="2"/>
      <c r="N5" s="2"/>
      <c r="O5" s="2"/>
      <c r="P5" s="2"/>
      <c r="Q5" s="2"/>
      <c r="R5" s="2"/>
      <c r="S5" s="2"/>
      <c r="T5" s="2"/>
      <c r="U5" s="12" t="s">
        <v>29</v>
      </c>
      <c r="V5" s="3">
        <v>249</v>
      </c>
      <c r="W5" s="2"/>
      <c r="X5" s="2"/>
      <c r="Y5" s="2"/>
      <c r="Z5" s="2"/>
      <c r="AA5" s="2"/>
      <c r="AB5" s="2"/>
      <c r="AC5" s="2"/>
      <c r="AD5" s="2"/>
      <c r="AE5" s="10">
        <v>5</v>
      </c>
      <c r="AF5" s="3">
        <v>3</v>
      </c>
    </row>
    <row x14ac:dyDescent="0.25" r="6" customHeight="1" ht="18.75">
      <c r="A6" s="2"/>
      <c r="B6" s="10">
        <v>72</v>
      </c>
      <c r="C6" s="3">
        <v>22</v>
      </c>
      <c r="D6" s="2"/>
      <c r="E6" s="2"/>
      <c r="F6" s="2"/>
      <c r="G6" s="2"/>
      <c r="H6" s="2"/>
      <c r="I6" s="8"/>
      <c r="J6" s="2"/>
      <c r="K6" s="10">
        <v>6</v>
      </c>
      <c r="L6" s="11">
        <v>101.50602409638554</v>
      </c>
      <c r="M6" s="2"/>
      <c r="N6" s="2"/>
      <c r="O6" s="2"/>
      <c r="P6" s="2"/>
      <c r="Q6" s="2"/>
      <c r="R6" s="2"/>
      <c r="S6" s="2"/>
      <c r="T6" s="2"/>
      <c r="U6" s="12" t="s">
        <v>30</v>
      </c>
      <c r="V6" s="3">
        <v>398</v>
      </c>
      <c r="W6" s="2"/>
      <c r="X6" s="2"/>
      <c r="Y6" s="2"/>
      <c r="Z6" s="2"/>
      <c r="AA6" s="2"/>
      <c r="AB6" s="2"/>
      <c r="AC6" s="2"/>
      <c r="AD6" s="2"/>
      <c r="AE6" s="10">
        <v>6</v>
      </c>
      <c r="AF6" s="3">
        <v>4</v>
      </c>
    </row>
    <row x14ac:dyDescent="0.25" r="7" customHeight="1" ht="18.75">
      <c r="A7" s="2"/>
      <c r="B7" s="10">
        <v>73</v>
      </c>
      <c r="C7" s="3">
        <v>24</v>
      </c>
      <c r="D7" s="2"/>
      <c r="E7" s="2"/>
      <c r="F7" s="2"/>
      <c r="G7" s="2"/>
      <c r="H7" s="2"/>
      <c r="I7" s="8"/>
      <c r="J7" s="2"/>
      <c r="K7" s="10">
        <v>8</v>
      </c>
      <c r="L7" s="11">
        <v>158.3009708737864</v>
      </c>
      <c r="M7" s="2"/>
      <c r="N7" s="2"/>
      <c r="O7" s="2"/>
      <c r="P7" s="2"/>
      <c r="Q7" s="2"/>
      <c r="R7" s="2"/>
      <c r="S7" s="2"/>
      <c r="T7" s="2"/>
      <c r="U7" s="2"/>
      <c r="V7" s="9"/>
      <c r="W7" s="2"/>
      <c r="X7" s="2"/>
      <c r="Y7" s="2"/>
      <c r="Z7" s="2"/>
      <c r="AA7" s="2"/>
      <c r="AB7" s="2"/>
      <c r="AC7" s="2"/>
      <c r="AD7" s="2"/>
      <c r="AE7" s="10" t="s">
        <v>28</v>
      </c>
      <c r="AF7" s="3">
        <v>79</v>
      </c>
    </row>
    <row x14ac:dyDescent="0.25" r="8" customHeight="1" ht="18.75">
      <c r="A8" s="2"/>
      <c r="B8" s="10">
        <v>74</v>
      </c>
      <c r="C8" s="3">
        <v>27</v>
      </c>
      <c r="D8" s="2"/>
      <c r="E8" s="2"/>
      <c r="F8" s="2"/>
      <c r="G8" s="2"/>
      <c r="H8" s="2"/>
      <c r="I8" s="8"/>
      <c r="J8" s="2"/>
      <c r="K8" s="10" t="s">
        <v>30</v>
      </c>
      <c r="L8" s="11">
        <v>104.46938775510205</v>
      </c>
      <c r="M8" s="2"/>
      <c r="N8" s="2"/>
      <c r="O8" s="2"/>
      <c r="P8" s="2"/>
      <c r="Q8" s="2"/>
      <c r="R8" s="2"/>
      <c r="S8" s="2"/>
      <c r="T8" s="2"/>
      <c r="U8" s="2"/>
      <c r="V8" s="9"/>
      <c r="W8" s="2"/>
      <c r="X8" s="2"/>
      <c r="Y8" s="2"/>
      <c r="Z8" s="2"/>
      <c r="AA8" s="2"/>
      <c r="AB8" s="2"/>
      <c r="AC8" s="2"/>
      <c r="AD8" s="2"/>
      <c r="AE8" s="10">
        <v>3</v>
      </c>
      <c r="AF8" s="3">
        <v>4</v>
      </c>
    </row>
    <row x14ac:dyDescent="0.25" r="9" customHeight="1" ht="18.75">
      <c r="A9" s="2"/>
      <c r="B9" s="10">
        <v>75</v>
      </c>
      <c r="C9" s="11">
        <v>24.5</v>
      </c>
      <c r="D9" s="2"/>
      <c r="E9" s="2"/>
      <c r="F9" s="2"/>
      <c r="G9" s="2"/>
      <c r="H9" s="2"/>
      <c r="I9" s="8"/>
      <c r="J9" s="2"/>
      <c r="K9" s="9"/>
      <c r="L9" s="8"/>
      <c r="M9" s="2"/>
      <c r="N9" s="2"/>
      <c r="O9" s="2"/>
      <c r="P9" s="2"/>
      <c r="Q9" s="2"/>
      <c r="R9" s="2"/>
      <c r="S9" s="2"/>
      <c r="T9" s="2"/>
      <c r="U9" s="2"/>
      <c r="V9" s="9"/>
      <c r="W9" s="2"/>
      <c r="X9" s="2"/>
      <c r="Y9" s="2"/>
      <c r="Z9" s="2"/>
      <c r="AA9" s="2"/>
      <c r="AB9" s="2"/>
      <c r="AC9" s="2"/>
      <c r="AD9" s="2"/>
      <c r="AE9" s="10">
        <v>4</v>
      </c>
      <c r="AF9" s="3">
        <v>69</v>
      </c>
    </row>
    <row x14ac:dyDescent="0.25" r="10" customHeight="1" ht="18.75">
      <c r="A10" s="2"/>
      <c r="B10" s="10">
        <v>76</v>
      </c>
      <c r="C10" s="11">
        <v>24.25</v>
      </c>
      <c r="D10" s="2"/>
      <c r="E10" s="2"/>
      <c r="F10" s="2"/>
      <c r="G10" s="2"/>
      <c r="H10" s="2"/>
      <c r="I10" s="8"/>
      <c r="J10" s="2"/>
      <c r="K10" s="9"/>
      <c r="L10" s="8"/>
      <c r="M10" s="2"/>
      <c r="N10" s="2"/>
      <c r="O10" s="2"/>
      <c r="P10" s="2"/>
      <c r="Q10" s="2"/>
      <c r="R10" s="2"/>
      <c r="S10" s="2"/>
      <c r="T10" s="2"/>
      <c r="U10" s="2"/>
      <c r="V10" s="9"/>
      <c r="W10" s="2"/>
      <c r="X10" s="2"/>
      <c r="Y10" s="2"/>
      <c r="Z10" s="2"/>
      <c r="AA10" s="2"/>
      <c r="AB10" s="2"/>
      <c r="AC10" s="2"/>
      <c r="AD10" s="2"/>
      <c r="AE10" s="10">
        <v>6</v>
      </c>
      <c r="AF10" s="3">
        <v>6</v>
      </c>
    </row>
    <row x14ac:dyDescent="0.25" r="11" customHeight="1" ht="18.75">
      <c r="A11" s="2"/>
      <c r="B11" s="10">
        <v>77</v>
      </c>
      <c r="C11" s="11">
        <v>29.25</v>
      </c>
      <c r="D11" s="2"/>
      <c r="E11" s="2"/>
      <c r="F11" s="2"/>
      <c r="G11" s="2"/>
      <c r="H11" s="2"/>
      <c r="I11" s="8"/>
      <c r="J11" s="2"/>
      <c r="K11" s="9"/>
      <c r="L11" s="8"/>
      <c r="M11" s="2"/>
      <c r="N11" s="2"/>
      <c r="O11" s="2"/>
      <c r="P11" s="2"/>
      <c r="Q11" s="2"/>
      <c r="R11" s="2"/>
      <c r="S11" s="2"/>
      <c r="T11" s="2"/>
      <c r="U11" s="2"/>
      <c r="V11" s="9"/>
      <c r="W11" s="2"/>
      <c r="X11" s="2"/>
      <c r="Y11" s="2"/>
      <c r="Z11" s="2"/>
      <c r="AA11" s="2"/>
      <c r="AB11" s="2"/>
      <c r="AC11" s="2"/>
      <c r="AD11" s="2"/>
      <c r="AE11" s="10" t="s">
        <v>29</v>
      </c>
      <c r="AF11" s="3">
        <v>249</v>
      </c>
    </row>
    <row x14ac:dyDescent="0.25" r="12" customHeight="1" ht="18.75">
      <c r="A12" s="2"/>
      <c r="B12" s="10">
        <v>78</v>
      </c>
      <c r="C12" s="11">
        <v>24.95</v>
      </c>
      <c r="D12" s="2"/>
      <c r="E12" s="2"/>
      <c r="F12" s="2"/>
      <c r="G12" s="2"/>
      <c r="H12" s="2"/>
      <c r="I12" s="8"/>
      <c r="J12" s="2"/>
      <c r="K12" s="9"/>
      <c r="L12" s="8"/>
      <c r="M12" s="2"/>
      <c r="N12" s="2"/>
      <c r="O12" s="2"/>
      <c r="P12" s="2"/>
      <c r="Q12" s="2"/>
      <c r="R12" s="2"/>
      <c r="S12" s="2"/>
      <c r="T12" s="2"/>
      <c r="U12" s="2"/>
      <c r="V12" s="9"/>
      <c r="W12" s="2"/>
      <c r="X12" s="2"/>
      <c r="Y12" s="2"/>
      <c r="Z12" s="2"/>
      <c r="AA12" s="2"/>
      <c r="AB12" s="2"/>
      <c r="AC12" s="2"/>
      <c r="AD12" s="2"/>
      <c r="AE12" s="10">
        <v>4</v>
      </c>
      <c r="AF12" s="3">
        <v>72</v>
      </c>
    </row>
    <row x14ac:dyDescent="0.25" r="13" customHeight="1" ht="18.75">
      <c r="A13" s="2"/>
      <c r="B13" s="10">
        <v>79</v>
      </c>
      <c r="C13" s="11">
        <v>30.449999999999996</v>
      </c>
      <c r="D13" s="2"/>
      <c r="E13" s="2"/>
      <c r="F13" s="2"/>
      <c r="G13" s="2"/>
      <c r="H13" s="2"/>
      <c r="I13" s="8"/>
      <c r="J13" s="2"/>
      <c r="K13" s="9"/>
      <c r="L13" s="8"/>
      <c r="M13" s="2"/>
      <c r="N13" s="2"/>
      <c r="O13" s="2"/>
      <c r="P13" s="2"/>
      <c r="Q13" s="2"/>
      <c r="R13" s="2"/>
      <c r="S13" s="2"/>
      <c r="T13" s="2"/>
      <c r="U13" s="2"/>
      <c r="V13" s="9"/>
      <c r="W13" s="2"/>
      <c r="X13" s="2"/>
      <c r="Y13" s="2"/>
      <c r="Z13" s="2"/>
      <c r="AA13" s="2"/>
      <c r="AB13" s="2"/>
      <c r="AC13" s="2"/>
      <c r="AD13" s="2"/>
      <c r="AE13" s="10">
        <v>6</v>
      </c>
      <c r="AF13" s="3">
        <v>74</v>
      </c>
    </row>
    <row x14ac:dyDescent="0.25" r="14" customHeight="1" ht="18.75">
      <c r="A14" s="2"/>
      <c r="B14" s="10">
        <v>80</v>
      </c>
      <c r="C14" s="11">
        <v>37.28888888888888</v>
      </c>
      <c r="D14" s="2"/>
      <c r="E14" s="2"/>
      <c r="F14" s="2"/>
      <c r="G14" s="2"/>
      <c r="H14" s="2"/>
      <c r="I14" s="8"/>
      <c r="J14" s="2"/>
      <c r="K14" s="9"/>
      <c r="L14" s="8"/>
      <c r="M14" s="2"/>
      <c r="N14" s="2"/>
      <c r="O14" s="2"/>
      <c r="P14" s="2"/>
      <c r="Q14" s="2"/>
      <c r="R14" s="2"/>
      <c r="S14" s="2"/>
      <c r="T14" s="2"/>
      <c r="U14" s="2"/>
      <c r="V14" s="9"/>
      <c r="W14" s="2"/>
      <c r="X14" s="2"/>
      <c r="Y14" s="2"/>
      <c r="Z14" s="2"/>
      <c r="AA14" s="2"/>
      <c r="AB14" s="2"/>
      <c r="AC14" s="2"/>
      <c r="AD14" s="2"/>
      <c r="AE14" s="10">
        <v>8</v>
      </c>
      <c r="AF14" s="3">
        <v>103</v>
      </c>
    </row>
    <row x14ac:dyDescent="0.25" r="15" customHeight="1" ht="18.75">
      <c r="A15" s="2"/>
      <c r="B15" s="10">
        <v>81</v>
      </c>
      <c r="C15" s="11">
        <v>31.575</v>
      </c>
      <c r="D15" s="2"/>
      <c r="E15" s="2"/>
      <c r="F15" s="2"/>
      <c r="G15" s="2"/>
      <c r="H15" s="2"/>
      <c r="I15" s="8"/>
      <c r="J15" s="2"/>
      <c r="K15" s="9"/>
      <c r="L15" s="8"/>
      <c r="M15" s="2"/>
      <c r="N15" s="2"/>
      <c r="O15" s="2"/>
      <c r="P15" s="2"/>
      <c r="Q15" s="2"/>
      <c r="R15" s="2"/>
      <c r="S15" s="2"/>
      <c r="T15" s="2"/>
      <c r="U15" s="2"/>
      <c r="V15" s="9"/>
      <c r="W15" s="2"/>
      <c r="X15" s="2"/>
      <c r="Y15" s="2"/>
      <c r="Z15" s="2"/>
      <c r="AA15" s="2"/>
      <c r="AB15" s="2"/>
      <c r="AC15" s="2"/>
      <c r="AD15" s="2"/>
      <c r="AE15" s="10" t="s">
        <v>30</v>
      </c>
      <c r="AF15" s="3">
        <v>398</v>
      </c>
    </row>
    <row x14ac:dyDescent="0.25" r="16" customHeight="1" ht="18.75">
      <c r="A16" s="2"/>
      <c r="B16" s="10">
        <v>82</v>
      </c>
      <c r="C16" s="3">
        <v>40</v>
      </c>
      <c r="D16" s="2"/>
      <c r="E16" s="2"/>
      <c r="F16" s="2"/>
      <c r="G16" s="2"/>
      <c r="H16" s="2"/>
      <c r="I16" s="8"/>
      <c r="J16" s="2"/>
      <c r="K16" s="9"/>
      <c r="L16" s="8"/>
      <c r="M16" s="2"/>
      <c r="N16" s="2"/>
      <c r="O16" s="2"/>
      <c r="P16" s="2"/>
      <c r="Q16" s="2"/>
      <c r="R16" s="2"/>
      <c r="S16" s="2"/>
      <c r="T16" s="2"/>
      <c r="U16" s="2"/>
      <c r="V16" s="9"/>
      <c r="W16" s="2"/>
      <c r="X16" s="2"/>
      <c r="Y16" s="2"/>
      <c r="Z16" s="2"/>
      <c r="AA16" s="2"/>
      <c r="AB16" s="2"/>
      <c r="AC16" s="2"/>
      <c r="AD16" s="2"/>
      <c r="AE16" s="9"/>
      <c r="AF16" s="9"/>
    </row>
    <row x14ac:dyDescent="0.25" r="17" customHeight="1" ht="18.75">
      <c r="A17" s="2"/>
      <c r="B17" s="10" t="s">
        <v>28</v>
      </c>
      <c r="C17" s="11">
        <v>30.450632911392397</v>
      </c>
      <c r="D17" s="2"/>
      <c r="E17" s="2"/>
      <c r="F17" s="2"/>
      <c r="G17" s="2"/>
      <c r="H17" s="2"/>
      <c r="I17" s="8"/>
      <c r="J17" s="2"/>
      <c r="K17" s="9"/>
      <c r="L17" s="8"/>
      <c r="M17" s="2"/>
      <c r="N17" s="2"/>
      <c r="O17" s="2"/>
      <c r="P17" s="2"/>
      <c r="Q17" s="2"/>
      <c r="R17" s="2"/>
      <c r="S17" s="2"/>
      <c r="T17" s="2"/>
      <c r="U17" s="2"/>
      <c r="V17" s="9"/>
      <c r="W17" s="2"/>
      <c r="X17" s="2"/>
      <c r="Y17" s="2"/>
      <c r="Z17" s="2"/>
      <c r="AA17" s="2"/>
      <c r="AB17" s="2"/>
      <c r="AC17" s="2"/>
      <c r="AD17" s="2"/>
      <c r="AE17" s="9"/>
      <c r="AF17" s="9"/>
    </row>
    <row x14ac:dyDescent="0.25" r="18" customHeight="1" ht="18.75">
      <c r="A18" s="2"/>
      <c r="B18" s="10">
        <v>70</v>
      </c>
      <c r="C18" s="11">
        <v>25.5</v>
      </c>
      <c r="D18" s="2"/>
      <c r="E18" s="2"/>
      <c r="F18" s="2"/>
      <c r="G18" s="2"/>
      <c r="H18" s="2"/>
      <c r="I18" s="8"/>
      <c r="J18" s="2"/>
      <c r="K18" s="9"/>
      <c r="L18" s="8"/>
      <c r="M18" s="2"/>
      <c r="N18" s="2"/>
      <c r="O18" s="2"/>
      <c r="P18" s="2"/>
      <c r="Q18" s="2"/>
      <c r="R18" s="2"/>
      <c r="S18" s="2"/>
      <c r="T18" s="2"/>
      <c r="U18" s="2"/>
      <c r="V18" s="9"/>
      <c r="W18" s="2"/>
      <c r="X18" s="2"/>
      <c r="Y18" s="2"/>
      <c r="Z18" s="2"/>
      <c r="AA18" s="2"/>
      <c r="AB18" s="2"/>
      <c r="AC18" s="2"/>
      <c r="AD18" s="2"/>
      <c r="AE18" s="9"/>
      <c r="AF18" s="9"/>
    </row>
    <row x14ac:dyDescent="0.25" r="19" customHeight="1" ht="18.75">
      <c r="A19" s="2"/>
      <c r="B19" s="10">
        <v>71</v>
      </c>
      <c r="C19" s="11">
        <v>29.5</v>
      </c>
      <c r="D19" s="2"/>
      <c r="E19" s="2"/>
      <c r="F19" s="2"/>
      <c r="G19" s="2"/>
      <c r="H19" s="2"/>
      <c r="I19" s="8"/>
      <c r="J19" s="2"/>
      <c r="K19" s="9"/>
      <c r="L19" s="8"/>
      <c r="M19" s="2"/>
      <c r="N19" s="2"/>
      <c r="O19" s="2"/>
      <c r="P19" s="2"/>
      <c r="Q19" s="2"/>
      <c r="R19" s="2"/>
      <c r="S19" s="2"/>
      <c r="T19" s="2"/>
      <c r="U19" s="2"/>
      <c r="V19" s="9"/>
      <c r="W19" s="2"/>
      <c r="X19" s="2"/>
      <c r="Y19" s="2"/>
      <c r="Z19" s="2"/>
      <c r="AA19" s="2"/>
      <c r="AB19" s="2"/>
      <c r="AC19" s="2"/>
      <c r="AD19" s="2"/>
      <c r="AE19" s="9"/>
      <c r="AF19" s="9"/>
    </row>
    <row x14ac:dyDescent="0.25" r="20" customHeight="1" ht="18.75">
      <c r="A20" s="2"/>
      <c r="B20" s="10">
        <v>72</v>
      </c>
      <c r="C20" s="11">
        <v>24.2</v>
      </c>
      <c r="D20" s="2"/>
      <c r="E20" s="2"/>
      <c r="F20" s="2"/>
      <c r="G20" s="2"/>
      <c r="H20" s="2"/>
      <c r="I20" s="8"/>
      <c r="J20" s="2"/>
      <c r="K20" s="9"/>
      <c r="L20" s="8"/>
      <c r="M20" s="2"/>
      <c r="N20" s="2"/>
      <c r="O20" s="2"/>
      <c r="P20" s="2"/>
      <c r="Q20" s="2"/>
      <c r="R20" s="2"/>
      <c r="S20" s="2"/>
      <c r="T20" s="2"/>
      <c r="U20" s="2"/>
      <c r="V20" s="9"/>
      <c r="W20" s="2"/>
      <c r="X20" s="2"/>
      <c r="Y20" s="2"/>
      <c r="Z20" s="2"/>
      <c r="AA20" s="2"/>
      <c r="AB20" s="2"/>
      <c r="AC20" s="2"/>
      <c r="AD20" s="2"/>
      <c r="AE20" s="9"/>
      <c r="AF20" s="9"/>
    </row>
    <row x14ac:dyDescent="0.25" r="21" customHeight="1" ht="18.75">
      <c r="A21" s="2"/>
      <c r="B21" s="10">
        <v>73</v>
      </c>
      <c r="C21" s="3">
        <v>20</v>
      </c>
      <c r="D21" s="2"/>
      <c r="E21" s="2"/>
      <c r="F21" s="2"/>
      <c r="G21" s="2"/>
      <c r="H21" s="2"/>
      <c r="I21" s="8"/>
      <c r="J21" s="2"/>
      <c r="K21" s="9"/>
      <c r="L21" s="8"/>
      <c r="M21" s="2"/>
      <c r="N21" s="2"/>
      <c r="O21" s="2"/>
      <c r="P21" s="2"/>
      <c r="Q21" s="2"/>
      <c r="R21" s="2"/>
      <c r="S21" s="2"/>
      <c r="T21" s="2"/>
      <c r="U21" s="2"/>
      <c r="V21" s="9"/>
      <c r="W21" s="2"/>
      <c r="X21" s="2"/>
      <c r="Y21" s="2"/>
      <c r="Z21" s="2"/>
      <c r="AA21" s="2"/>
      <c r="AB21" s="2"/>
      <c r="AC21" s="2"/>
      <c r="AD21" s="2"/>
      <c r="AE21" s="9"/>
      <c r="AF21" s="9"/>
    </row>
    <row x14ac:dyDescent="0.25" r="22" customHeight="1" ht="18.75">
      <c r="A22" s="2"/>
      <c r="B22" s="10">
        <v>74</v>
      </c>
      <c r="C22" s="11">
        <v>29.333333333333332</v>
      </c>
      <c r="D22" s="2"/>
      <c r="E22" s="2"/>
      <c r="F22" s="2"/>
      <c r="G22" s="2"/>
      <c r="H22" s="2"/>
      <c r="I22" s="8"/>
      <c r="J22" s="2"/>
      <c r="K22" s="9"/>
      <c r="L22" s="8"/>
      <c r="M22" s="2"/>
      <c r="N22" s="2"/>
      <c r="O22" s="2"/>
      <c r="P22" s="2"/>
      <c r="Q22" s="2"/>
      <c r="R22" s="2"/>
      <c r="S22" s="2"/>
      <c r="T22" s="2"/>
      <c r="U22" s="2"/>
      <c r="V22" s="9"/>
      <c r="W22" s="2"/>
      <c r="X22" s="2"/>
      <c r="Y22" s="2"/>
      <c r="Z22" s="2"/>
      <c r="AA22" s="2"/>
      <c r="AB22" s="2"/>
      <c r="AC22" s="2"/>
      <c r="AD22" s="2"/>
      <c r="AE22" s="9"/>
      <c r="AF22" s="9"/>
    </row>
    <row x14ac:dyDescent="0.25" r="23" customHeight="1" ht="18.75">
      <c r="A23" s="2"/>
      <c r="B23" s="10">
        <v>75</v>
      </c>
      <c r="C23" s="11">
        <v>27.5</v>
      </c>
      <c r="D23" s="2"/>
      <c r="E23" s="2"/>
      <c r="F23" s="2"/>
      <c r="G23" s="2"/>
      <c r="H23" s="2"/>
      <c r="I23" s="8"/>
      <c r="J23" s="2"/>
      <c r="K23" s="9"/>
      <c r="L23" s="8"/>
      <c r="M23" s="2"/>
      <c r="N23" s="2"/>
      <c r="O23" s="2"/>
      <c r="P23" s="2"/>
      <c r="Q23" s="2"/>
      <c r="R23" s="2"/>
      <c r="S23" s="2"/>
      <c r="T23" s="2"/>
      <c r="U23" s="2"/>
      <c r="V23" s="9"/>
      <c r="W23" s="2"/>
      <c r="X23" s="2"/>
      <c r="Y23" s="2"/>
      <c r="Z23" s="2"/>
      <c r="AA23" s="2"/>
      <c r="AB23" s="2"/>
      <c r="AC23" s="2"/>
      <c r="AD23" s="2"/>
      <c r="AE23" s="9"/>
      <c r="AF23" s="9"/>
    </row>
    <row x14ac:dyDescent="0.25" r="24" customHeight="1" ht="18.75">
      <c r="A24" s="2"/>
      <c r="B24" s="10">
        <v>76</v>
      </c>
      <c r="C24" s="3">
        <v>28</v>
      </c>
      <c r="D24" s="2"/>
      <c r="E24" s="2"/>
      <c r="F24" s="2"/>
      <c r="G24" s="2"/>
      <c r="H24" s="2"/>
      <c r="I24" s="8"/>
      <c r="J24" s="2"/>
      <c r="K24" s="9"/>
      <c r="L24" s="8"/>
      <c r="M24" s="2"/>
      <c r="N24" s="2"/>
      <c r="O24" s="2"/>
      <c r="P24" s="2"/>
      <c r="Q24" s="2"/>
      <c r="R24" s="2"/>
      <c r="S24" s="2"/>
      <c r="T24" s="2"/>
      <c r="U24" s="2"/>
      <c r="V24" s="9"/>
      <c r="W24" s="2"/>
      <c r="X24" s="2"/>
      <c r="Y24" s="2"/>
      <c r="Z24" s="2"/>
      <c r="AA24" s="2"/>
      <c r="AB24" s="2"/>
      <c r="AC24" s="2"/>
      <c r="AD24" s="2"/>
      <c r="AE24" s="9"/>
      <c r="AF24" s="9"/>
    </row>
    <row x14ac:dyDescent="0.25" r="25" customHeight="1" ht="18.75">
      <c r="A25" s="2"/>
      <c r="B25" s="10">
        <v>77</v>
      </c>
      <c r="C25" s="11">
        <v>27.416666666666668</v>
      </c>
      <c r="D25" s="2"/>
      <c r="E25" s="2"/>
      <c r="F25" s="2"/>
      <c r="G25" s="2"/>
      <c r="H25" s="2"/>
      <c r="I25" s="8"/>
      <c r="J25" s="2"/>
      <c r="K25" s="9"/>
      <c r="L25" s="8"/>
      <c r="M25" s="2"/>
      <c r="N25" s="2"/>
      <c r="O25" s="2"/>
      <c r="P25" s="2"/>
      <c r="Q25" s="2"/>
      <c r="R25" s="2"/>
      <c r="S25" s="2"/>
      <c r="T25" s="2"/>
      <c r="U25" s="2"/>
      <c r="V25" s="9"/>
      <c r="W25" s="2"/>
      <c r="X25" s="2"/>
      <c r="Y25" s="2"/>
      <c r="Z25" s="2"/>
      <c r="AA25" s="2"/>
      <c r="AB25" s="2"/>
      <c r="AC25" s="2"/>
      <c r="AD25" s="2"/>
      <c r="AE25" s="9"/>
      <c r="AF25" s="9"/>
    </row>
    <row x14ac:dyDescent="0.25" r="26" customHeight="1" ht="18.75">
      <c r="A26" s="2"/>
      <c r="B26" s="10">
        <v>78</v>
      </c>
      <c r="C26" s="11">
        <v>29.6875</v>
      </c>
      <c r="D26" s="2"/>
      <c r="E26" s="2"/>
      <c r="F26" s="2"/>
      <c r="G26" s="2"/>
      <c r="H26" s="2"/>
      <c r="I26" s="8"/>
      <c r="J26" s="2"/>
      <c r="K26" s="9"/>
      <c r="L26" s="8"/>
      <c r="M26" s="2"/>
      <c r="N26" s="2"/>
      <c r="O26" s="2"/>
      <c r="P26" s="2"/>
      <c r="Q26" s="2"/>
      <c r="R26" s="2"/>
      <c r="S26" s="2"/>
      <c r="T26" s="2"/>
      <c r="U26" s="2"/>
      <c r="V26" s="9"/>
      <c r="W26" s="2"/>
      <c r="X26" s="2"/>
      <c r="Y26" s="2"/>
      <c r="Z26" s="2"/>
      <c r="AA26" s="2"/>
      <c r="AB26" s="2"/>
      <c r="AC26" s="2"/>
      <c r="AD26" s="2"/>
      <c r="AE26" s="9"/>
      <c r="AF26" s="9"/>
    </row>
    <row x14ac:dyDescent="0.25" r="27" customHeight="1" ht="18.75">
      <c r="A27" s="2"/>
      <c r="B27" s="10">
        <v>79</v>
      </c>
      <c r="C27" s="11">
        <v>32.95</v>
      </c>
      <c r="D27" s="2"/>
      <c r="E27" s="2"/>
      <c r="F27" s="2"/>
      <c r="G27" s="2"/>
      <c r="H27" s="2"/>
      <c r="I27" s="8"/>
      <c r="J27" s="2"/>
      <c r="K27" s="9"/>
      <c r="L27" s="8"/>
      <c r="M27" s="2"/>
      <c r="N27" s="2"/>
      <c r="O27" s="2"/>
      <c r="P27" s="2"/>
      <c r="Q27" s="2"/>
      <c r="R27" s="2"/>
      <c r="S27" s="2"/>
      <c r="T27" s="2"/>
      <c r="U27" s="2"/>
      <c r="V27" s="9"/>
      <c r="W27" s="2"/>
      <c r="X27" s="2"/>
      <c r="Y27" s="2"/>
      <c r="Z27" s="2"/>
      <c r="AA27" s="2"/>
      <c r="AB27" s="2"/>
      <c r="AC27" s="2"/>
      <c r="AD27" s="2"/>
      <c r="AE27" s="9"/>
      <c r="AF27" s="9"/>
    </row>
    <row x14ac:dyDescent="0.25" r="28" customHeight="1" ht="18.75">
      <c r="A28" s="2"/>
      <c r="B28" s="10">
        <v>80</v>
      </c>
      <c r="C28" s="11">
        <v>35.400000000000006</v>
      </c>
      <c r="D28" s="2"/>
      <c r="E28" s="2"/>
      <c r="F28" s="2"/>
      <c r="G28" s="2"/>
      <c r="H28" s="2"/>
      <c r="I28" s="8"/>
      <c r="J28" s="2"/>
      <c r="K28" s="9"/>
      <c r="L28" s="8"/>
      <c r="M28" s="2"/>
      <c r="N28" s="2"/>
      <c r="O28" s="2"/>
      <c r="P28" s="2"/>
      <c r="Q28" s="2"/>
      <c r="R28" s="2"/>
      <c r="S28" s="2"/>
      <c r="T28" s="2"/>
      <c r="U28" s="2"/>
      <c r="V28" s="9"/>
      <c r="W28" s="2"/>
      <c r="X28" s="2"/>
      <c r="Y28" s="2"/>
      <c r="Z28" s="2"/>
      <c r="AA28" s="2"/>
      <c r="AB28" s="2"/>
      <c r="AC28" s="2"/>
      <c r="AD28" s="2"/>
      <c r="AE28" s="9"/>
      <c r="AF28" s="9"/>
    </row>
    <row x14ac:dyDescent="0.25" r="29" customHeight="1" ht="18.75">
      <c r="A29" s="2"/>
      <c r="B29" s="10">
        <v>81</v>
      </c>
      <c r="C29" s="11">
        <v>32.95833333333333</v>
      </c>
      <c r="D29" s="2"/>
      <c r="E29" s="2"/>
      <c r="F29" s="2"/>
      <c r="G29" s="2"/>
      <c r="H29" s="2"/>
      <c r="I29" s="8" t="s">
        <v>26</v>
      </c>
      <c r="J29" s="2"/>
      <c r="K29" s="9"/>
      <c r="L29" s="8"/>
      <c r="M29" s="2"/>
      <c r="N29" s="2"/>
      <c r="O29" s="2"/>
      <c r="P29" s="2"/>
      <c r="Q29" s="2"/>
      <c r="R29" s="2"/>
      <c r="S29" s="2"/>
      <c r="T29" s="2"/>
      <c r="U29" s="2"/>
      <c r="V29" s="9"/>
      <c r="W29" s="2"/>
      <c r="X29" s="2"/>
      <c r="Y29" s="2"/>
      <c r="Z29" s="2"/>
      <c r="AA29" s="2"/>
      <c r="AB29" s="2"/>
      <c r="AC29" s="2"/>
      <c r="AD29" s="2"/>
      <c r="AE29" s="9"/>
      <c r="AF29" s="9"/>
    </row>
    <row x14ac:dyDescent="0.25" r="30" customHeight="1" ht="18.75">
      <c r="A30" s="2"/>
      <c r="B30" s="10">
        <v>82</v>
      </c>
      <c r="C30" s="11">
        <v>34.888888888888886</v>
      </c>
      <c r="D30" s="2"/>
      <c r="E30" s="2"/>
      <c r="F30" s="2"/>
      <c r="G30" s="2"/>
      <c r="H30" s="2"/>
      <c r="I30" s="3">
        <v>398</v>
      </c>
      <c r="J30" s="2"/>
      <c r="K30" s="9"/>
      <c r="L30" s="8"/>
      <c r="M30" s="2"/>
      <c r="N30" s="2"/>
      <c r="O30" s="2"/>
      <c r="P30" s="2"/>
      <c r="Q30" s="2"/>
      <c r="R30" s="2"/>
      <c r="S30" s="2"/>
      <c r="T30" s="2"/>
      <c r="U30" s="2"/>
      <c r="V30" s="9"/>
      <c r="W30" s="2"/>
      <c r="X30" s="2"/>
      <c r="Y30" s="2"/>
      <c r="Z30" s="2"/>
      <c r="AA30" s="2"/>
      <c r="AB30" s="2"/>
      <c r="AC30" s="2"/>
      <c r="AD30" s="2"/>
      <c r="AE30" s="9"/>
      <c r="AF30" s="9"/>
    </row>
    <row x14ac:dyDescent="0.25" r="31" customHeight="1" ht="18.75">
      <c r="A31" s="2"/>
      <c r="B31" s="10" t="s">
        <v>29</v>
      </c>
      <c r="C31" s="11">
        <v>20.083534136546177</v>
      </c>
      <c r="D31" s="2"/>
      <c r="E31" s="2"/>
      <c r="F31" s="2"/>
      <c r="G31" s="2"/>
      <c r="H31" s="2"/>
      <c r="I31" s="8"/>
      <c r="J31" s="2"/>
      <c r="K31" s="9"/>
      <c r="L31" s="8"/>
      <c r="M31" s="2"/>
      <c r="N31" s="2"/>
      <c r="O31" s="2"/>
      <c r="P31" s="2"/>
      <c r="Q31" s="2"/>
      <c r="R31" s="2"/>
      <c r="S31" s="2"/>
      <c r="T31" s="2"/>
      <c r="U31" s="2"/>
      <c r="V31" s="9"/>
      <c r="W31" s="2"/>
      <c r="X31" s="2"/>
      <c r="Y31" s="2"/>
      <c r="Z31" s="2"/>
      <c r="AA31" s="2"/>
      <c r="AB31" s="2"/>
      <c r="AC31" s="2"/>
      <c r="AD31" s="2"/>
      <c r="AE31" s="9"/>
      <c r="AF31" s="9"/>
    </row>
    <row x14ac:dyDescent="0.25" r="32" customHeight="1" ht="18.75">
      <c r="A32" s="2"/>
      <c r="B32" s="10">
        <v>70</v>
      </c>
      <c r="C32" s="11">
        <v>15.272727272727273</v>
      </c>
      <c r="D32" s="2"/>
      <c r="E32" s="2"/>
      <c r="F32" s="2"/>
      <c r="G32" s="2"/>
      <c r="H32" s="2"/>
      <c r="I32" s="8"/>
      <c r="J32" s="2"/>
      <c r="K32" s="9"/>
      <c r="L32" s="8"/>
      <c r="M32" s="2"/>
      <c r="N32" s="2"/>
      <c r="O32" s="2"/>
      <c r="P32" s="2"/>
      <c r="Q32" s="2"/>
      <c r="R32" s="2"/>
      <c r="S32" s="2"/>
      <c r="T32" s="2"/>
      <c r="U32" s="2"/>
      <c r="V32" s="9"/>
      <c r="W32" s="2"/>
      <c r="X32" s="2"/>
      <c r="Y32" s="2"/>
      <c r="Z32" s="2"/>
      <c r="AA32" s="2"/>
      <c r="AB32" s="2"/>
      <c r="AC32" s="2"/>
      <c r="AD32" s="2"/>
      <c r="AE32" s="9"/>
      <c r="AF32" s="9"/>
    </row>
    <row x14ac:dyDescent="0.25" r="33" customHeight="1" ht="18.75">
      <c r="A33" s="2"/>
      <c r="B33" s="10">
        <v>71</v>
      </c>
      <c r="C33" s="11">
        <v>18.1</v>
      </c>
      <c r="D33" s="2"/>
      <c r="E33" s="2"/>
      <c r="F33" s="2"/>
      <c r="G33" s="2"/>
      <c r="H33" s="2"/>
      <c r="I33" s="8" t="s">
        <v>24</v>
      </c>
      <c r="J33" s="2"/>
      <c r="K33" s="9"/>
      <c r="L33" s="8"/>
      <c r="M33" s="2"/>
      <c r="N33" s="2"/>
      <c r="O33" s="2"/>
      <c r="P33" s="2"/>
      <c r="Q33" s="2"/>
      <c r="R33" s="2"/>
      <c r="S33" s="2"/>
      <c r="T33" s="2"/>
      <c r="U33" s="2"/>
      <c r="V33" s="9"/>
      <c r="W33" s="2"/>
      <c r="X33" s="2"/>
      <c r="Y33" s="2"/>
      <c r="Z33" s="2"/>
      <c r="AA33" s="2"/>
      <c r="AB33" s="2"/>
      <c r="AC33" s="2"/>
      <c r="AD33" s="2"/>
      <c r="AE33" s="9"/>
      <c r="AF33" s="9"/>
    </row>
    <row x14ac:dyDescent="0.25" r="34" customHeight="1" ht="18.75">
      <c r="A34" s="2"/>
      <c r="B34" s="10">
        <v>72</v>
      </c>
      <c r="C34" s="11">
        <v>16.27777777777778</v>
      </c>
      <c r="D34" s="2"/>
      <c r="E34" s="2"/>
      <c r="F34" s="2"/>
      <c r="G34" s="2"/>
      <c r="H34" s="2"/>
      <c r="I34" s="11">
        <v>23.514572864321607</v>
      </c>
      <c r="J34" s="2"/>
      <c r="K34" s="9"/>
      <c r="L34" s="8"/>
      <c r="M34" s="2"/>
      <c r="N34" s="2"/>
      <c r="O34" s="2"/>
      <c r="P34" s="2"/>
      <c r="Q34" s="2"/>
      <c r="R34" s="2"/>
      <c r="S34" s="2"/>
      <c r="T34" s="2"/>
      <c r="U34" s="2"/>
      <c r="V34" s="9"/>
      <c r="W34" s="2"/>
      <c r="X34" s="2"/>
      <c r="Y34" s="2"/>
      <c r="Z34" s="2"/>
      <c r="AA34" s="2"/>
      <c r="AB34" s="2"/>
      <c r="AC34" s="2"/>
      <c r="AD34" s="2"/>
      <c r="AE34" s="9"/>
      <c r="AF34" s="9"/>
    </row>
    <row x14ac:dyDescent="0.25" r="35" customHeight="1" ht="18.75">
      <c r="A35" s="2"/>
      <c r="B35" s="10">
        <v>73</v>
      </c>
      <c r="C35" s="11">
        <v>15.03448275862069</v>
      </c>
      <c r="D35" s="2"/>
      <c r="E35" s="2"/>
      <c r="F35" s="2"/>
      <c r="G35" s="2"/>
      <c r="H35" s="2"/>
      <c r="I35" s="8"/>
      <c r="J35" s="2"/>
      <c r="K35" s="9"/>
      <c r="L35" s="8"/>
      <c r="M35" s="2"/>
      <c r="N35" s="2"/>
      <c r="O35" s="2"/>
      <c r="P35" s="2"/>
      <c r="Q35" s="2"/>
      <c r="R35" s="2"/>
      <c r="S35" s="2"/>
      <c r="T35" s="2"/>
      <c r="U35" s="2"/>
      <c r="V35" s="9"/>
      <c r="W35" s="2"/>
      <c r="X35" s="2"/>
      <c r="Y35" s="2"/>
      <c r="Z35" s="2"/>
      <c r="AA35" s="2"/>
      <c r="AB35" s="2"/>
      <c r="AC35" s="2"/>
      <c r="AD35" s="2"/>
      <c r="AE35" s="9"/>
      <c r="AF35" s="9"/>
    </row>
    <row x14ac:dyDescent="0.25" r="36" customHeight="1" ht="18.75">
      <c r="A36" s="2"/>
      <c r="B36" s="10">
        <v>74</v>
      </c>
      <c r="C36" s="11">
        <v>18.333333333333332</v>
      </c>
      <c r="D36" s="2"/>
      <c r="E36" s="2"/>
      <c r="F36" s="2"/>
      <c r="G36" s="2"/>
      <c r="H36" s="2"/>
      <c r="I36" s="8" t="s">
        <v>25</v>
      </c>
      <c r="J36" s="2"/>
      <c r="K36" s="9"/>
      <c r="L36" s="8"/>
      <c r="M36" s="2"/>
      <c r="N36" s="2"/>
      <c r="O36" s="2"/>
      <c r="P36" s="2"/>
      <c r="Q36" s="2"/>
      <c r="R36" s="2"/>
      <c r="S36" s="2"/>
      <c r="T36" s="2"/>
      <c r="U36" s="2"/>
      <c r="V36" s="9"/>
      <c r="W36" s="2"/>
      <c r="X36" s="2"/>
      <c r="Y36" s="2"/>
      <c r="Z36" s="2"/>
      <c r="AA36" s="2"/>
      <c r="AB36" s="2"/>
      <c r="AC36" s="2"/>
      <c r="AD36" s="2"/>
      <c r="AE36" s="9"/>
      <c r="AF36" s="9"/>
    </row>
    <row x14ac:dyDescent="0.25" r="37" customHeight="1" ht="18.75">
      <c r="A37" s="2"/>
      <c r="B37" s="10">
        <v>75</v>
      </c>
      <c r="C37" s="11">
        <v>17.55</v>
      </c>
      <c r="D37" s="2"/>
      <c r="E37" s="2"/>
      <c r="F37" s="2"/>
      <c r="G37" s="2"/>
      <c r="H37" s="2"/>
      <c r="I37" s="11">
        <v>104.46938775510205</v>
      </c>
      <c r="J37" s="2"/>
      <c r="K37" s="9"/>
      <c r="L37" s="8"/>
      <c r="M37" s="2"/>
      <c r="N37" s="2"/>
      <c r="O37" s="2"/>
      <c r="P37" s="2"/>
      <c r="Q37" s="2"/>
      <c r="R37" s="2"/>
      <c r="S37" s="2"/>
      <c r="T37" s="2"/>
      <c r="U37" s="2"/>
      <c r="V37" s="9"/>
      <c r="W37" s="2"/>
      <c r="X37" s="2"/>
      <c r="Y37" s="2"/>
      <c r="Z37" s="2"/>
      <c r="AA37" s="2"/>
      <c r="AB37" s="2"/>
      <c r="AC37" s="2"/>
      <c r="AD37" s="2"/>
      <c r="AE37" s="9"/>
      <c r="AF37" s="9"/>
    </row>
    <row x14ac:dyDescent="0.25" r="38" customHeight="1" ht="18.75">
      <c r="A38" s="2"/>
      <c r="B38" s="10">
        <v>76</v>
      </c>
      <c r="C38" s="11">
        <v>19.431818181818183</v>
      </c>
      <c r="D38" s="2"/>
      <c r="E38" s="2"/>
      <c r="F38" s="2"/>
      <c r="G38" s="2"/>
      <c r="H38" s="2"/>
      <c r="I38" s="8"/>
      <c r="J38" s="2"/>
      <c r="K38" s="9"/>
      <c r="L38" s="8"/>
      <c r="M38" s="2"/>
      <c r="N38" s="2"/>
      <c r="O38" s="2"/>
      <c r="P38" s="2"/>
      <c r="Q38" s="2"/>
      <c r="R38" s="2"/>
      <c r="S38" s="2"/>
      <c r="T38" s="2"/>
      <c r="U38" s="2"/>
      <c r="V38" s="9"/>
      <c r="W38" s="2"/>
      <c r="X38" s="2"/>
      <c r="Y38" s="2"/>
      <c r="Z38" s="2"/>
      <c r="AA38" s="2"/>
      <c r="AB38" s="2"/>
      <c r="AC38" s="2"/>
      <c r="AD38" s="2"/>
      <c r="AE38" s="9"/>
      <c r="AF38" s="9"/>
    </row>
    <row x14ac:dyDescent="0.25" r="39" customHeight="1" ht="18.75">
      <c r="A39" s="2"/>
      <c r="B39" s="10">
        <v>77</v>
      </c>
      <c r="C39" s="11">
        <v>20.72222222222222</v>
      </c>
      <c r="D39" s="2"/>
      <c r="E39" s="2"/>
      <c r="F39" s="2"/>
      <c r="G39" s="2"/>
      <c r="H39" s="2"/>
      <c r="I39" s="8"/>
      <c r="J39" s="2"/>
      <c r="K39" s="9"/>
      <c r="L39" s="8"/>
      <c r="M39" s="2"/>
      <c r="N39" s="2"/>
      <c r="O39" s="2"/>
      <c r="P39" s="2"/>
      <c r="Q39" s="2"/>
      <c r="R39" s="2"/>
      <c r="S39" s="2"/>
      <c r="T39" s="2"/>
      <c r="U39" s="2"/>
      <c r="V39" s="9"/>
      <c r="W39" s="2"/>
      <c r="X39" s="2"/>
      <c r="Y39" s="2"/>
      <c r="Z39" s="2"/>
      <c r="AA39" s="2"/>
      <c r="AB39" s="2"/>
      <c r="AC39" s="2"/>
      <c r="AD39" s="2"/>
      <c r="AE39" s="9"/>
      <c r="AF39" s="9"/>
    </row>
    <row x14ac:dyDescent="0.25" r="40" customHeight="1" ht="18.75">
      <c r="A40" s="2"/>
      <c r="B40" s="10">
        <v>78</v>
      </c>
      <c r="C40" s="11">
        <v>21.772727272727266</v>
      </c>
      <c r="D40" s="2"/>
      <c r="E40" s="2"/>
      <c r="F40" s="2"/>
      <c r="G40" s="2"/>
      <c r="H40" s="2"/>
      <c r="I40" s="8"/>
      <c r="J40" s="2"/>
      <c r="K40" s="9"/>
      <c r="L40" s="8"/>
      <c r="M40" s="2"/>
      <c r="N40" s="2"/>
      <c r="O40" s="2"/>
      <c r="P40" s="2"/>
      <c r="Q40" s="2"/>
      <c r="R40" s="2"/>
      <c r="S40" s="2"/>
      <c r="T40" s="2"/>
      <c r="U40" s="2"/>
      <c r="V40" s="9"/>
      <c r="W40" s="2"/>
      <c r="X40" s="2"/>
      <c r="Y40" s="2"/>
      <c r="Z40" s="2"/>
      <c r="AA40" s="2"/>
      <c r="AB40" s="2"/>
      <c r="AC40" s="2"/>
      <c r="AD40" s="2"/>
      <c r="AE40" s="9"/>
      <c r="AF40" s="9"/>
    </row>
    <row x14ac:dyDescent="0.25" r="41" customHeight="1" ht="18.75">
      <c r="A41" s="2"/>
      <c r="B41" s="10">
        <v>79</v>
      </c>
      <c r="C41" s="11">
        <v>23.47826086956522</v>
      </c>
      <c r="D41" s="2"/>
      <c r="E41" s="2"/>
      <c r="F41" s="2"/>
      <c r="G41" s="2"/>
      <c r="H41" s="2"/>
      <c r="I41" s="8"/>
      <c r="J41" s="2"/>
      <c r="K41" s="9"/>
      <c r="L41" s="8"/>
      <c r="M41" s="2"/>
      <c r="N41" s="2"/>
      <c r="O41" s="2"/>
      <c r="P41" s="2"/>
      <c r="Q41" s="2"/>
      <c r="R41" s="2"/>
      <c r="S41" s="2"/>
      <c r="T41" s="2"/>
      <c r="U41" s="2"/>
      <c r="V41" s="9"/>
      <c r="W41" s="2"/>
      <c r="X41" s="2"/>
      <c r="Y41" s="2"/>
      <c r="Z41" s="2"/>
      <c r="AA41" s="2"/>
      <c r="AB41" s="2"/>
      <c r="AC41" s="2"/>
      <c r="AD41" s="2"/>
      <c r="AE41" s="9"/>
      <c r="AF41" s="9"/>
    </row>
    <row x14ac:dyDescent="0.25" r="42" customHeight="1" ht="18.75">
      <c r="A42" s="2"/>
      <c r="B42" s="10">
        <v>80</v>
      </c>
      <c r="C42" s="11">
        <v>25.914285714285715</v>
      </c>
      <c r="D42" s="2"/>
      <c r="E42" s="2"/>
      <c r="F42" s="2"/>
      <c r="G42" s="2"/>
      <c r="H42" s="2"/>
      <c r="I42" s="8"/>
      <c r="J42" s="2"/>
      <c r="K42" s="9"/>
      <c r="L42" s="8"/>
      <c r="M42" s="2"/>
      <c r="N42" s="2"/>
      <c r="O42" s="2"/>
      <c r="P42" s="2"/>
      <c r="Q42" s="2"/>
      <c r="R42" s="2"/>
      <c r="S42" s="2"/>
      <c r="T42" s="2"/>
      <c r="U42" s="2"/>
      <c r="V42" s="9"/>
      <c r="W42" s="2"/>
      <c r="X42" s="2"/>
      <c r="Y42" s="2"/>
      <c r="Z42" s="2"/>
      <c r="AA42" s="2"/>
      <c r="AB42" s="2"/>
      <c r="AC42" s="2"/>
      <c r="AD42" s="2"/>
      <c r="AE42" s="9"/>
      <c r="AF42" s="9"/>
    </row>
    <row x14ac:dyDescent="0.25" r="43" customHeight="1" ht="18.75">
      <c r="A43" s="2"/>
      <c r="B43" s="10">
        <v>81</v>
      </c>
      <c r="C43" s="11">
        <v>27.530769230769234</v>
      </c>
      <c r="D43" s="2"/>
      <c r="E43" s="2"/>
      <c r="F43" s="2"/>
      <c r="G43" s="2"/>
      <c r="H43" s="2"/>
      <c r="I43" s="8"/>
      <c r="J43" s="2"/>
      <c r="K43" s="9"/>
      <c r="L43" s="8"/>
      <c r="M43" s="2"/>
      <c r="N43" s="2"/>
      <c r="O43" s="2"/>
      <c r="P43" s="2"/>
      <c r="Q43" s="2"/>
      <c r="R43" s="2"/>
      <c r="S43" s="2"/>
      <c r="T43" s="2"/>
      <c r="U43" s="2"/>
      <c r="V43" s="9"/>
      <c r="W43" s="2"/>
      <c r="X43" s="2"/>
      <c r="Y43" s="2"/>
      <c r="Z43" s="2"/>
      <c r="AA43" s="2"/>
      <c r="AB43" s="2"/>
      <c r="AC43" s="2"/>
      <c r="AD43" s="2"/>
      <c r="AE43" s="9"/>
      <c r="AF43" s="9"/>
    </row>
    <row x14ac:dyDescent="0.25" r="44" customHeight="1" ht="18.75">
      <c r="A44" s="2"/>
      <c r="B44" s="10">
        <v>82</v>
      </c>
      <c r="C44" s="11">
        <v>29.45</v>
      </c>
      <c r="D44" s="2"/>
      <c r="E44" s="2"/>
      <c r="F44" s="2"/>
      <c r="G44" s="2"/>
      <c r="H44" s="2"/>
      <c r="I44" s="8"/>
      <c r="J44" s="2"/>
      <c r="K44" s="9"/>
      <c r="L44" s="8"/>
      <c r="M44" s="2"/>
      <c r="N44" s="2"/>
      <c r="O44" s="2"/>
      <c r="P44" s="2"/>
      <c r="Q44" s="2"/>
      <c r="R44" s="2"/>
      <c r="S44" s="2"/>
      <c r="T44" s="2"/>
      <c r="U44" s="2"/>
      <c r="V44" s="9"/>
      <c r="W44" s="2"/>
      <c r="X44" s="2"/>
      <c r="Y44" s="2"/>
      <c r="Z44" s="2"/>
      <c r="AA44" s="2"/>
      <c r="AB44" s="2"/>
      <c r="AC44" s="2"/>
      <c r="AD44" s="2"/>
      <c r="AE44" s="9"/>
      <c r="AF44" s="9"/>
    </row>
    <row x14ac:dyDescent="0.25" r="45" customHeight="1" ht="18.75">
      <c r="A45" s="2"/>
      <c r="B45" s="10" t="s">
        <v>30</v>
      </c>
      <c r="C45" s="11">
        <v>23.514572864321607</v>
      </c>
      <c r="D45" s="2"/>
      <c r="E45" s="2"/>
      <c r="F45" s="2"/>
      <c r="G45" s="2"/>
      <c r="H45" s="2"/>
      <c r="I45" s="8"/>
      <c r="J45" s="2"/>
      <c r="K45" s="9"/>
      <c r="L45" s="8"/>
      <c r="M45" s="2"/>
      <c r="N45" s="2"/>
      <c r="O45" s="2"/>
      <c r="P45" s="2"/>
      <c r="Q45" s="2"/>
      <c r="R45" s="2"/>
      <c r="S45" s="2"/>
      <c r="T45" s="2"/>
      <c r="U45" s="2"/>
      <c r="V45" s="9"/>
      <c r="W45" s="2"/>
      <c r="X45" s="2"/>
      <c r="Y45" s="2"/>
      <c r="Z45" s="2"/>
      <c r="AA45" s="2"/>
      <c r="AB45" s="2"/>
      <c r="AC45" s="2"/>
      <c r="AD45" s="2"/>
      <c r="AE45" s="9"/>
      <c r="AF45" s="9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D11"/>
  <sheetViews>
    <sheetView workbookViewId="0"/>
  </sheetViews>
  <sheetFormatPr defaultRowHeight="15" x14ac:dyDescent="0.25"/>
  <cols>
    <col min="1" max="1" style="4" width="9.576428571428572" customWidth="1" bestFit="1"/>
    <col min="2" max="2" style="5" width="46.29071428571429" customWidth="1" bestFit="1"/>
    <col min="3" max="3" style="5" width="9.719285714285713" customWidth="1" bestFit="1"/>
    <col min="4" max="4" style="5" width="12.43357142857143" customWidth="1" bestFit="1"/>
  </cols>
  <sheetData>
    <row x14ac:dyDescent="0.25" r="1" customHeight="1" ht="18.75">
      <c r="A1" s="1" t="s">
        <v>0</v>
      </c>
      <c r="B1" s="2" t="s">
        <v>1</v>
      </c>
      <c r="C1" s="2" t="s">
        <v>2</v>
      </c>
      <c r="D1" s="2" t="s">
        <v>3</v>
      </c>
    </row>
    <row x14ac:dyDescent="0.25" r="2" customHeight="1" ht="18.75">
      <c r="A2" s="3">
        <v>1</v>
      </c>
      <c r="B2" s="2" t="s">
        <v>4</v>
      </c>
      <c r="C2" s="2" t="s">
        <v>5</v>
      </c>
      <c r="D2" s="2" t="s">
        <v>6</v>
      </c>
    </row>
    <row x14ac:dyDescent="0.25" r="3" customHeight="1" ht="18.75">
      <c r="A3" s="3">
        <v>2</v>
      </c>
      <c r="B3" s="2" t="s">
        <v>7</v>
      </c>
      <c r="C3" s="2" t="s">
        <v>5</v>
      </c>
      <c r="D3" s="2" t="s">
        <v>6</v>
      </c>
    </row>
    <row x14ac:dyDescent="0.25" r="4" customHeight="1" ht="18.75">
      <c r="A4" s="3">
        <v>3</v>
      </c>
      <c r="B4" s="2" t="s">
        <v>8</v>
      </c>
      <c r="C4" s="2" t="s">
        <v>5</v>
      </c>
      <c r="D4" s="2" t="s">
        <v>6</v>
      </c>
    </row>
    <row x14ac:dyDescent="0.25" r="5" customHeight="1" ht="18.75">
      <c r="A5" s="3">
        <v>4</v>
      </c>
      <c r="B5" s="2" t="s">
        <v>9</v>
      </c>
      <c r="C5" s="2" t="s">
        <v>10</v>
      </c>
      <c r="D5" s="2" t="s">
        <v>6</v>
      </c>
    </row>
    <row x14ac:dyDescent="0.25" r="6" customHeight="1" ht="18.75">
      <c r="A6" s="3">
        <v>5</v>
      </c>
      <c r="B6" s="2" t="s">
        <v>11</v>
      </c>
      <c r="C6" s="2" t="s">
        <v>10</v>
      </c>
      <c r="D6" s="2" t="s">
        <v>6</v>
      </c>
    </row>
    <row x14ac:dyDescent="0.25" r="7" customHeight="1" ht="18.75">
      <c r="A7" s="3">
        <v>6</v>
      </c>
      <c r="B7" s="2" t="s">
        <v>12</v>
      </c>
      <c r="C7" s="2" t="s">
        <v>10</v>
      </c>
      <c r="D7" s="2" t="s">
        <v>6</v>
      </c>
    </row>
    <row x14ac:dyDescent="0.25" r="8" customHeight="1" ht="18.75">
      <c r="A8" s="3">
        <v>7</v>
      </c>
      <c r="B8" s="2" t="s">
        <v>13</v>
      </c>
      <c r="C8" s="2" t="s">
        <v>14</v>
      </c>
      <c r="D8" s="2" t="s">
        <v>6</v>
      </c>
    </row>
    <row x14ac:dyDescent="0.25" r="9" customHeight="1" ht="18.75">
      <c r="A9" s="3">
        <v>8</v>
      </c>
      <c r="B9" s="2" t="s">
        <v>15</v>
      </c>
      <c r="C9" s="2" t="s">
        <v>14</v>
      </c>
      <c r="D9" s="2" t="s">
        <v>6</v>
      </c>
    </row>
    <row x14ac:dyDescent="0.25" r="10" customHeight="1" ht="18.75">
      <c r="A10" s="3">
        <v>9</v>
      </c>
      <c r="B10" s="2" t="s">
        <v>16</v>
      </c>
      <c r="C10" s="2" t="s">
        <v>14</v>
      </c>
      <c r="D10" s="2" t="s">
        <v>6</v>
      </c>
    </row>
    <row x14ac:dyDescent="0.25" r="11" customHeight="1" ht="18.75">
      <c r="A11" s="3">
        <v>10</v>
      </c>
      <c r="B11" s="2" t="s">
        <v>17</v>
      </c>
      <c r="C11" s="2" t="s">
        <v>14</v>
      </c>
      <c r="D11" s="2" t="s">
        <v>18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12</vt:i4>
      </vt:variant>
    </vt:vector>
  </HeadingPairs>
  <TitlesOfParts>
    <vt:vector baseType="lpstr" size="12">
      <vt:lpstr>Automobile</vt:lpstr>
      <vt:lpstr>Outliers in MPG</vt:lpstr>
      <vt:lpstr>MPG X Displacement</vt:lpstr>
      <vt:lpstr>Pivot table for MPG Statistics</vt:lpstr>
      <vt:lpstr>Normalized Accelerations</vt:lpstr>
      <vt:lpstr>Performance Tiers</vt:lpstr>
      <vt:lpstr>Missing Horsepower</vt:lpstr>
      <vt:lpstr>Regression Statistics</vt:lpstr>
      <vt:lpstr>Data Table</vt:lpstr>
      <vt:lpstr>Fuel Efficiency Trends</vt:lpstr>
      <vt:lpstr>Dashboard</vt:lpstr>
      <vt:lpstr>TODOS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2025-11-13T20:43:32.451Z</dcterms:created>
  <dcterms:modified xsi:type="dcterms:W3CDTF">2025-11-13T20:43:32.451Z</dcterms:modified>
</cp:coreProperties>
</file>