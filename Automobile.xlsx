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charts/chartEx2.xml" ContentType="application/vnd.ms-office.chartex+xml"/>
  <Override PartName="/xl/charts/style6.xml" ContentType="application/vnd.ms-office.chartstyle+xml"/>
  <Override PartName="/xl/charts/colors6.xml" ContentType="application/vnd.ms-office.chartcolorstyle+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Ex4.xml" ContentType="application/vnd.ms-office.chartex+xml"/>
  <Override PartName="/xl/charts/style8.xml" ContentType="application/vnd.ms-office.chartstyle+xml"/>
  <Override PartName="/xl/charts/colors8.xml" ContentType="application/vnd.ms-office.chartcolorstyle+xml"/>
  <Override PartName="/xl/charts/chartEx5.xml" ContentType="application/vnd.ms-office.chartex+xml"/>
  <Override PartName="/xl/charts/style9.xml" ContentType="application/vnd.ms-office.chartstyle+xml"/>
  <Override PartName="/xl/charts/colors9.xml" ContentType="application/vnd.ms-office.chartcolorstyle+xml"/>
  <Override PartName="/xl/drawings/drawing7.xml" ContentType="application/vnd.openxmlformats-officedocument.drawing+xml"/>
  <Override PartName="/xl/tables/table3.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8.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10.xml" ContentType="application/vnd.ms-office.chartstyle+xml"/>
  <Override PartName="/xl/charts/colors10.xml" ContentType="application/vnd.ms-office.chartcolorstyle+xml"/>
  <Override PartName="/xl/charts/chart6.xml" ContentType="application/vnd.openxmlformats-officedocument.drawingml.chart+xml"/>
  <Override PartName="/xl/charts/style11.xml" ContentType="application/vnd.ms-office.chartstyle+xml"/>
  <Override PartName="/xl/charts/colors11.xml" ContentType="application/vnd.ms-office.chartcolorstyle+xml"/>
  <Override PartName="/xl/charts/chart7.xml" ContentType="application/vnd.openxmlformats-officedocument.drawingml.chart+xml"/>
  <Override PartName="/xl/charts/style12.xml" ContentType="application/vnd.ms-office.chartstyle+xml"/>
  <Override PartName="/xl/charts/colors12.xml" ContentType="application/vnd.ms-office.chartcolorstyle+xml"/>
  <Override PartName="/xl/charts/chart8.xml" ContentType="application/vnd.openxmlformats-officedocument.drawingml.chart+xml"/>
  <Override PartName="/xl/charts/style13.xml" ContentType="application/vnd.ms-office.chartstyle+xml"/>
  <Override PartName="/xl/charts/colors13.xml" ContentType="application/vnd.ms-office.chartcolorstyle+xml"/>
  <Override PartName="/xl/charts/chart9.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5.xml" ContentType="application/vnd.ms-office.chartstyle+xml"/>
  <Override PartName="/xl/charts/colors15.xml" ContentType="application/vnd.ms-office.chartcolorstyle+xml"/>
  <Override PartName="/xl/charts/chart11.xml" ContentType="application/vnd.openxmlformats-officedocument.drawingml.chart+xml"/>
  <Override PartName="/xl/charts/style16.xml" ContentType="application/vnd.ms-office.chartstyle+xml"/>
  <Override PartName="/xl/charts/colors16.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b9bd25daad690427/Desktop/Vito/Work/Excel/Practice/Kaggle/"/>
    </mc:Choice>
  </mc:AlternateContent>
  <xr:revisionPtr revIDLastSave="27" documentId="8_{7F24DC0C-E6E2-4CAF-A2E2-870AB4D93DF4}" xr6:coauthVersionLast="47" xr6:coauthVersionMax="47" xr10:uidLastSave="{05BD652E-2BC5-483A-8B68-DBDC1F9C6B6D}"/>
  <bookViews>
    <workbookView xWindow="-108" yWindow="-108" windowWidth="23256" windowHeight="12456" firstSheet="6" activeTab="10" xr2:uid="{7C8D24C2-275E-47D7-8D9A-5A4CABC51262}"/>
  </bookViews>
  <sheets>
    <sheet name="Automobile" sheetId="1" r:id="rId1"/>
    <sheet name="Outliers in MPG" sheetId="6" r:id="rId2"/>
    <sheet name="MPG X Displacement" sheetId="7" r:id="rId3"/>
    <sheet name="Pivot table for MPG Statistics" sheetId="4" r:id="rId4"/>
    <sheet name="Normalized Accelerations" sheetId="9" r:id="rId5"/>
    <sheet name="Performance Tiers" sheetId="10" r:id="rId6"/>
    <sheet name="Missing Horsepower" sheetId="11" r:id="rId7"/>
    <sheet name="Regression Statistics" sheetId="14" r:id="rId8"/>
    <sheet name="Data Table" sheetId="16" r:id="rId9"/>
    <sheet name="Fuel Efficiency Trends" sheetId="17" r:id="rId10"/>
    <sheet name="Dashboard" sheetId="18" r:id="rId11"/>
    <sheet name="TODOS" sheetId="5" r:id="rId12"/>
  </sheets>
  <definedNames>
    <definedName name="_xlnm._FilterDatabase" localSheetId="0" hidden="1">Automobile!$A$1:$J$399</definedName>
    <definedName name="_xlnm._FilterDatabase" localSheetId="6" hidden="1">'Missing Horsepower'!$G$1:$K$7</definedName>
    <definedName name="_xlchart.v1.0" hidden="1">'Outliers in MPG'!$E$2:$L$2</definedName>
    <definedName name="_xlchart.v1.1" hidden="1">'Outliers in MPG'!$E$3:$L$3</definedName>
    <definedName name="_xlchart.v1.10" hidden="1">'Performance Tiers'!$C$1</definedName>
    <definedName name="_xlchart.v1.11" hidden="1">'Performance Tiers'!$C$2:$C$413</definedName>
    <definedName name="_xlchart.v1.12" hidden="1">'Performance Tiers'!$D$1</definedName>
    <definedName name="_xlchart.v1.13" hidden="1">'Performance Tiers'!$D$2:$D$413</definedName>
    <definedName name="_xlchart.v1.2" hidden="1">'Performance Tiers'!$B$1</definedName>
    <definedName name="_xlchart.v1.3" hidden="1">'Performance Tiers'!$B$2:$B$413</definedName>
    <definedName name="_xlchart.v1.4" hidden="1">'Performance Tiers'!$C$1</definedName>
    <definedName name="_xlchart.v1.5" hidden="1">'Performance Tiers'!$C$2:$C$413</definedName>
    <definedName name="_xlchart.v1.6" hidden="1">'Performance Tiers'!$D$1</definedName>
    <definedName name="_xlchart.v1.7" hidden="1">'Performance Tiers'!$D$2:$D$413</definedName>
    <definedName name="_xlchart.v1.8" hidden="1">'Performance Tiers'!$B$1</definedName>
    <definedName name="_xlchart.v1.9" hidden="1">'Performance Tiers'!$B$2:$B$413</definedName>
    <definedName name="horsepower">'Fuel Efficiency Trends'!$I$37</definedName>
    <definedName name="mpg">'Fuel Efficiency Trends'!$I$34</definedName>
    <definedName name="namecount">'Fuel Efficiency Trends'!$I$30</definedName>
    <definedName name="Slicer_cylinders">#N/A</definedName>
    <definedName name="Slicer_model_year">#N/A</definedName>
    <definedName name="Slicer_origin">#N/A</definedName>
  </definedNames>
  <calcPr calcId="181029"/>
  <pivotCaches>
    <pivotCache cacheId="0" r:id="rId13"/>
    <pivotCache cacheId="1" r:id="rId14"/>
    <pivotCache cacheId="2"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H399" i="16" l="1"/>
  <c r="H398" i="16"/>
  <c r="H397" i="16"/>
  <c r="H396" i="16"/>
  <c r="H395" i="16"/>
  <c r="H394" i="16"/>
  <c r="H393" i="16"/>
  <c r="H392" i="16"/>
  <c r="H391" i="16"/>
  <c r="H390" i="16"/>
  <c r="H389" i="16"/>
  <c r="H388" i="16"/>
  <c r="H387" i="16"/>
  <c r="H386" i="16"/>
  <c r="H385" i="16"/>
  <c r="H384" i="16"/>
  <c r="H383" i="16"/>
  <c r="H382" i="16"/>
  <c r="H381" i="16"/>
  <c r="H380" i="16"/>
  <c r="H379" i="16"/>
  <c r="H378" i="16"/>
  <c r="H377" i="16"/>
  <c r="H376" i="16"/>
  <c r="H375" i="16"/>
  <c r="H374" i="16"/>
  <c r="H373" i="16"/>
  <c r="H372" i="16"/>
  <c r="H371" i="16"/>
  <c r="H370" i="16"/>
  <c r="H369" i="16"/>
  <c r="H368" i="16"/>
  <c r="H367" i="16"/>
  <c r="H366" i="16"/>
  <c r="H365" i="16"/>
  <c r="H364" i="16"/>
  <c r="H363" i="16"/>
  <c r="H362" i="16"/>
  <c r="H361" i="16"/>
  <c r="H360" i="16"/>
  <c r="H359" i="16"/>
  <c r="H358" i="16"/>
  <c r="H357" i="16"/>
  <c r="H356" i="16"/>
  <c r="H355" i="16"/>
  <c r="H354" i="16"/>
  <c r="H353" i="16"/>
  <c r="H352" i="16"/>
  <c r="H351" i="16"/>
  <c r="H350" i="16"/>
  <c r="H349" i="16"/>
  <c r="H348" i="16"/>
  <c r="H347" i="16"/>
  <c r="H346" i="16"/>
  <c r="H345" i="16"/>
  <c r="H344" i="16"/>
  <c r="H343" i="16"/>
  <c r="H342" i="16"/>
  <c r="H341" i="16"/>
  <c r="H340" i="16"/>
  <c r="H339" i="16"/>
  <c r="H338" i="16"/>
  <c r="H337" i="16"/>
  <c r="H336" i="16"/>
  <c r="H335" i="16"/>
  <c r="H334" i="16"/>
  <c r="H333" i="16"/>
  <c r="H332" i="16"/>
  <c r="H331" i="16"/>
  <c r="H330" i="16"/>
  <c r="H329" i="16"/>
  <c r="H328" i="16"/>
  <c r="H327" i="16"/>
  <c r="H326" i="16"/>
  <c r="H325" i="16"/>
  <c r="H324" i="16"/>
  <c r="H323" i="16"/>
  <c r="H322" i="16"/>
  <c r="H321" i="16"/>
  <c r="H320" i="16"/>
  <c r="H319" i="16"/>
  <c r="H318" i="16"/>
  <c r="H317" i="16"/>
  <c r="H316" i="16"/>
  <c r="H315" i="16"/>
  <c r="H314" i="16"/>
  <c r="H313" i="16"/>
  <c r="H312" i="16"/>
  <c r="H311" i="16"/>
  <c r="H310" i="16"/>
  <c r="H309" i="16"/>
  <c r="H308" i="16"/>
  <c r="H307" i="16"/>
  <c r="H306" i="16"/>
  <c r="H305" i="16"/>
  <c r="H304" i="16"/>
  <c r="H303" i="16"/>
  <c r="H302" i="16"/>
  <c r="H301" i="16"/>
  <c r="H300" i="16"/>
  <c r="H299" i="16"/>
  <c r="H298" i="16"/>
  <c r="H297" i="16"/>
  <c r="H296" i="16"/>
  <c r="H295" i="16"/>
  <c r="H294" i="16"/>
  <c r="H293" i="16"/>
  <c r="H292" i="16"/>
  <c r="H291" i="16"/>
  <c r="H290" i="16"/>
  <c r="H289" i="16"/>
  <c r="H288" i="16"/>
  <c r="H287" i="16"/>
  <c r="H286" i="16"/>
  <c r="H285" i="16"/>
  <c r="H284" i="16"/>
  <c r="H283" i="16"/>
  <c r="H282" i="16"/>
  <c r="H281" i="16"/>
  <c r="H280" i="16"/>
  <c r="H279" i="16"/>
  <c r="H278" i="16"/>
  <c r="H277" i="16"/>
  <c r="H276" i="16"/>
  <c r="H275" i="16"/>
  <c r="H274" i="16"/>
  <c r="H273" i="16"/>
  <c r="H272" i="16"/>
  <c r="H271" i="16"/>
  <c r="H270" i="16"/>
  <c r="H269" i="16"/>
  <c r="H268" i="16"/>
  <c r="H267" i="16"/>
  <c r="H266" i="16"/>
  <c r="H265" i="16"/>
  <c r="H264" i="16"/>
  <c r="H263" i="16"/>
  <c r="H262" i="16"/>
  <c r="H261" i="16"/>
  <c r="H260" i="16"/>
  <c r="H259" i="16"/>
  <c r="H258" i="16"/>
  <c r="H257" i="16"/>
  <c r="H256" i="16"/>
  <c r="H255" i="16"/>
  <c r="H254" i="16"/>
  <c r="H253" i="16"/>
  <c r="H252" i="16"/>
  <c r="H251" i="16"/>
  <c r="H250" i="16"/>
  <c r="H249" i="16"/>
  <c r="H248" i="16"/>
  <c r="H247" i="16"/>
  <c r="H246" i="16"/>
  <c r="H245" i="16"/>
  <c r="H244" i="16"/>
  <c r="H243" i="16"/>
  <c r="H242" i="16"/>
  <c r="H241" i="16"/>
  <c r="H240" i="16"/>
  <c r="H239" i="16"/>
  <c r="H238" i="16"/>
  <c r="H237" i="16"/>
  <c r="H236" i="16"/>
  <c r="H235" i="16"/>
  <c r="H234" i="16"/>
  <c r="H233" i="16"/>
  <c r="H232" i="16"/>
  <c r="H231" i="16"/>
  <c r="H230" i="16"/>
  <c r="H229" i="16"/>
  <c r="H228" i="16"/>
  <c r="H227" i="16"/>
  <c r="H226" i="16"/>
  <c r="H225" i="16"/>
  <c r="H224" i="16"/>
  <c r="H223" i="16"/>
  <c r="H222" i="16"/>
  <c r="H221" i="16"/>
  <c r="H220" i="16"/>
  <c r="H219" i="16"/>
  <c r="H218" i="16"/>
  <c r="H217" i="16"/>
  <c r="H216" i="16"/>
  <c r="H215" i="16"/>
  <c r="H214" i="16"/>
  <c r="H213" i="16"/>
  <c r="H212" i="16"/>
  <c r="H211" i="16"/>
  <c r="H210" i="16"/>
  <c r="H209" i="16"/>
  <c r="H208" i="16"/>
  <c r="H207" i="16"/>
  <c r="H206" i="16"/>
  <c r="H205" i="16"/>
  <c r="H204" i="16"/>
  <c r="H203" i="16"/>
  <c r="H202" i="16"/>
  <c r="H201" i="16"/>
  <c r="H200" i="16"/>
  <c r="H199" i="16"/>
  <c r="H198" i="16"/>
  <c r="H197" i="16"/>
  <c r="H196" i="16"/>
  <c r="H195" i="16"/>
  <c r="H194" i="16"/>
  <c r="H193" i="16"/>
  <c r="H192" i="16"/>
  <c r="H191" i="16"/>
  <c r="H190" i="16"/>
  <c r="H189" i="16"/>
  <c r="H188" i="16"/>
  <c r="H187" i="16"/>
  <c r="H186" i="16"/>
  <c r="H185" i="16"/>
  <c r="H184" i="16"/>
  <c r="H183" i="16"/>
  <c r="H182" i="16"/>
  <c r="H181" i="16"/>
  <c r="H180" i="16"/>
  <c r="H179" i="16"/>
  <c r="H178" i="16"/>
  <c r="H177" i="16"/>
  <c r="H176" i="16"/>
  <c r="H175" i="16"/>
  <c r="H174" i="16"/>
  <c r="H173" i="16"/>
  <c r="H172" i="16"/>
  <c r="H171" i="16"/>
  <c r="H170" i="16"/>
  <c r="H169" i="16"/>
  <c r="H168" i="16"/>
  <c r="H167" i="16"/>
  <c r="H166" i="16"/>
  <c r="H165" i="16"/>
  <c r="H164" i="16"/>
  <c r="H163" i="16"/>
  <c r="H162" i="16"/>
  <c r="H161" i="16"/>
  <c r="H160" i="16"/>
  <c r="H159" i="16"/>
  <c r="H158" i="16"/>
  <c r="H157" i="16"/>
  <c r="H156" i="16"/>
  <c r="H155" i="16"/>
  <c r="H154" i="16"/>
  <c r="H153" i="16"/>
  <c r="H152" i="16"/>
  <c r="H151" i="16"/>
  <c r="H150" i="16"/>
  <c r="H149" i="16"/>
  <c r="H148" i="16"/>
  <c r="H147" i="16"/>
  <c r="H146" i="16"/>
  <c r="H145" i="16"/>
  <c r="H144" i="16"/>
  <c r="H143" i="16"/>
  <c r="H142" i="16"/>
  <c r="H141" i="16"/>
  <c r="H140" i="16"/>
  <c r="H139" i="16"/>
  <c r="H138" i="16"/>
  <c r="H137" i="16"/>
  <c r="H136" i="16"/>
  <c r="H135" i="16"/>
  <c r="H134" i="16"/>
  <c r="H133" i="16"/>
  <c r="H132" i="16"/>
  <c r="H131" i="16"/>
  <c r="H130" i="16"/>
  <c r="H129" i="16"/>
  <c r="H128" i="16"/>
  <c r="H127" i="16"/>
  <c r="H126" i="16"/>
  <c r="H125" i="16"/>
  <c r="H124" i="16"/>
  <c r="H123" i="16"/>
  <c r="H122" i="16"/>
  <c r="H121" i="16"/>
  <c r="H120" i="16"/>
  <c r="H119" i="16"/>
  <c r="H118" i="16"/>
  <c r="H117" i="16"/>
  <c r="H116" i="16"/>
  <c r="H115" i="16"/>
  <c r="H114" i="16"/>
  <c r="H113" i="16"/>
  <c r="H112" i="16"/>
  <c r="H111" i="16"/>
  <c r="H110" i="16"/>
  <c r="H109" i="16"/>
  <c r="H108" i="16"/>
  <c r="H107" i="16"/>
  <c r="H106" i="16"/>
  <c r="H105" i="16"/>
  <c r="H104" i="16"/>
  <c r="H103" i="16"/>
  <c r="H102" i="16"/>
  <c r="H101" i="16"/>
  <c r="H100" i="16"/>
  <c r="H99" i="16"/>
  <c r="H98" i="16"/>
  <c r="H97" i="16"/>
  <c r="H96" i="16"/>
  <c r="H95" i="16"/>
  <c r="H94" i="16"/>
  <c r="H93" i="16"/>
  <c r="H92" i="16"/>
  <c r="H91" i="16"/>
  <c r="H90" i="16"/>
  <c r="H89" i="16"/>
  <c r="H88" i="16"/>
  <c r="H87" i="16"/>
  <c r="H86" i="16"/>
  <c r="H85" i="16"/>
  <c r="H84" i="16"/>
  <c r="H83" i="16"/>
  <c r="H82" i="16"/>
  <c r="H81" i="16"/>
  <c r="H80" i="16"/>
  <c r="H79" i="16"/>
  <c r="H78" i="16"/>
  <c r="H77" i="16"/>
  <c r="H76" i="16"/>
  <c r="H75" i="16"/>
  <c r="H74" i="16"/>
  <c r="H73" i="16"/>
  <c r="H72" i="16"/>
  <c r="H71" i="16"/>
  <c r="H70" i="16"/>
  <c r="H69" i="16"/>
  <c r="H68" i="16"/>
  <c r="H67" i="16"/>
  <c r="H66" i="16"/>
  <c r="H65" i="16"/>
  <c r="H64" i="16"/>
  <c r="H63" i="16"/>
  <c r="H62" i="16"/>
  <c r="H61" i="16"/>
  <c r="H60" i="16"/>
  <c r="H59" i="16"/>
  <c r="H58" i="16"/>
  <c r="H57" i="16"/>
  <c r="H56" i="16"/>
  <c r="H55" i="16"/>
  <c r="H54" i="16"/>
  <c r="H53" i="16"/>
  <c r="H52" i="16"/>
  <c r="H51" i="16"/>
  <c r="H50" i="16"/>
  <c r="H49" i="16"/>
  <c r="H48" i="16"/>
  <c r="H47" i="16"/>
  <c r="H46" i="16"/>
  <c r="H45" i="16"/>
  <c r="H44" i="16"/>
  <c r="H43" i="16"/>
  <c r="H42" i="16"/>
  <c r="H41" i="16"/>
  <c r="H40" i="16"/>
  <c r="H39" i="16"/>
  <c r="H38" i="16"/>
  <c r="H37" i="16"/>
  <c r="H36" i="16"/>
  <c r="H35" i="16"/>
  <c r="H34" i="16"/>
  <c r="H33" i="16"/>
  <c r="H32" i="16"/>
  <c r="H31" i="16"/>
  <c r="H30" i="16"/>
  <c r="H29" i="16"/>
  <c r="H28" i="16"/>
  <c r="H27" i="16"/>
  <c r="H26" i="16"/>
  <c r="H25" i="16"/>
  <c r="H24" i="16"/>
  <c r="H23" i="16"/>
  <c r="H22" i="16"/>
  <c r="H21" i="16"/>
  <c r="H20" i="16"/>
  <c r="H19" i="16"/>
  <c r="H18" i="16"/>
  <c r="H17" i="16"/>
  <c r="H16" i="16"/>
  <c r="H15" i="16"/>
  <c r="H14" i="16"/>
  <c r="H13" i="16"/>
  <c r="H12" i="16"/>
  <c r="H11" i="16"/>
  <c r="H10" i="16"/>
  <c r="H9" i="16"/>
  <c r="H8" i="16"/>
  <c r="H7" i="16"/>
  <c r="H6" i="16"/>
  <c r="H5" i="16"/>
  <c r="H4" i="16"/>
  <c r="H3" i="16"/>
  <c r="H2" i="16"/>
  <c r="N5" i="14"/>
  <c r="N6" i="14"/>
  <c r="N4" i="14"/>
  <c r="N7" i="14"/>
  <c r="N8" i="14"/>
  <c r="N3" i="14"/>
  <c r="F6" i="10" l="1"/>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5" i="10"/>
  <c r="F4" i="10"/>
  <c r="F3" i="10"/>
  <c r="F2" i="10"/>
  <c r="D3" i="9" l="1"/>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264" i="9"/>
  <c r="D265" i="9"/>
  <c r="D266" i="9"/>
  <c r="D267" i="9"/>
  <c r="D268" i="9"/>
  <c r="D269" i="9"/>
  <c r="D270" i="9"/>
  <c r="D271" i="9"/>
  <c r="D272" i="9"/>
  <c r="D273" i="9"/>
  <c r="D274" i="9"/>
  <c r="D275" i="9"/>
  <c r="D276" i="9"/>
  <c r="D277" i="9"/>
  <c r="D278" i="9"/>
  <c r="D279" i="9"/>
  <c r="D280" i="9"/>
  <c r="D281" i="9"/>
  <c r="D282" i="9"/>
  <c r="D283" i="9"/>
  <c r="D284" i="9"/>
  <c r="D285" i="9"/>
  <c r="D286" i="9"/>
  <c r="D287" i="9"/>
  <c r="D288" i="9"/>
  <c r="D289" i="9"/>
  <c r="D290" i="9"/>
  <c r="D291" i="9"/>
  <c r="D292" i="9"/>
  <c r="D293" i="9"/>
  <c r="D294" i="9"/>
  <c r="D295" i="9"/>
  <c r="D296" i="9"/>
  <c r="D297" i="9"/>
  <c r="D298" i="9"/>
  <c r="D299" i="9"/>
  <c r="D300" i="9"/>
  <c r="D301" i="9"/>
  <c r="D302" i="9"/>
  <c r="D303" i="9"/>
  <c r="D304" i="9"/>
  <c r="D305" i="9"/>
  <c r="D306" i="9"/>
  <c r="D307" i="9"/>
  <c r="D308" i="9"/>
  <c r="D309" i="9"/>
  <c r="D310" i="9"/>
  <c r="D311" i="9"/>
  <c r="D312" i="9"/>
  <c r="D313" i="9"/>
  <c r="D314" i="9"/>
  <c r="D315" i="9"/>
  <c r="D316" i="9"/>
  <c r="D317" i="9"/>
  <c r="D318" i="9"/>
  <c r="D319" i="9"/>
  <c r="D320" i="9"/>
  <c r="D321" i="9"/>
  <c r="D322" i="9"/>
  <c r="D323" i="9"/>
  <c r="D324" i="9"/>
  <c r="D325" i="9"/>
  <c r="D326" i="9"/>
  <c r="D327" i="9"/>
  <c r="D328" i="9"/>
  <c r="D329" i="9"/>
  <c r="D330" i="9"/>
  <c r="D331" i="9"/>
  <c r="D332" i="9"/>
  <c r="D333" i="9"/>
  <c r="D334" i="9"/>
  <c r="D335" i="9"/>
  <c r="D336" i="9"/>
  <c r="D337" i="9"/>
  <c r="D338" i="9"/>
  <c r="D339" i="9"/>
  <c r="D340" i="9"/>
  <c r="D341" i="9"/>
  <c r="D342" i="9"/>
  <c r="D343" i="9"/>
  <c r="D344" i="9"/>
  <c r="D345" i="9"/>
  <c r="D346" i="9"/>
  <c r="D347" i="9"/>
  <c r="D348" i="9"/>
  <c r="D349" i="9"/>
  <c r="D350" i="9"/>
  <c r="D351" i="9"/>
  <c r="D352" i="9"/>
  <c r="D353" i="9"/>
  <c r="D354" i="9"/>
  <c r="D355" i="9"/>
  <c r="D356" i="9"/>
  <c r="D357" i="9"/>
  <c r="D358" i="9"/>
  <c r="D359" i="9"/>
  <c r="D360" i="9"/>
  <c r="D361" i="9"/>
  <c r="D362" i="9"/>
  <c r="D363" i="9"/>
  <c r="D364" i="9"/>
  <c r="D365" i="9"/>
  <c r="D366" i="9"/>
  <c r="D367" i="9"/>
  <c r="D368" i="9"/>
  <c r="D369" i="9"/>
  <c r="D370" i="9"/>
  <c r="D371" i="9"/>
  <c r="D372" i="9"/>
  <c r="D373" i="9"/>
  <c r="D374" i="9"/>
  <c r="D375" i="9"/>
  <c r="D376" i="9"/>
  <c r="D377" i="9"/>
  <c r="D378" i="9"/>
  <c r="D379" i="9"/>
  <c r="D380" i="9"/>
  <c r="D381" i="9"/>
  <c r="D382" i="9"/>
  <c r="D383" i="9"/>
  <c r="D384" i="9"/>
  <c r="D385" i="9"/>
  <c r="D386" i="9"/>
  <c r="D387" i="9"/>
  <c r="D388" i="9"/>
  <c r="D389" i="9"/>
  <c r="D390" i="9"/>
  <c r="D391" i="9"/>
  <c r="D392" i="9"/>
  <c r="D393" i="9"/>
  <c r="D394" i="9"/>
  <c r="D395" i="9"/>
  <c r="D396" i="9"/>
  <c r="D397" i="9"/>
  <c r="D398" i="9"/>
  <c r="D399" i="9"/>
  <c r="D2" i="9"/>
  <c r="E111" i="9"/>
  <c r="E112" i="9"/>
  <c r="E113" i="9"/>
  <c r="E114" i="9"/>
  <c r="E124" i="9"/>
  <c r="E145" i="9"/>
  <c r="E223" i="9"/>
  <c r="E224" i="9"/>
  <c r="E225" i="9"/>
  <c r="E226" i="9"/>
  <c r="E256" i="9"/>
  <c r="E257" i="9"/>
  <c r="E334" i="9"/>
  <c r="E335" i="9"/>
  <c r="E336" i="9"/>
  <c r="E337" i="9"/>
  <c r="E366" i="9"/>
  <c r="E367" i="9"/>
  <c r="L3" i="9"/>
  <c r="K3" i="9"/>
  <c r="E77" i="9" s="1"/>
  <c r="C65" i="9"/>
  <c r="C66" i="9"/>
  <c r="C112" i="9"/>
  <c r="C113" i="9"/>
  <c r="C114" i="9"/>
  <c r="C127" i="9"/>
  <c r="C128" i="9"/>
  <c r="C129" i="9"/>
  <c r="C174" i="9"/>
  <c r="C175" i="9"/>
  <c r="C176" i="9"/>
  <c r="C222" i="9"/>
  <c r="C223" i="9"/>
  <c r="C224" i="9"/>
  <c r="C225" i="9"/>
  <c r="C226" i="9"/>
  <c r="C257" i="9"/>
  <c r="C258" i="9"/>
  <c r="C259" i="9"/>
  <c r="C270" i="9"/>
  <c r="C271" i="9"/>
  <c r="C272" i="9"/>
  <c r="C318" i="9"/>
  <c r="C339" i="9"/>
  <c r="C350" i="9"/>
  <c r="C351" i="9"/>
  <c r="C352" i="9"/>
  <c r="C353" i="9"/>
  <c r="C354" i="9"/>
  <c r="C385" i="9"/>
  <c r="C386" i="9"/>
  <c r="C387" i="9"/>
  <c r="C398" i="9"/>
  <c r="I3" i="9"/>
  <c r="C64" i="9" s="1"/>
  <c r="H3" i="9"/>
  <c r="D5" i="4"/>
  <c r="D6" i="4"/>
  <c r="D7" i="4"/>
  <c r="D8" i="4"/>
  <c r="D9" i="4"/>
  <c r="D10" i="4"/>
  <c r="D11" i="4"/>
  <c r="D12" i="4"/>
  <c r="D13" i="4"/>
  <c r="D14" i="4"/>
  <c r="D15" i="4"/>
  <c r="D16" i="4"/>
  <c r="D17" i="4"/>
  <c r="D19" i="4"/>
  <c r="D20" i="4"/>
  <c r="D21" i="4"/>
  <c r="D22" i="4"/>
  <c r="D23" i="4"/>
  <c r="D24" i="4"/>
  <c r="D25" i="4"/>
  <c r="D26" i="4"/>
  <c r="D27" i="4"/>
  <c r="D28" i="4"/>
  <c r="D29" i="4"/>
  <c r="D30" i="4"/>
  <c r="D31" i="4"/>
  <c r="D33" i="4"/>
  <c r="D34" i="4"/>
  <c r="D35" i="4"/>
  <c r="D36" i="4"/>
  <c r="D37" i="4"/>
  <c r="D38" i="4"/>
  <c r="D39" i="4"/>
  <c r="D40" i="4"/>
  <c r="D41" i="4"/>
  <c r="D42" i="4"/>
  <c r="D43" i="4"/>
  <c r="D44" i="4"/>
  <c r="D45"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 i="4"/>
  <c r="C6" i="4"/>
  <c r="C5" i="4"/>
  <c r="G10" i="4"/>
  <c r="N2" i="4"/>
  <c r="M2" i="4"/>
  <c r="L2" i="4"/>
  <c r="K2" i="4"/>
  <c r="J2" i="4"/>
  <c r="H5" i="4"/>
  <c r="H4" i="4"/>
  <c r="H3" i="4"/>
  <c r="H2" i="4"/>
  <c r="P2" i="7"/>
  <c r="B239" i="6"/>
  <c r="C239" i="6" s="1"/>
  <c r="R3" i="6"/>
  <c r="Q3" i="6"/>
  <c r="O3" i="6"/>
  <c r="P3" i="6" s="1"/>
  <c r="B47" i="6" s="1"/>
  <c r="C47" i="6" s="1"/>
  <c r="G3" i="6"/>
  <c r="I3" i="6"/>
  <c r="H3" i="6"/>
  <c r="F3" i="6"/>
  <c r="E3" i="6"/>
  <c r="G249" i="1"/>
  <c r="G220" i="1"/>
  <c r="G156" i="1"/>
  <c r="G2" i="1"/>
  <c r="G157" i="1"/>
  <c r="G158" i="1"/>
  <c r="G159" i="1"/>
  <c r="G221" i="1"/>
  <c r="G321" i="1"/>
  <c r="G160" i="1"/>
  <c r="G161" i="1"/>
  <c r="G162" i="1"/>
  <c r="G222" i="1"/>
  <c r="G163" i="1"/>
  <c r="G164" i="1"/>
  <c r="G223" i="1"/>
  <c r="G224" i="1"/>
  <c r="G129" i="1"/>
  <c r="G198" i="1"/>
  <c r="G165" i="1"/>
  <c r="G344" i="1"/>
  <c r="G166" i="1"/>
  <c r="G225" i="1"/>
  <c r="G307" i="1"/>
  <c r="G167" i="1"/>
  <c r="G168" i="1"/>
  <c r="G86" i="1"/>
  <c r="G331" i="1"/>
  <c r="G213" i="1"/>
  <c r="G29" i="1"/>
  <c r="G199" i="1"/>
  <c r="G74" i="1"/>
  <c r="G226" i="1"/>
  <c r="G308" i="1"/>
  <c r="G345" i="1"/>
  <c r="G75" i="1"/>
  <c r="G83" i="1"/>
  <c r="G7" i="1"/>
  <c r="G43" i="1"/>
  <c r="G332" i="1"/>
  <c r="G107" i="1"/>
  <c r="G79" i="1"/>
  <c r="G337" i="1"/>
  <c r="G297" i="1"/>
  <c r="G80" i="1"/>
  <c r="G78" i="1"/>
  <c r="G16" i="1"/>
  <c r="G72" i="1"/>
  <c r="G76" i="1"/>
  <c r="G117" i="1"/>
  <c r="G288" i="1"/>
  <c r="G47" i="1"/>
  <c r="G140" i="1"/>
  <c r="G200" i="1"/>
  <c r="G227" i="1"/>
  <c r="G309" i="1"/>
  <c r="G169" i="1"/>
  <c r="G269" i="1"/>
  <c r="G142" i="1"/>
  <c r="G170" i="1"/>
  <c r="G375" i="1"/>
  <c r="G101" i="1"/>
  <c r="G108" i="1"/>
  <c r="G81" i="1"/>
  <c r="G44" i="1"/>
  <c r="G73" i="1"/>
  <c r="G298" i="1"/>
  <c r="G228" i="1"/>
  <c r="G229" i="1"/>
  <c r="G3" i="1"/>
  <c r="G141" i="1"/>
  <c r="G171" i="1"/>
  <c r="G289" i="1"/>
  <c r="G201" i="1"/>
  <c r="G173" i="1"/>
  <c r="G51" i="1"/>
  <c r="G230" i="1"/>
  <c r="G17" i="1"/>
  <c r="G84" i="1"/>
  <c r="G397" i="1"/>
  <c r="G186" i="1"/>
  <c r="G187" i="1"/>
  <c r="G18" i="1"/>
  <c r="G87" i="1"/>
  <c r="G52" i="1"/>
  <c r="G333" i="1"/>
  <c r="G88" i="1"/>
  <c r="G35" i="1"/>
  <c r="G174" i="1"/>
  <c r="G82" i="1"/>
  <c r="G202" i="1"/>
  <c r="G193" i="1"/>
  <c r="G85" i="1"/>
  <c r="G203" i="1"/>
  <c r="G315" i="1"/>
  <c r="G130" i="1"/>
  <c r="G11" i="1"/>
  <c r="G350" i="1"/>
  <c r="G93" i="1"/>
  <c r="G290" i="1"/>
  <c r="G178" i="1"/>
  <c r="G118" i="1"/>
  <c r="G109" i="1"/>
  <c r="G36" i="1"/>
  <c r="G194" i="1"/>
  <c r="G360" i="1"/>
  <c r="G334" i="1"/>
  <c r="G23" i="1"/>
  <c r="G398" i="1"/>
  <c r="G310" i="1"/>
  <c r="G195" i="1"/>
  <c r="G70" i="1"/>
  <c r="G179" i="1"/>
  <c r="G299" i="1"/>
  <c r="G172" i="1"/>
  <c r="G204" i="1"/>
  <c r="G110" i="1"/>
  <c r="G4" i="1"/>
  <c r="G196" i="1"/>
  <c r="G100" i="1"/>
  <c r="G53" i="1"/>
  <c r="G8" i="1"/>
  <c r="G188" i="1"/>
  <c r="G211" i="1"/>
  <c r="G205" i="1"/>
  <c r="G380" i="1"/>
  <c r="G316" i="1"/>
  <c r="G77" i="1"/>
  <c r="G381" i="1"/>
  <c r="G189" i="1"/>
  <c r="G37" i="1"/>
  <c r="G231" i="1"/>
  <c r="G50" i="1"/>
  <c r="G232" i="1"/>
  <c r="G270" i="1"/>
  <c r="G190" i="1"/>
  <c r="G206" i="1"/>
  <c r="G257" i="1"/>
  <c r="G233" i="1"/>
  <c r="G119" i="1"/>
  <c r="G291" i="1"/>
  <c r="G30" i="1"/>
  <c r="G38" i="1"/>
  <c r="G102" i="1"/>
  <c r="G143" i="1"/>
  <c r="G214" i="1"/>
  <c r="G197" i="1"/>
  <c r="G207" i="1"/>
  <c r="G275" i="1"/>
  <c r="G292" i="1"/>
  <c r="G293" i="1"/>
  <c r="G191" i="1"/>
  <c r="G175" i="1"/>
  <c r="G48" i="1"/>
  <c r="G57" i="1"/>
  <c r="G351" i="1"/>
  <c r="G382" i="1"/>
  <c r="G24" i="1"/>
  <c r="G45" i="1"/>
  <c r="G234" i="1"/>
  <c r="G94" i="1"/>
  <c r="G383" i="1"/>
  <c r="G235" i="1"/>
  <c r="G346" i="1"/>
  <c r="G89" i="1"/>
  <c r="G58" i="1"/>
  <c r="G31" i="1"/>
  <c r="G240" i="1"/>
  <c r="G322" i="1"/>
  <c r="G250" i="1"/>
  <c r="G19" i="1"/>
  <c r="G97" i="1"/>
  <c r="G352" i="1"/>
  <c r="G367" i="1"/>
  <c r="G338" i="1"/>
  <c r="G59" i="1"/>
  <c r="G368" i="1"/>
  <c r="G151" i="1"/>
  <c r="G276" i="1"/>
  <c r="G311" i="1"/>
  <c r="G353" i="1"/>
  <c r="G39" i="1"/>
  <c r="G354" i="1"/>
  <c r="G20" i="1"/>
  <c r="G98" i="1"/>
  <c r="G355" i="1"/>
  <c r="G356" i="1"/>
  <c r="G243" i="1"/>
  <c r="G106" i="1"/>
  <c r="G144" i="1"/>
  <c r="G95" i="1"/>
  <c r="G208" i="1"/>
  <c r="G90" i="1"/>
  <c r="G312" i="1"/>
  <c r="G258" i="1"/>
  <c r="G335" i="1"/>
  <c r="G131" i="1"/>
  <c r="G271" i="1"/>
  <c r="G145" i="1"/>
  <c r="G146" i="1"/>
  <c r="G132" i="1"/>
  <c r="G369" i="1"/>
  <c r="G25" i="1"/>
  <c r="G152" i="1"/>
  <c r="G215" i="1"/>
  <c r="G236" i="1"/>
  <c r="G147" i="1"/>
  <c r="G192" i="1"/>
  <c r="G357" i="1"/>
  <c r="G237" i="1"/>
  <c r="G133" i="1"/>
  <c r="G26" i="1"/>
  <c r="G384" i="1"/>
  <c r="G111" i="1"/>
  <c r="G251" i="1"/>
  <c r="G9" i="1"/>
  <c r="G103" i="1"/>
  <c r="G66" i="1"/>
  <c r="G339" i="1"/>
  <c r="G252" i="1"/>
  <c r="G370" i="1"/>
  <c r="G238" i="1"/>
  <c r="G361" i="1"/>
  <c r="G148" i="1"/>
  <c r="G317" i="1"/>
  <c r="G294" i="1"/>
  <c r="G149" i="1"/>
  <c r="G216" i="1"/>
  <c r="G60" i="1"/>
  <c r="G27" i="1"/>
  <c r="G153" i="1"/>
  <c r="G28" i="1"/>
  <c r="G385" i="1"/>
  <c r="G386" i="1"/>
  <c r="G104" i="1"/>
  <c r="G112" i="1"/>
  <c r="G272" i="1"/>
  <c r="G32" i="1"/>
  <c r="G295" i="1"/>
  <c r="G120" i="1"/>
  <c r="G121" i="1"/>
  <c r="G105" i="1"/>
  <c r="G362" i="1"/>
  <c r="G387" i="1"/>
  <c r="G134" i="1"/>
  <c r="G135" i="1"/>
  <c r="G154" i="1"/>
  <c r="G115" i="1"/>
  <c r="G388" i="1"/>
  <c r="G389" i="1"/>
  <c r="G273" i="1"/>
  <c r="G347" i="1"/>
  <c r="G336" i="1"/>
  <c r="G217" i="1"/>
  <c r="G10" i="1"/>
  <c r="G209" i="1"/>
  <c r="G241" i="1"/>
  <c r="G5" i="1"/>
  <c r="G340" i="1"/>
  <c r="G259" i="1"/>
  <c r="G54" i="1"/>
  <c r="G318" i="1"/>
  <c r="G136" i="1"/>
  <c r="G40" i="1"/>
  <c r="G300" i="1"/>
  <c r="G376" i="1"/>
  <c r="G116" i="1"/>
  <c r="G122" i="1"/>
  <c r="G358" i="1"/>
  <c r="G390" i="1"/>
  <c r="G301" i="1"/>
  <c r="G253" i="1"/>
  <c r="G371" i="1"/>
  <c r="G113" i="1"/>
  <c r="G137" i="1"/>
  <c r="G33" i="1"/>
  <c r="G372" i="1"/>
  <c r="G274" i="1"/>
  <c r="G341" i="1"/>
  <c r="G46" i="1"/>
  <c r="G210" i="1"/>
  <c r="G319" i="1"/>
  <c r="G255" i="1"/>
  <c r="G12" i="1"/>
  <c r="G91" i="1"/>
  <c r="G123" i="1"/>
  <c r="G42" i="1"/>
  <c r="G303" i="1"/>
  <c r="G280" i="1"/>
  <c r="G124" i="1"/>
  <c r="G150" i="1"/>
  <c r="G323" i="1"/>
  <c r="G281" i="1"/>
  <c r="G125" i="1"/>
  <c r="G391" i="1"/>
  <c r="G126" i="1"/>
  <c r="G304" i="1"/>
  <c r="G302" i="1"/>
  <c r="G363" i="1"/>
  <c r="G244" i="1"/>
  <c r="G392" i="1"/>
  <c r="G218" i="1"/>
  <c r="G92" i="1"/>
  <c r="G180" i="1"/>
  <c r="G181" i="1"/>
  <c r="G127" i="1"/>
  <c r="G182" i="1"/>
  <c r="G260" i="1"/>
  <c r="G324" i="1"/>
  <c r="G342" i="1"/>
  <c r="G245" i="1"/>
  <c r="G296" i="1"/>
  <c r="G313" i="1"/>
  <c r="G13" i="1"/>
  <c r="G254" i="1"/>
  <c r="G282" i="1"/>
  <c r="G138" i="1"/>
  <c r="G325" i="1"/>
  <c r="G393" i="1"/>
  <c r="G394" i="1"/>
  <c r="G256" i="1"/>
  <c r="G364" i="1"/>
  <c r="G343" i="1"/>
  <c r="G183" i="1"/>
  <c r="G239" i="1"/>
  <c r="G246" i="1"/>
  <c r="G212" i="1"/>
  <c r="G176" i="1"/>
  <c r="G283" i="1"/>
  <c r="G320" i="1"/>
  <c r="G34" i="1"/>
  <c r="G326" i="1"/>
  <c r="G395" i="1"/>
  <c r="G261" i="1"/>
  <c r="G242" i="1"/>
  <c r="G99" i="1"/>
  <c r="G96" i="1"/>
  <c r="G128" i="1"/>
  <c r="G284" i="1"/>
  <c r="G14" i="1"/>
  <c r="G327" i="1"/>
  <c r="G219" i="1"/>
  <c r="G247" i="1"/>
  <c r="G262" i="1"/>
  <c r="G377" i="1"/>
  <c r="G328" i="1"/>
  <c r="G348" i="1"/>
  <c r="G373" i="1"/>
  <c r="G263" i="1"/>
  <c r="G399" i="1"/>
  <c r="G379" i="1"/>
  <c r="G277" i="1"/>
  <c r="G139" i="1"/>
  <c r="G329" i="1"/>
  <c r="G264" i="1"/>
  <c r="G184" i="1"/>
  <c r="G305" i="1"/>
  <c r="G278" i="1"/>
  <c r="G330" i="1"/>
  <c r="G349" i="1"/>
  <c r="G306" i="1"/>
  <c r="G285" i="1"/>
  <c r="G374" i="1"/>
  <c r="G314" i="1"/>
  <c r="G265" i="1"/>
  <c r="G286" i="1"/>
  <c r="G41" i="1"/>
  <c r="G185" i="1"/>
  <c r="G366" i="1"/>
  <c r="G248" i="1"/>
  <c r="G359" i="1"/>
  <c r="G21" i="1"/>
  <c r="G114" i="1"/>
  <c r="G279" i="1"/>
  <c r="G266" i="1"/>
  <c r="G6" i="1"/>
  <c r="G67" i="1"/>
  <c r="G378" i="1"/>
  <c r="G71" i="1"/>
  <c r="G49" i="1"/>
  <c r="G69" i="1"/>
  <c r="G15" i="1"/>
  <c r="G22" i="1"/>
  <c r="G61" i="1"/>
  <c r="G267" i="1"/>
  <c r="G65" i="1"/>
  <c r="G55" i="1"/>
  <c r="G287" i="1"/>
  <c r="G56" i="1"/>
  <c r="G268" i="1"/>
  <c r="G62" i="1"/>
  <c r="G63" i="1"/>
  <c r="G396" i="1"/>
  <c r="G365" i="1"/>
  <c r="G177" i="1"/>
  <c r="G68" i="1"/>
  <c r="G64" i="1"/>
  <c r="G155" i="1"/>
  <c r="F10" i="4"/>
  <c r="E333" i="9" l="1"/>
  <c r="E222" i="9"/>
  <c r="E81" i="9"/>
  <c r="E303" i="9"/>
  <c r="E192" i="9"/>
  <c r="E80" i="9"/>
  <c r="E190" i="9"/>
  <c r="E78" i="9"/>
  <c r="E2" i="9"/>
  <c r="E300" i="9"/>
  <c r="E3" i="9"/>
  <c r="E19" i="9"/>
  <c r="E35" i="9"/>
  <c r="E51" i="9"/>
  <c r="E67" i="9"/>
  <c r="E83" i="9"/>
  <c r="E99" i="9"/>
  <c r="E115" i="9"/>
  <c r="E131" i="9"/>
  <c r="E147" i="9"/>
  <c r="E163" i="9"/>
  <c r="E179" i="9"/>
  <c r="E195" i="9"/>
  <c r="E211" i="9"/>
  <c r="E227" i="9"/>
  <c r="E243" i="9"/>
  <c r="E259" i="9"/>
  <c r="E275" i="9"/>
  <c r="E291" i="9"/>
  <c r="E307" i="9"/>
  <c r="E323" i="9"/>
  <c r="E339" i="9"/>
  <c r="E355" i="9"/>
  <c r="E371" i="9"/>
  <c r="E387" i="9"/>
  <c r="E4" i="9"/>
  <c r="E36" i="9"/>
  <c r="E52" i="9"/>
  <c r="E68" i="9"/>
  <c r="E84" i="9"/>
  <c r="E100" i="9"/>
  <c r="E116" i="9"/>
  <c r="E132" i="9"/>
  <c r="E148" i="9"/>
  <c r="E164" i="9"/>
  <c r="E180" i="9"/>
  <c r="E212" i="9"/>
  <c r="E228" i="9"/>
  <c r="E244" i="9"/>
  <c r="E260" i="9"/>
  <c r="E276" i="9"/>
  <c r="E308" i="9"/>
  <c r="E324" i="9"/>
  <c r="E340" i="9"/>
  <c r="E356" i="9"/>
  <c r="E388" i="9"/>
  <c r="E5" i="9"/>
  <c r="E21" i="9"/>
  <c r="E53" i="9"/>
  <c r="E69" i="9"/>
  <c r="E85" i="9"/>
  <c r="E101" i="9"/>
  <c r="E117" i="9"/>
  <c r="E133" i="9"/>
  <c r="E149" i="9"/>
  <c r="E165" i="9"/>
  <c r="E181" i="9"/>
  <c r="E197" i="9"/>
  <c r="E213" i="9"/>
  <c r="E229" i="9"/>
  <c r="E245" i="9"/>
  <c r="E261" i="9"/>
  <c r="E277" i="9"/>
  <c r="E293" i="9"/>
  <c r="E309" i="9"/>
  <c r="E325" i="9"/>
  <c r="E341" i="9"/>
  <c r="E357" i="9"/>
  <c r="E373" i="9"/>
  <c r="E389" i="9"/>
  <c r="E40" i="9"/>
  <c r="E41" i="9"/>
  <c r="E42" i="9"/>
  <c r="E394" i="9"/>
  <c r="E43" i="9"/>
  <c r="E20" i="9"/>
  <c r="E196" i="9"/>
  <c r="E292" i="9"/>
  <c r="E372" i="9"/>
  <c r="E37" i="9"/>
  <c r="E7" i="9"/>
  <c r="E23" i="9"/>
  <c r="E39" i="9"/>
  <c r="E55" i="9"/>
  <c r="E71" i="9"/>
  <c r="E87" i="9"/>
  <c r="E103" i="9"/>
  <c r="E119" i="9"/>
  <c r="E135" i="9"/>
  <c r="E151" i="9"/>
  <c r="E167" i="9"/>
  <c r="E183" i="9"/>
  <c r="E199" i="9"/>
  <c r="E215" i="9"/>
  <c r="E231" i="9"/>
  <c r="E247" i="9"/>
  <c r="E263" i="9"/>
  <c r="E279" i="9"/>
  <c r="E295" i="9"/>
  <c r="E311" i="9"/>
  <c r="E327" i="9"/>
  <c r="E359" i="9"/>
  <c r="E375" i="9"/>
  <c r="E391" i="9"/>
  <c r="E24" i="9"/>
  <c r="E296" i="9"/>
  <c r="E25" i="9"/>
  <c r="E57" i="9"/>
  <c r="E89" i="9"/>
  <c r="E121" i="9"/>
  <c r="E137" i="9"/>
  <c r="E153" i="9"/>
  <c r="E185" i="9"/>
  <c r="E201" i="9"/>
  <c r="E217" i="9"/>
  <c r="E233" i="9"/>
  <c r="E265" i="9"/>
  <c r="E281" i="9"/>
  <c r="E297" i="9"/>
  <c r="E313" i="9"/>
  <c r="E329" i="9"/>
  <c r="E345" i="9"/>
  <c r="E361" i="9"/>
  <c r="E377" i="9"/>
  <c r="E10" i="9"/>
  <c r="E58" i="9"/>
  <c r="E74" i="9"/>
  <c r="E90" i="9"/>
  <c r="E106" i="9"/>
  <c r="E122" i="9"/>
  <c r="E138" i="9"/>
  <c r="E154" i="9"/>
  <c r="E170" i="9"/>
  <c r="E186" i="9"/>
  <c r="E202" i="9"/>
  <c r="E218" i="9"/>
  <c r="E234" i="9"/>
  <c r="E250" i="9"/>
  <c r="E282" i="9"/>
  <c r="E298" i="9"/>
  <c r="E314" i="9"/>
  <c r="E330" i="9"/>
  <c r="E346" i="9"/>
  <c r="E378" i="9"/>
  <c r="E27" i="9"/>
  <c r="E75" i="9"/>
  <c r="E107" i="9"/>
  <c r="E139" i="9"/>
  <c r="E171" i="9"/>
  <c r="E203" i="9"/>
  <c r="E235" i="9"/>
  <c r="E267" i="9"/>
  <c r="E299" i="9"/>
  <c r="E331" i="9"/>
  <c r="E363" i="9"/>
  <c r="E6" i="9"/>
  <c r="E22" i="9"/>
  <c r="E38" i="9"/>
  <c r="E54" i="9"/>
  <c r="E70" i="9"/>
  <c r="E86" i="9"/>
  <c r="E102" i="9"/>
  <c r="E118" i="9"/>
  <c r="E134" i="9"/>
  <c r="E150" i="9"/>
  <c r="E166" i="9"/>
  <c r="E182" i="9"/>
  <c r="E198" i="9"/>
  <c r="E214" i="9"/>
  <c r="E230" i="9"/>
  <c r="E246" i="9"/>
  <c r="E262" i="9"/>
  <c r="E278" i="9"/>
  <c r="E294" i="9"/>
  <c r="E310" i="9"/>
  <c r="E326" i="9"/>
  <c r="E342" i="9"/>
  <c r="E358" i="9"/>
  <c r="E374" i="9"/>
  <c r="E390" i="9"/>
  <c r="E343" i="9"/>
  <c r="E8" i="9"/>
  <c r="E56" i="9"/>
  <c r="E72" i="9"/>
  <c r="E88" i="9"/>
  <c r="E104" i="9"/>
  <c r="E120" i="9"/>
  <c r="E136" i="9"/>
  <c r="E152" i="9"/>
  <c r="E168" i="9"/>
  <c r="E184" i="9"/>
  <c r="E200" i="9"/>
  <c r="E216" i="9"/>
  <c r="E232" i="9"/>
  <c r="E248" i="9"/>
  <c r="E264" i="9"/>
  <c r="E280" i="9"/>
  <c r="E312" i="9"/>
  <c r="E328" i="9"/>
  <c r="E344" i="9"/>
  <c r="E360" i="9"/>
  <c r="E376" i="9"/>
  <c r="E392" i="9"/>
  <c r="E9" i="9"/>
  <c r="E73" i="9"/>
  <c r="E105" i="9"/>
  <c r="E169" i="9"/>
  <c r="E249" i="9"/>
  <c r="E393" i="9"/>
  <c r="E26" i="9"/>
  <c r="E266" i="9"/>
  <c r="E362" i="9"/>
  <c r="E11" i="9"/>
  <c r="E59" i="9"/>
  <c r="E91" i="9"/>
  <c r="E123" i="9"/>
  <c r="E155" i="9"/>
  <c r="E187" i="9"/>
  <c r="E219" i="9"/>
  <c r="E251" i="9"/>
  <c r="E283" i="9"/>
  <c r="E315" i="9"/>
  <c r="E347" i="9"/>
  <c r="E395" i="9"/>
  <c r="E14" i="9"/>
  <c r="E15" i="9"/>
  <c r="E12" i="9"/>
  <c r="E48" i="9"/>
  <c r="E82" i="9"/>
  <c r="E125" i="9"/>
  <c r="E159" i="9"/>
  <c r="E193" i="9"/>
  <c r="E236" i="9"/>
  <c r="E270" i="9"/>
  <c r="E304" i="9"/>
  <c r="E338" i="9"/>
  <c r="E380" i="9"/>
  <c r="E13" i="9"/>
  <c r="E49" i="9"/>
  <c r="E92" i="9"/>
  <c r="E126" i="9"/>
  <c r="E160" i="9"/>
  <c r="E194" i="9"/>
  <c r="E237" i="9"/>
  <c r="E271" i="9"/>
  <c r="E305" i="9"/>
  <c r="E348" i="9"/>
  <c r="E381" i="9"/>
  <c r="E16" i="9"/>
  <c r="E50" i="9"/>
  <c r="E93" i="9"/>
  <c r="E127" i="9"/>
  <c r="E161" i="9"/>
  <c r="E204" i="9"/>
  <c r="E238" i="9"/>
  <c r="E272" i="9"/>
  <c r="E306" i="9"/>
  <c r="E349" i="9"/>
  <c r="E382" i="9"/>
  <c r="E17" i="9"/>
  <c r="E60" i="9"/>
  <c r="E94" i="9"/>
  <c r="E128" i="9"/>
  <c r="E162" i="9"/>
  <c r="E205" i="9"/>
  <c r="E239" i="9"/>
  <c r="E273" i="9"/>
  <c r="E316" i="9"/>
  <c r="E350" i="9"/>
  <c r="E383" i="9"/>
  <c r="E18" i="9"/>
  <c r="E61" i="9"/>
  <c r="E95" i="9"/>
  <c r="E129" i="9"/>
  <c r="E172" i="9"/>
  <c r="E206" i="9"/>
  <c r="E240" i="9"/>
  <c r="E274" i="9"/>
  <c r="E317" i="9"/>
  <c r="E351" i="9"/>
  <c r="E384" i="9"/>
  <c r="E28" i="9"/>
  <c r="E62" i="9"/>
  <c r="E96" i="9"/>
  <c r="E130" i="9"/>
  <c r="E173" i="9"/>
  <c r="E207" i="9"/>
  <c r="E241" i="9"/>
  <c r="E284" i="9"/>
  <c r="E318" i="9"/>
  <c r="E352" i="9"/>
  <c r="E385" i="9"/>
  <c r="E29" i="9"/>
  <c r="E63" i="9"/>
  <c r="E97" i="9"/>
  <c r="E140" i="9"/>
  <c r="E174" i="9"/>
  <c r="E208" i="9"/>
  <c r="E242" i="9"/>
  <c r="E285" i="9"/>
  <c r="E319" i="9"/>
  <c r="E353" i="9"/>
  <c r="E386" i="9"/>
  <c r="E30" i="9"/>
  <c r="E64" i="9"/>
  <c r="E98" i="9"/>
  <c r="E141" i="9"/>
  <c r="E175" i="9"/>
  <c r="E209" i="9"/>
  <c r="E252" i="9"/>
  <c r="E286" i="9"/>
  <c r="E320" i="9"/>
  <c r="E354" i="9"/>
  <c r="E396" i="9"/>
  <c r="E31" i="9"/>
  <c r="E65" i="9"/>
  <c r="E108" i="9"/>
  <c r="E142" i="9"/>
  <c r="E176" i="9"/>
  <c r="E210" i="9"/>
  <c r="E253" i="9"/>
  <c r="E287" i="9"/>
  <c r="E321" i="9"/>
  <c r="E364" i="9"/>
  <c r="E397" i="9"/>
  <c r="E32" i="9"/>
  <c r="E66" i="9"/>
  <c r="E109" i="9"/>
  <c r="E143" i="9"/>
  <c r="E177" i="9"/>
  <c r="E220" i="9"/>
  <c r="E254" i="9"/>
  <c r="E288" i="9"/>
  <c r="E322" i="9"/>
  <c r="E365" i="9"/>
  <c r="E398" i="9"/>
  <c r="E33" i="9"/>
  <c r="E76" i="9"/>
  <c r="E110" i="9"/>
  <c r="E144" i="9"/>
  <c r="E178" i="9"/>
  <c r="E221" i="9"/>
  <c r="E255" i="9"/>
  <c r="E332" i="9"/>
  <c r="E302" i="9"/>
  <c r="E191" i="9"/>
  <c r="E79" i="9"/>
  <c r="E301" i="9"/>
  <c r="E189" i="9"/>
  <c r="E399" i="9"/>
  <c r="E290" i="9"/>
  <c r="E188" i="9"/>
  <c r="E47" i="9"/>
  <c r="E379" i="9"/>
  <c r="E289" i="9"/>
  <c r="E158" i="9"/>
  <c r="E46" i="9"/>
  <c r="E370" i="9"/>
  <c r="E269" i="9"/>
  <c r="E157" i="9"/>
  <c r="E45" i="9"/>
  <c r="E369" i="9"/>
  <c r="E268" i="9"/>
  <c r="E156" i="9"/>
  <c r="E44" i="9"/>
  <c r="E368" i="9"/>
  <c r="E258" i="9"/>
  <c r="E146" i="9"/>
  <c r="E34" i="9"/>
  <c r="C18" i="9"/>
  <c r="C306" i="9"/>
  <c r="C190" i="9"/>
  <c r="C63" i="9"/>
  <c r="C307" i="9"/>
  <c r="C211" i="9"/>
  <c r="C304" i="9"/>
  <c r="C305" i="9"/>
  <c r="C179" i="9"/>
  <c r="C62" i="9"/>
  <c r="C2" i="9"/>
  <c r="C178" i="9"/>
  <c r="C50" i="9"/>
  <c r="C399" i="9"/>
  <c r="C303" i="9"/>
  <c r="C177" i="9"/>
  <c r="C15" i="9"/>
  <c r="C384" i="9"/>
  <c r="C338" i="9"/>
  <c r="C302" i="9"/>
  <c r="C256" i="9"/>
  <c r="C210" i="9"/>
  <c r="C111" i="9"/>
  <c r="C49" i="9"/>
  <c r="C383" i="9"/>
  <c r="C337" i="9"/>
  <c r="C291" i="9"/>
  <c r="C255" i="9"/>
  <c r="C209" i="9"/>
  <c r="C162" i="9"/>
  <c r="C98" i="9"/>
  <c r="C48" i="9"/>
  <c r="C382" i="9"/>
  <c r="C336" i="9"/>
  <c r="C290" i="9"/>
  <c r="C254" i="9"/>
  <c r="C208" i="9"/>
  <c r="C161" i="9"/>
  <c r="C97" i="9"/>
  <c r="C47" i="9"/>
  <c r="C371" i="9"/>
  <c r="C335" i="9"/>
  <c r="C289" i="9"/>
  <c r="C243" i="9"/>
  <c r="C207" i="9"/>
  <c r="C160" i="9"/>
  <c r="C96" i="9"/>
  <c r="C34" i="9"/>
  <c r="C370" i="9"/>
  <c r="C334" i="9"/>
  <c r="C288" i="9"/>
  <c r="C242" i="9"/>
  <c r="C206" i="9"/>
  <c r="C159" i="9"/>
  <c r="C95" i="9"/>
  <c r="C33" i="9"/>
  <c r="C369" i="9"/>
  <c r="C323" i="9"/>
  <c r="C287" i="9"/>
  <c r="C241" i="9"/>
  <c r="C195" i="9"/>
  <c r="C146" i="9"/>
  <c r="C82" i="9"/>
  <c r="C32" i="9"/>
  <c r="C368" i="9"/>
  <c r="C322" i="9"/>
  <c r="C286" i="9"/>
  <c r="C240" i="9"/>
  <c r="C194" i="9"/>
  <c r="C145" i="9"/>
  <c r="C81" i="9"/>
  <c r="C31" i="9"/>
  <c r="C367" i="9"/>
  <c r="C321" i="9"/>
  <c r="C275" i="9"/>
  <c r="C239" i="9"/>
  <c r="C193" i="9"/>
  <c r="C144" i="9"/>
  <c r="C80" i="9"/>
  <c r="C3" i="9"/>
  <c r="C19" i="9"/>
  <c r="C35" i="9"/>
  <c r="C51" i="9"/>
  <c r="C67" i="9"/>
  <c r="C83" i="9"/>
  <c r="C99" i="9"/>
  <c r="C115" i="9"/>
  <c r="C131" i="9"/>
  <c r="C147" i="9"/>
  <c r="C163" i="9"/>
  <c r="C4" i="9"/>
  <c r="C20" i="9"/>
  <c r="C36" i="9"/>
  <c r="C52" i="9"/>
  <c r="C68" i="9"/>
  <c r="C84" i="9"/>
  <c r="C100" i="9"/>
  <c r="C116" i="9"/>
  <c r="C132" i="9"/>
  <c r="C148" i="9"/>
  <c r="C164" i="9"/>
  <c r="C180" i="9"/>
  <c r="C196" i="9"/>
  <c r="C212" i="9"/>
  <c r="C228" i="9"/>
  <c r="C244" i="9"/>
  <c r="C260" i="9"/>
  <c r="C276" i="9"/>
  <c r="C292" i="9"/>
  <c r="C308" i="9"/>
  <c r="C324" i="9"/>
  <c r="C340" i="9"/>
  <c r="C356" i="9"/>
  <c r="C372" i="9"/>
  <c r="C388" i="9"/>
  <c r="C39" i="9"/>
  <c r="C263" i="9"/>
  <c r="C58" i="9"/>
  <c r="C60" i="9"/>
  <c r="C5" i="9"/>
  <c r="C21" i="9"/>
  <c r="C37" i="9"/>
  <c r="C53" i="9"/>
  <c r="C69" i="9"/>
  <c r="C85" i="9"/>
  <c r="C101" i="9"/>
  <c r="C117" i="9"/>
  <c r="C133" i="9"/>
  <c r="C149" i="9"/>
  <c r="C165" i="9"/>
  <c r="C181" i="9"/>
  <c r="C197" i="9"/>
  <c r="C213" i="9"/>
  <c r="C229" i="9"/>
  <c r="C245" i="9"/>
  <c r="C261" i="9"/>
  <c r="C277" i="9"/>
  <c r="C293" i="9"/>
  <c r="C309" i="9"/>
  <c r="C325" i="9"/>
  <c r="C341" i="9"/>
  <c r="C357" i="9"/>
  <c r="C373" i="9"/>
  <c r="C389" i="9"/>
  <c r="C23" i="9"/>
  <c r="C55" i="9"/>
  <c r="C87" i="9"/>
  <c r="C103" i="9"/>
  <c r="C135" i="9"/>
  <c r="C167" i="9"/>
  <c r="C199" i="9"/>
  <c r="C231" i="9"/>
  <c r="C279" i="9"/>
  <c r="C311" i="9"/>
  <c r="C343" i="9"/>
  <c r="C375" i="9"/>
  <c r="C25" i="9"/>
  <c r="C26" i="9"/>
  <c r="C74" i="9"/>
  <c r="C122" i="9"/>
  <c r="C154" i="9"/>
  <c r="C186" i="9"/>
  <c r="C234" i="9"/>
  <c r="C298" i="9"/>
  <c r="C362" i="9"/>
  <c r="C27" i="9"/>
  <c r="C75" i="9"/>
  <c r="C107" i="9"/>
  <c r="C187" i="9"/>
  <c r="C267" i="9"/>
  <c r="C347" i="9"/>
  <c r="C12" i="9"/>
  <c r="C92" i="9"/>
  <c r="C156" i="9"/>
  <c r="C220" i="9"/>
  <c r="C268" i="9"/>
  <c r="C316" i="9"/>
  <c r="C348" i="9"/>
  <c r="C396" i="9"/>
  <c r="C45" i="9"/>
  <c r="C77" i="9"/>
  <c r="C125" i="9"/>
  <c r="C173" i="9"/>
  <c r="C221" i="9"/>
  <c r="C253" i="9"/>
  <c r="C301" i="9"/>
  <c r="C349" i="9"/>
  <c r="C397" i="9"/>
  <c r="C14" i="9"/>
  <c r="C110" i="9"/>
  <c r="C142" i="9"/>
  <c r="C6" i="9"/>
  <c r="C22" i="9"/>
  <c r="C38" i="9"/>
  <c r="C54" i="9"/>
  <c r="C70" i="9"/>
  <c r="C86" i="9"/>
  <c r="C102" i="9"/>
  <c r="C118" i="9"/>
  <c r="C134" i="9"/>
  <c r="C150" i="9"/>
  <c r="C166" i="9"/>
  <c r="C182" i="9"/>
  <c r="C198" i="9"/>
  <c r="C214" i="9"/>
  <c r="C230" i="9"/>
  <c r="C246" i="9"/>
  <c r="C262" i="9"/>
  <c r="C278" i="9"/>
  <c r="C294" i="9"/>
  <c r="C310" i="9"/>
  <c r="C326" i="9"/>
  <c r="C342" i="9"/>
  <c r="C358" i="9"/>
  <c r="C374" i="9"/>
  <c r="C390" i="9"/>
  <c r="C7" i="9"/>
  <c r="C71" i="9"/>
  <c r="C119" i="9"/>
  <c r="C151" i="9"/>
  <c r="C183" i="9"/>
  <c r="C215" i="9"/>
  <c r="C247" i="9"/>
  <c r="C295" i="9"/>
  <c r="C327" i="9"/>
  <c r="C359" i="9"/>
  <c r="C391" i="9"/>
  <c r="C41" i="9"/>
  <c r="C377" i="9"/>
  <c r="C42" i="9"/>
  <c r="C90" i="9"/>
  <c r="C138" i="9"/>
  <c r="C202" i="9"/>
  <c r="C250" i="9"/>
  <c r="C282" i="9"/>
  <c r="C330" i="9"/>
  <c r="C394" i="9"/>
  <c r="C11" i="9"/>
  <c r="C123" i="9"/>
  <c r="C219" i="9"/>
  <c r="C299" i="9"/>
  <c r="C363" i="9"/>
  <c r="C44" i="9"/>
  <c r="C76" i="9"/>
  <c r="C108" i="9"/>
  <c r="C124" i="9"/>
  <c r="C172" i="9"/>
  <c r="C188" i="9"/>
  <c r="C236" i="9"/>
  <c r="C284" i="9"/>
  <c r="C332" i="9"/>
  <c r="C380" i="9"/>
  <c r="C13" i="9"/>
  <c r="C93" i="9"/>
  <c r="C157" i="9"/>
  <c r="C205" i="9"/>
  <c r="C269" i="9"/>
  <c r="C317" i="9"/>
  <c r="C365" i="9"/>
  <c r="C30" i="9"/>
  <c r="C94" i="9"/>
  <c r="C126" i="9"/>
  <c r="C158" i="9"/>
  <c r="C8" i="9"/>
  <c r="C24" i="9"/>
  <c r="C40" i="9"/>
  <c r="C56" i="9"/>
  <c r="C72" i="9"/>
  <c r="C88" i="9"/>
  <c r="C104" i="9"/>
  <c r="C120" i="9"/>
  <c r="C136" i="9"/>
  <c r="C152" i="9"/>
  <c r="C168" i="9"/>
  <c r="C184" i="9"/>
  <c r="C200" i="9"/>
  <c r="C216" i="9"/>
  <c r="C232" i="9"/>
  <c r="C248" i="9"/>
  <c r="C264" i="9"/>
  <c r="C280" i="9"/>
  <c r="C296" i="9"/>
  <c r="C312" i="9"/>
  <c r="C328" i="9"/>
  <c r="C344" i="9"/>
  <c r="C360" i="9"/>
  <c r="C376" i="9"/>
  <c r="C392" i="9"/>
  <c r="C9" i="9"/>
  <c r="C57" i="9"/>
  <c r="C73" i="9"/>
  <c r="C89" i="9"/>
  <c r="C105" i="9"/>
  <c r="C121" i="9"/>
  <c r="C137" i="9"/>
  <c r="C153" i="9"/>
  <c r="C169" i="9"/>
  <c r="C185" i="9"/>
  <c r="C201" i="9"/>
  <c r="C217" i="9"/>
  <c r="C233" i="9"/>
  <c r="C249" i="9"/>
  <c r="C265" i="9"/>
  <c r="C281" i="9"/>
  <c r="C297" i="9"/>
  <c r="C313" i="9"/>
  <c r="C329" i="9"/>
  <c r="C345" i="9"/>
  <c r="C361" i="9"/>
  <c r="C393" i="9"/>
  <c r="C10" i="9"/>
  <c r="C106" i="9"/>
  <c r="C170" i="9"/>
  <c r="C218" i="9"/>
  <c r="C266" i="9"/>
  <c r="C314" i="9"/>
  <c r="C346" i="9"/>
  <c r="C378" i="9"/>
  <c r="C43" i="9"/>
  <c r="C59" i="9"/>
  <c r="C91" i="9"/>
  <c r="C139" i="9"/>
  <c r="C155" i="9"/>
  <c r="C171" i="9"/>
  <c r="C203" i="9"/>
  <c r="C235" i="9"/>
  <c r="C251" i="9"/>
  <c r="C283" i="9"/>
  <c r="C315" i="9"/>
  <c r="C331" i="9"/>
  <c r="C379" i="9"/>
  <c r="C395" i="9"/>
  <c r="C28" i="9"/>
  <c r="C140" i="9"/>
  <c r="C204" i="9"/>
  <c r="C252" i="9"/>
  <c r="C300" i="9"/>
  <c r="C364" i="9"/>
  <c r="C29" i="9"/>
  <c r="C61" i="9"/>
  <c r="C109" i="9"/>
  <c r="C141" i="9"/>
  <c r="C189" i="9"/>
  <c r="C237" i="9"/>
  <c r="C285" i="9"/>
  <c r="C333" i="9"/>
  <c r="C381" i="9"/>
  <c r="C46" i="9"/>
  <c r="C366" i="9"/>
  <c r="C320" i="9"/>
  <c r="C274" i="9"/>
  <c r="C238" i="9"/>
  <c r="C192" i="9"/>
  <c r="C143" i="9"/>
  <c r="C79" i="9"/>
  <c r="C17" i="9"/>
  <c r="C355" i="9"/>
  <c r="C319" i="9"/>
  <c r="C273" i="9"/>
  <c r="C227" i="9"/>
  <c r="C191" i="9"/>
  <c r="C130" i="9"/>
  <c r="C78" i="9"/>
  <c r="C16" i="9"/>
  <c r="J5" i="4"/>
  <c r="B238" i="6"/>
  <c r="C238" i="6" s="1"/>
  <c r="B381" i="6"/>
  <c r="C381" i="6" s="1"/>
  <c r="B175" i="6"/>
  <c r="C175" i="6" s="1"/>
  <c r="B357" i="6"/>
  <c r="C357" i="6" s="1"/>
  <c r="B165" i="6"/>
  <c r="C165" i="6" s="1"/>
  <c r="B353" i="6"/>
  <c r="C353" i="6" s="1"/>
  <c r="B161" i="6"/>
  <c r="C161" i="6" s="1"/>
  <c r="B86" i="6"/>
  <c r="C86" i="6" s="1"/>
  <c r="B85" i="6"/>
  <c r="C85" i="6" s="1"/>
  <c r="B319" i="6"/>
  <c r="C319" i="6" s="1"/>
  <c r="B342" i="6"/>
  <c r="C342" i="6" s="1"/>
  <c r="B320" i="6"/>
  <c r="C320" i="6" s="1"/>
  <c r="B80" i="6"/>
  <c r="C80" i="6" s="1"/>
  <c r="B318" i="6"/>
  <c r="C318" i="6" s="1"/>
  <c r="B79" i="6"/>
  <c r="C79" i="6" s="1"/>
  <c r="B237" i="6"/>
  <c r="C237" i="6" s="1"/>
  <c r="B197" i="6"/>
  <c r="C197" i="6" s="1"/>
  <c r="B317" i="6"/>
  <c r="C317" i="6" s="1"/>
  <c r="B5" i="6"/>
  <c r="C5" i="6" s="1"/>
  <c r="B48" i="6"/>
  <c r="C48" i="6" s="1"/>
  <c r="B166" i="6"/>
  <c r="C166" i="6" s="1"/>
  <c r="B285" i="6"/>
  <c r="C285" i="6" s="1"/>
  <c r="B384" i="6"/>
  <c r="C384" i="6" s="1"/>
  <c r="B70" i="6"/>
  <c r="C70" i="6" s="1"/>
  <c r="B173" i="6"/>
  <c r="C173" i="6" s="1"/>
  <c r="B286" i="6"/>
  <c r="C286" i="6" s="1"/>
  <c r="B385" i="6"/>
  <c r="C385" i="6" s="1"/>
  <c r="B78" i="6"/>
  <c r="C78" i="6" s="1"/>
  <c r="B174" i="6"/>
  <c r="C174" i="6" s="1"/>
  <c r="B81" i="6"/>
  <c r="C81" i="6" s="1"/>
  <c r="B208" i="6"/>
  <c r="C208" i="6" s="1"/>
  <c r="B310" i="6"/>
  <c r="C310" i="6" s="1"/>
  <c r="B94" i="6"/>
  <c r="C94" i="6" s="1"/>
  <c r="B241" i="6"/>
  <c r="C241" i="6" s="1"/>
  <c r="B383" i="6"/>
  <c r="C383" i="6" s="1"/>
  <c r="B160" i="6"/>
  <c r="C160" i="6" s="1"/>
  <c r="B117" i="6"/>
  <c r="C117" i="6" s="1"/>
  <c r="B245" i="6"/>
  <c r="C245" i="6" s="1"/>
  <c r="B389" i="6"/>
  <c r="C389" i="6" s="1"/>
  <c r="B129" i="6"/>
  <c r="C129" i="6" s="1"/>
  <c r="B246" i="6"/>
  <c r="C246" i="6" s="1"/>
  <c r="B390" i="6"/>
  <c r="C390" i="6" s="1"/>
  <c r="B133" i="6"/>
  <c r="C133" i="6" s="1"/>
  <c r="B271" i="6"/>
  <c r="C271" i="6" s="1"/>
  <c r="B397" i="6"/>
  <c r="C397" i="6" s="1"/>
  <c r="B159" i="6"/>
  <c r="C159" i="6" s="1"/>
  <c r="B304" i="6"/>
  <c r="C304" i="6" s="1"/>
  <c r="B305" i="6"/>
  <c r="C305" i="6" s="1"/>
  <c r="B209" i="6"/>
  <c r="C209" i="6" s="1"/>
  <c r="B382" i="6"/>
  <c r="C382" i="6" s="1"/>
  <c r="B309" i="6"/>
  <c r="C309" i="6" s="1"/>
  <c r="B32" i="6"/>
  <c r="C32" i="6" s="1"/>
  <c r="B230" i="6"/>
  <c r="C230" i="6" s="1"/>
  <c r="B240" i="6"/>
  <c r="C240" i="6" s="1"/>
  <c r="B113" i="6"/>
  <c r="C113" i="6" s="1"/>
  <c r="B350" i="6"/>
  <c r="C350" i="6" s="1"/>
  <c r="B273" i="6"/>
  <c r="C273" i="6" s="1"/>
  <c r="B205" i="6"/>
  <c r="C205" i="6" s="1"/>
  <c r="B126" i="6"/>
  <c r="C126" i="6" s="1"/>
  <c r="B37" i="6"/>
  <c r="C37" i="6" s="1"/>
  <c r="B352" i="6"/>
  <c r="C352" i="6" s="1"/>
  <c r="B278" i="6"/>
  <c r="C278" i="6" s="1"/>
  <c r="B207" i="6"/>
  <c r="C207" i="6" s="1"/>
  <c r="B128" i="6"/>
  <c r="C128" i="6" s="1"/>
  <c r="B46" i="6"/>
  <c r="C46" i="6" s="1"/>
  <c r="B351" i="6"/>
  <c r="C351" i="6" s="1"/>
  <c r="B277" i="6"/>
  <c r="C277" i="6" s="1"/>
  <c r="B206" i="6"/>
  <c r="C206" i="6" s="1"/>
  <c r="B127" i="6"/>
  <c r="C127" i="6" s="1"/>
  <c r="B38" i="6"/>
  <c r="C38" i="6" s="1"/>
  <c r="B349" i="6"/>
  <c r="C349" i="6" s="1"/>
  <c r="B272" i="6"/>
  <c r="C272" i="6" s="1"/>
  <c r="B198" i="6"/>
  <c r="C198" i="6" s="1"/>
  <c r="B118" i="6"/>
  <c r="C118" i="6" s="1"/>
  <c r="B33" i="6"/>
  <c r="C33" i="6" s="1"/>
  <c r="B341" i="6"/>
  <c r="C341" i="6" s="1"/>
  <c r="B270" i="6"/>
  <c r="C270" i="6" s="1"/>
  <c r="B193" i="6"/>
  <c r="C193" i="6" s="1"/>
  <c r="B7" i="6"/>
  <c r="C7" i="6" s="1"/>
  <c r="B23" i="6"/>
  <c r="C23" i="6" s="1"/>
  <c r="B39" i="6"/>
  <c r="C39" i="6" s="1"/>
  <c r="B55" i="6"/>
  <c r="C55" i="6" s="1"/>
  <c r="B71" i="6"/>
  <c r="C71" i="6" s="1"/>
  <c r="B87" i="6"/>
  <c r="C87" i="6" s="1"/>
  <c r="B103" i="6"/>
  <c r="C103" i="6" s="1"/>
  <c r="B119" i="6"/>
  <c r="C119" i="6" s="1"/>
  <c r="B135" i="6"/>
  <c r="C135" i="6" s="1"/>
  <c r="B151" i="6"/>
  <c r="C151" i="6" s="1"/>
  <c r="B167" i="6"/>
  <c r="C167" i="6" s="1"/>
  <c r="B183" i="6"/>
  <c r="C183" i="6" s="1"/>
  <c r="B199" i="6"/>
  <c r="C199" i="6" s="1"/>
  <c r="B215" i="6"/>
  <c r="C215" i="6" s="1"/>
  <c r="B231" i="6"/>
  <c r="C231" i="6" s="1"/>
  <c r="B247" i="6"/>
  <c r="C247" i="6" s="1"/>
  <c r="B263" i="6"/>
  <c r="C263" i="6" s="1"/>
  <c r="B279" i="6"/>
  <c r="C279" i="6" s="1"/>
  <c r="B295" i="6"/>
  <c r="C295" i="6" s="1"/>
  <c r="B311" i="6"/>
  <c r="C311" i="6" s="1"/>
  <c r="B327" i="6"/>
  <c r="C327" i="6" s="1"/>
  <c r="B343" i="6"/>
  <c r="C343" i="6" s="1"/>
  <c r="B359" i="6"/>
  <c r="C359" i="6" s="1"/>
  <c r="B375" i="6"/>
  <c r="C375" i="6" s="1"/>
  <c r="B391" i="6"/>
  <c r="C391" i="6" s="1"/>
  <c r="B11" i="6"/>
  <c r="C11" i="6" s="1"/>
  <c r="B27" i="6"/>
  <c r="C27" i="6" s="1"/>
  <c r="B43" i="6"/>
  <c r="C43" i="6" s="1"/>
  <c r="B59" i="6"/>
  <c r="C59" i="6" s="1"/>
  <c r="B75" i="6"/>
  <c r="C75" i="6" s="1"/>
  <c r="B91" i="6"/>
  <c r="C91" i="6" s="1"/>
  <c r="B107" i="6"/>
  <c r="C107" i="6" s="1"/>
  <c r="B123" i="6"/>
  <c r="C123" i="6" s="1"/>
  <c r="B139" i="6"/>
  <c r="C139" i="6" s="1"/>
  <c r="B155" i="6"/>
  <c r="C155" i="6" s="1"/>
  <c r="B171" i="6"/>
  <c r="C171" i="6" s="1"/>
  <c r="B187" i="6"/>
  <c r="C187" i="6" s="1"/>
  <c r="B203" i="6"/>
  <c r="C203" i="6" s="1"/>
  <c r="B219" i="6"/>
  <c r="C219" i="6" s="1"/>
  <c r="B235" i="6"/>
  <c r="C235" i="6" s="1"/>
  <c r="B251" i="6"/>
  <c r="C251" i="6" s="1"/>
  <c r="B267" i="6"/>
  <c r="C267" i="6" s="1"/>
  <c r="B283" i="6"/>
  <c r="C283" i="6" s="1"/>
  <c r="B299" i="6"/>
  <c r="C299" i="6" s="1"/>
  <c r="B315" i="6"/>
  <c r="C315" i="6" s="1"/>
  <c r="B331" i="6"/>
  <c r="C331" i="6" s="1"/>
  <c r="B347" i="6"/>
  <c r="C347" i="6" s="1"/>
  <c r="B363" i="6"/>
  <c r="C363" i="6" s="1"/>
  <c r="B379" i="6"/>
  <c r="C379" i="6" s="1"/>
  <c r="B395" i="6"/>
  <c r="C395" i="6" s="1"/>
  <c r="B12" i="6"/>
  <c r="C12" i="6" s="1"/>
  <c r="B28" i="6"/>
  <c r="C28" i="6" s="1"/>
  <c r="B44" i="6"/>
  <c r="C44" i="6" s="1"/>
  <c r="B60" i="6"/>
  <c r="C60" i="6" s="1"/>
  <c r="B76" i="6"/>
  <c r="C76" i="6" s="1"/>
  <c r="B92" i="6"/>
  <c r="C92" i="6" s="1"/>
  <c r="B108" i="6"/>
  <c r="C108" i="6" s="1"/>
  <c r="B124" i="6"/>
  <c r="C124" i="6" s="1"/>
  <c r="B140" i="6"/>
  <c r="C140" i="6" s="1"/>
  <c r="B156" i="6"/>
  <c r="C156" i="6" s="1"/>
  <c r="B172" i="6"/>
  <c r="C172" i="6" s="1"/>
  <c r="B188" i="6"/>
  <c r="C188" i="6" s="1"/>
  <c r="B204" i="6"/>
  <c r="C204" i="6" s="1"/>
  <c r="B220" i="6"/>
  <c r="C220" i="6" s="1"/>
  <c r="B236" i="6"/>
  <c r="C236" i="6" s="1"/>
  <c r="B252" i="6"/>
  <c r="C252" i="6" s="1"/>
  <c r="B268" i="6"/>
  <c r="C268" i="6" s="1"/>
  <c r="B284" i="6"/>
  <c r="C284" i="6" s="1"/>
  <c r="B300" i="6"/>
  <c r="C300" i="6" s="1"/>
  <c r="B316" i="6"/>
  <c r="C316" i="6" s="1"/>
  <c r="B332" i="6"/>
  <c r="C332" i="6" s="1"/>
  <c r="B348" i="6"/>
  <c r="C348" i="6" s="1"/>
  <c r="B364" i="6"/>
  <c r="C364" i="6" s="1"/>
  <c r="B380" i="6"/>
  <c r="C380" i="6" s="1"/>
  <c r="B396" i="6"/>
  <c r="C396" i="6" s="1"/>
  <c r="B13" i="6"/>
  <c r="C13" i="6" s="1"/>
  <c r="B29" i="6"/>
  <c r="C29" i="6" s="1"/>
  <c r="B45" i="6"/>
  <c r="C45" i="6" s="1"/>
  <c r="B61" i="6"/>
  <c r="C61" i="6" s="1"/>
  <c r="B77" i="6"/>
  <c r="C77" i="6" s="1"/>
  <c r="B93" i="6"/>
  <c r="C93" i="6" s="1"/>
  <c r="B109" i="6"/>
  <c r="C109" i="6" s="1"/>
  <c r="B125" i="6"/>
  <c r="C125" i="6" s="1"/>
  <c r="B141" i="6"/>
  <c r="C141" i="6" s="1"/>
  <c r="B157" i="6"/>
  <c r="C157" i="6" s="1"/>
  <c r="B8" i="6"/>
  <c r="C8" i="6" s="1"/>
  <c r="B24" i="6"/>
  <c r="C24" i="6" s="1"/>
  <c r="B40" i="6"/>
  <c r="C40" i="6" s="1"/>
  <c r="B56" i="6"/>
  <c r="C56" i="6" s="1"/>
  <c r="B72" i="6"/>
  <c r="C72" i="6" s="1"/>
  <c r="B88" i="6"/>
  <c r="C88" i="6" s="1"/>
  <c r="B104" i="6"/>
  <c r="C104" i="6" s="1"/>
  <c r="B120" i="6"/>
  <c r="C120" i="6" s="1"/>
  <c r="B136" i="6"/>
  <c r="C136" i="6" s="1"/>
  <c r="B152" i="6"/>
  <c r="C152" i="6" s="1"/>
  <c r="B168" i="6"/>
  <c r="C168" i="6" s="1"/>
  <c r="B184" i="6"/>
  <c r="C184" i="6" s="1"/>
  <c r="B200" i="6"/>
  <c r="C200" i="6" s="1"/>
  <c r="B216" i="6"/>
  <c r="C216" i="6" s="1"/>
  <c r="B232" i="6"/>
  <c r="C232" i="6" s="1"/>
  <c r="B248" i="6"/>
  <c r="C248" i="6" s="1"/>
  <c r="B264" i="6"/>
  <c r="C264" i="6" s="1"/>
  <c r="B280" i="6"/>
  <c r="C280" i="6" s="1"/>
  <c r="B296" i="6"/>
  <c r="C296" i="6" s="1"/>
  <c r="B312" i="6"/>
  <c r="C312" i="6" s="1"/>
  <c r="B328" i="6"/>
  <c r="C328" i="6" s="1"/>
  <c r="B344" i="6"/>
  <c r="C344" i="6" s="1"/>
  <c r="B360" i="6"/>
  <c r="C360" i="6" s="1"/>
  <c r="B376" i="6"/>
  <c r="C376" i="6" s="1"/>
  <c r="B392" i="6"/>
  <c r="C392" i="6" s="1"/>
  <c r="B9" i="6"/>
  <c r="C9" i="6" s="1"/>
  <c r="B25" i="6"/>
  <c r="C25" i="6" s="1"/>
  <c r="B41" i="6"/>
  <c r="C41" i="6" s="1"/>
  <c r="B57" i="6"/>
  <c r="C57" i="6" s="1"/>
  <c r="B73" i="6"/>
  <c r="C73" i="6" s="1"/>
  <c r="B89" i="6"/>
  <c r="C89" i="6" s="1"/>
  <c r="B105" i="6"/>
  <c r="C105" i="6" s="1"/>
  <c r="B121" i="6"/>
  <c r="C121" i="6" s="1"/>
  <c r="B137" i="6"/>
  <c r="C137" i="6" s="1"/>
  <c r="B153" i="6"/>
  <c r="C153" i="6" s="1"/>
  <c r="B169" i="6"/>
  <c r="C169" i="6" s="1"/>
  <c r="B185" i="6"/>
  <c r="C185" i="6" s="1"/>
  <c r="B201" i="6"/>
  <c r="C201" i="6" s="1"/>
  <c r="B217" i="6"/>
  <c r="C217" i="6" s="1"/>
  <c r="B233" i="6"/>
  <c r="C233" i="6" s="1"/>
  <c r="B249" i="6"/>
  <c r="C249" i="6" s="1"/>
  <c r="B265" i="6"/>
  <c r="C265" i="6" s="1"/>
  <c r="B281" i="6"/>
  <c r="C281" i="6" s="1"/>
  <c r="B297" i="6"/>
  <c r="C297" i="6" s="1"/>
  <c r="B313" i="6"/>
  <c r="C313" i="6" s="1"/>
  <c r="B329" i="6"/>
  <c r="C329" i="6" s="1"/>
  <c r="B345" i="6"/>
  <c r="C345" i="6" s="1"/>
  <c r="B361" i="6"/>
  <c r="C361" i="6" s="1"/>
  <c r="B377" i="6"/>
  <c r="C377" i="6" s="1"/>
  <c r="B393" i="6"/>
  <c r="C393" i="6" s="1"/>
  <c r="B10" i="6"/>
  <c r="C10" i="6" s="1"/>
  <c r="B26" i="6"/>
  <c r="C26" i="6" s="1"/>
  <c r="B42" i="6"/>
  <c r="C42" i="6" s="1"/>
  <c r="B58" i="6"/>
  <c r="C58" i="6" s="1"/>
  <c r="B74" i="6"/>
  <c r="C74" i="6" s="1"/>
  <c r="B90" i="6"/>
  <c r="C90" i="6" s="1"/>
  <c r="B106" i="6"/>
  <c r="C106" i="6" s="1"/>
  <c r="B122" i="6"/>
  <c r="C122" i="6" s="1"/>
  <c r="B138" i="6"/>
  <c r="C138" i="6" s="1"/>
  <c r="B154" i="6"/>
  <c r="C154" i="6" s="1"/>
  <c r="B170" i="6"/>
  <c r="C170" i="6" s="1"/>
  <c r="B186" i="6"/>
  <c r="C186" i="6" s="1"/>
  <c r="B202" i="6"/>
  <c r="C202" i="6" s="1"/>
  <c r="B218" i="6"/>
  <c r="C218" i="6" s="1"/>
  <c r="B234" i="6"/>
  <c r="C234" i="6" s="1"/>
  <c r="B250" i="6"/>
  <c r="C250" i="6" s="1"/>
  <c r="B266" i="6"/>
  <c r="C266" i="6" s="1"/>
  <c r="B282" i="6"/>
  <c r="C282" i="6" s="1"/>
  <c r="B298" i="6"/>
  <c r="C298" i="6" s="1"/>
  <c r="B314" i="6"/>
  <c r="C314" i="6" s="1"/>
  <c r="B330" i="6"/>
  <c r="C330" i="6" s="1"/>
  <c r="B346" i="6"/>
  <c r="C346" i="6" s="1"/>
  <c r="B362" i="6"/>
  <c r="C362" i="6" s="1"/>
  <c r="B378" i="6"/>
  <c r="C378" i="6" s="1"/>
  <c r="B394" i="6"/>
  <c r="C394" i="6" s="1"/>
  <c r="B18" i="6"/>
  <c r="C18" i="6" s="1"/>
  <c r="B34" i="6"/>
  <c r="C34" i="6" s="1"/>
  <c r="B50" i="6"/>
  <c r="C50" i="6" s="1"/>
  <c r="B66" i="6"/>
  <c r="C66" i="6" s="1"/>
  <c r="B82" i="6"/>
  <c r="C82" i="6" s="1"/>
  <c r="B98" i="6"/>
  <c r="C98" i="6" s="1"/>
  <c r="B114" i="6"/>
  <c r="C114" i="6" s="1"/>
  <c r="B130" i="6"/>
  <c r="C130" i="6" s="1"/>
  <c r="B146" i="6"/>
  <c r="C146" i="6" s="1"/>
  <c r="B162" i="6"/>
  <c r="C162" i="6" s="1"/>
  <c r="B178" i="6"/>
  <c r="C178" i="6" s="1"/>
  <c r="B194" i="6"/>
  <c r="C194" i="6" s="1"/>
  <c r="B210" i="6"/>
  <c r="C210" i="6" s="1"/>
  <c r="B226" i="6"/>
  <c r="C226" i="6" s="1"/>
  <c r="B242" i="6"/>
  <c r="C242" i="6" s="1"/>
  <c r="B258" i="6"/>
  <c r="C258" i="6" s="1"/>
  <c r="B274" i="6"/>
  <c r="C274" i="6" s="1"/>
  <c r="B290" i="6"/>
  <c r="C290" i="6" s="1"/>
  <c r="B306" i="6"/>
  <c r="C306" i="6" s="1"/>
  <c r="B322" i="6"/>
  <c r="C322" i="6" s="1"/>
  <c r="B338" i="6"/>
  <c r="C338" i="6" s="1"/>
  <c r="B354" i="6"/>
  <c r="C354" i="6" s="1"/>
  <c r="B370" i="6"/>
  <c r="C370" i="6" s="1"/>
  <c r="B386" i="6"/>
  <c r="C386" i="6" s="1"/>
  <c r="B3" i="6"/>
  <c r="C3" i="6" s="1"/>
  <c r="B19" i="6"/>
  <c r="C19" i="6" s="1"/>
  <c r="B35" i="6"/>
  <c r="C35" i="6" s="1"/>
  <c r="B51" i="6"/>
  <c r="C51" i="6" s="1"/>
  <c r="B67" i="6"/>
  <c r="C67" i="6" s="1"/>
  <c r="B83" i="6"/>
  <c r="C83" i="6" s="1"/>
  <c r="B99" i="6"/>
  <c r="C99" i="6" s="1"/>
  <c r="B115" i="6"/>
  <c r="C115" i="6" s="1"/>
  <c r="B131" i="6"/>
  <c r="C131" i="6" s="1"/>
  <c r="B147" i="6"/>
  <c r="C147" i="6" s="1"/>
  <c r="B163" i="6"/>
  <c r="C163" i="6" s="1"/>
  <c r="B179" i="6"/>
  <c r="C179" i="6" s="1"/>
  <c r="B195" i="6"/>
  <c r="C195" i="6" s="1"/>
  <c r="B211" i="6"/>
  <c r="C211" i="6" s="1"/>
  <c r="B227" i="6"/>
  <c r="C227" i="6" s="1"/>
  <c r="B243" i="6"/>
  <c r="C243" i="6" s="1"/>
  <c r="B259" i="6"/>
  <c r="C259" i="6" s="1"/>
  <c r="B275" i="6"/>
  <c r="C275" i="6" s="1"/>
  <c r="B291" i="6"/>
  <c r="C291" i="6" s="1"/>
  <c r="B307" i="6"/>
  <c r="C307" i="6" s="1"/>
  <c r="B323" i="6"/>
  <c r="C323" i="6" s="1"/>
  <c r="B339" i="6"/>
  <c r="C339" i="6" s="1"/>
  <c r="B355" i="6"/>
  <c r="C355" i="6" s="1"/>
  <c r="B371" i="6"/>
  <c r="C371" i="6" s="1"/>
  <c r="B387" i="6"/>
  <c r="C387" i="6" s="1"/>
  <c r="B4" i="6"/>
  <c r="C4" i="6" s="1"/>
  <c r="B20" i="6"/>
  <c r="C20" i="6" s="1"/>
  <c r="B36" i="6"/>
  <c r="C36" i="6" s="1"/>
  <c r="B52" i="6"/>
  <c r="C52" i="6" s="1"/>
  <c r="B68" i="6"/>
  <c r="C68" i="6" s="1"/>
  <c r="B84" i="6"/>
  <c r="C84" i="6" s="1"/>
  <c r="B100" i="6"/>
  <c r="C100" i="6" s="1"/>
  <c r="B116" i="6"/>
  <c r="C116" i="6" s="1"/>
  <c r="B132" i="6"/>
  <c r="C132" i="6" s="1"/>
  <c r="B148" i="6"/>
  <c r="C148" i="6" s="1"/>
  <c r="B164" i="6"/>
  <c r="C164" i="6" s="1"/>
  <c r="B180" i="6"/>
  <c r="C180" i="6" s="1"/>
  <c r="B196" i="6"/>
  <c r="C196" i="6" s="1"/>
  <c r="B212" i="6"/>
  <c r="C212" i="6" s="1"/>
  <c r="B228" i="6"/>
  <c r="C228" i="6" s="1"/>
  <c r="B244" i="6"/>
  <c r="C244" i="6" s="1"/>
  <c r="B260" i="6"/>
  <c r="C260" i="6" s="1"/>
  <c r="B276" i="6"/>
  <c r="C276" i="6" s="1"/>
  <c r="B292" i="6"/>
  <c r="C292" i="6" s="1"/>
  <c r="B308" i="6"/>
  <c r="C308" i="6" s="1"/>
  <c r="B324" i="6"/>
  <c r="C324" i="6" s="1"/>
  <c r="B340" i="6"/>
  <c r="C340" i="6" s="1"/>
  <c r="B356" i="6"/>
  <c r="C356" i="6" s="1"/>
  <c r="B372" i="6"/>
  <c r="C372" i="6" s="1"/>
  <c r="B388" i="6"/>
  <c r="C388" i="6" s="1"/>
  <c r="B373" i="6"/>
  <c r="C373" i="6" s="1"/>
  <c r="B336" i="6"/>
  <c r="C336" i="6" s="1"/>
  <c r="B302" i="6"/>
  <c r="C302" i="6" s="1"/>
  <c r="B262" i="6"/>
  <c r="C262" i="6" s="1"/>
  <c r="B225" i="6"/>
  <c r="C225" i="6" s="1"/>
  <c r="B191" i="6"/>
  <c r="C191" i="6" s="1"/>
  <c r="B150" i="6"/>
  <c r="C150" i="6" s="1"/>
  <c r="B111" i="6"/>
  <c r="C111" i="6" s="1"/>
  <c r="B22" i="6"/>
  <c r="C22" i="6" s="1"/>
  <c r="B369" i="6"/>
  <c r="C369" i="6" s="1"/>
  <c r="B335" i="6"/>
  <c r="C335" i="6" s="1"/>
  <c r="B301" i="6"/>
  <c r="C301" i="6" s="1"/>
  <c r="B261" i="6"/>
  <c r="C261" i="6" s="1"/>
  <c r="B224" i="6"/>
  <c r="C224" i="6" s="1"/>
  <c r="B190" i="6"/>
  <c r="C190" i="6" s="1"/>
  <c r="B149" i="6"/>
  <c r="C149" i="6" s="1"/>
  <c r="B110" i="6"/>
  <c r="C110" i="6" s="1"/>
  <c r="B64" i="6"/>
  <c r="C64" i="6" s="1"/>
  <c r="B21" i="6"/>
  <c r="C21" i="6" s="1"/>
  <c r="B368" i="6"/>
  <c r="C368" i="6" s="1"/>
  <c r="B334" i="6"/>
  <c r="C334" i="6" s="1"/>
  <c r="B294" i="6"/>
  <c r="C294" i="6" s="1"/>
  <c r="B257" i="6"/>
  <c r="C257" i="6" s="1"/>
  <c r="B223" i="6"/>
  <c r="C223" i="6" s="1"/>
  <c r="B189" i="6"/>
  <c r="C189" i="6" s="1"/>
  <c r="B145" i="6"/>
  <c r="C145" i="6" s="1"/>
  <c r="B102" i="6"/>
  <c r="C102" i="6" s="1"/>
  <c r="B63" i="6"/>
  <c r="C63" i="6" s="1"/>
  <c r="B17" i="6"/>
  <c r="C17" i="6" s="1"/>
  <c r="B367" i="6"/>
  <c r="C367" i="6" s="1"/>
  <c r="B333" i="6"/>
  <c r="C333" i="6" s="1"/>
  <c r="B293" i="6"/>
  <c r="C293" i="6" s="1"/>
  <c r="B256" i="6"/>
  <c r="C256" i="6" s="1"/>
  <c r="B222" i="6"/>
  <c r="C222" i="6" s="1"/>
  <c r="B182" i="6"/>
  <c r="C182" i="6" s="1"/>
  <c r="B144" i="6"/>
  <c r="C144" i="6" s="1"/>
  <c r="B101" i="6"/>
  <c r="C101" i="6" s="1"/>
  <c r="B62" i="6"/>
  <c r="C62" i="6" s="1"/>
  <c r="B16" i="6"/>
  <c r="C16" i="6" s="1"/>
  <c r="B31" i="6"/>
  <c r="C31" i="6" s="1"/>
  <c r="B69" i="6"/>
  <c r="C69" i="6" s="1"/>
  <c r="B2" i="6"/>
  <c r="C2" i="6" s="1"/>
  <c r="B326" i="6"/>
  <c r="C326" i="6" s="1"/>
  <c r="B289" i="6"/>
  <c r="C289" i="6" s="1"/>
  <c r="B255" i="6"/>
  <c r="C255" i="6" s="1"/>
  <c r="B221" i="6"/>
  <c r="C221" i="6" s="1"/>
  <c r="B181" i="6"/>
  <c r="C181" i="6" s="1"/>
  <c r="B143" i="6"/>
  <c r="C143" i="6" s="1"/>
  <c r="B97" i="6"/>
  <c r="C97" i="6" s="1"/>
  <c r="B54" i="6"/>
  <c r="C54" i="6" s="1"/>
  <c r="B15" i="6"/>
  <c r="C15" i="6" s="1"/>
  <c r="B374" i="6"/>
  <c r="C374" i="6" s="1"/>
  <c r="B337" i="6"/>
  <c r="C337" i="6" s="1"/>
  <c r="B303" i="6"/>
  <c r="C303" i="6" s="1"/>
  <c r="B269" i="6"/>
  <c r="C269" i="6" s="1"/>
  <c r="B229" i="6"/>
  <c r="C229" i="6" s="1"/>
  <c r="B158" i="6"/>
  <c r="C158" i="6" s="1"/>
  <c r="B112" i="6"/>
  <c r="C112" i="6" s="1"/>
  <c r="B30" i="6"/>
  <c r="C30" i="6" s="1"/>
  <c r="B65" i="6"/>
  <c r="C65" i="6" s="1"/>
  <c r="B366" i="6"/>
  <c r="C366" i="6" s="1"/>
  <c r="B399" i="6"/>
  <c r="C399" i="6" s="1"/>
  <c r="B365" i="6"/>
  <c r="C365" i="6" s="1"/>
  <c r="B325" i="6"/>
  <c r="C325" i="6" s="1"/>
  <c r="B288" i="6"/>
  <c r="C288" i="6" s="1"/>
  <c r="B254" i="6"/>
  <c r="C254" i="6" s="1"/>
  <c r="B214" i="6"/>
  <c r="C214" i="6" s="1"/>
  <c r="B177" i="6"/>
  <c r="C177" i="6" s="1"/>
  <c r="B142" i="6"/>
  <c r="C142" i="6" s="1"/>
  <c r="B96" i="6"/>
  <c r="C96" i="6" s="1"/>
  <c r="B53" i="6"/>
  <c r="C53" i="6" s="1"/>
  <c r="B14" i="6"/>
  <c r="C14" i="6" s="1"/>
  <c r="B192" i="6"/>
  <c r="C192" i="6" s="1"/>
  <c r="B398" i="6"/>
  <c r="C398" i="6" s="1"/>
  <c r="B358" i="6"/>
  <c r="C358" i="6" s="1"/>
  <c r="B321" i="6"/>
  <c r="C321" i="6" s="1"/>
  <c r="B287" i="6"/>
  <c r="C287" i="6" s="1"/>
  <c r="B253" i="6"/>
  <c r="C253" i="6" s="1"/>
  <c r="B213" i="6"/>
  <c r="C213" i="6" s="1"/>
  <c r="B176" i="6"/>
  <c r="C176" i="6" s="1"/>
  <c r="B134" i="6"/>
  <c r="C134" i="6" s="1"/>
  <c r="B95" i="6"/>
  <c r="C95" i="6" s="1"/>
  <c r="B49" i="6"/>
  <c r="C49" i="6" s="1"/>
  <c r="B6" i="6"/>
  <c r="C6" i="6" s="1"/>
  <c r="J3" i="6"/>
  <c r="K3" i="6" s="1"/>
  <c r="L3" i="6" l="1"/>
</calcChain>
</file>

<file path=xl/sharedStrings.xml><?xml version="1.0" encoding="utf-8"?>
<sst xmlns="http://schemas.openxmlformats.org/spreadsheetml/2006/main" count="2694" uniqueCount="464">
  <si>
    <t>name</t>
  </si>
  <si>
    <t>mpg</t>
  </si>
  <si>
    <t>cylinders</t>
  </si>
  <si>
    <t>displacement</t>
  </si>
  <si>
    <t>horsepower</t>
  </si>
  <si>
    <t>weight</t>
  </si>
  <si>
    <t>acceleration</t>
  </si>
  <si>
    <t>model_year</t>
  </si>
  <si>
    <t>origin</t>
  </si>
  <si>
    <t>chevrolet chevelle malibu</t>
  </si>
  <si>
    <t>usa</t>
  </si>
  <si>
    <t>buick skylark 320</t>
  </si>
  <si>
    <t>plymouth satellite</t>
  </si>
  <si>
    <t>amc rebel sst</t>
  </si>
  <si>
    <t>ford torino</t>
  </si>
  <si>
    <t>ford galaxie 500</t>
  </si>
  <si>
    <t>chevrolet impala</t>
  </si>
  <si>
    <t>plymouth fury iii</t>
  </si>
  <si>
    <t>pontiac catalina</t>
  </si>
  <si>
    <t>amc ambassador dpl</t>
  </si>
  <si>
    <t>dodge challenger se</t>
  </si>
  <si>
    <t>plymouth 'cuda 340</t>
  </si>
  <si>
    <t>chevrolet monte carlo</t>
  </si>
  <si>
    <t>buick estate wagon (sw)</t>
  </si>
  <si>
    <t>toyota corona mark ii</t>
  </si>
  <si>
    <t>japan</t>
  </si>
  <si>
    <t>plymouth duster</t>
  </si>
  <si>
    <t>amc hornet</t>
  </si>
  <si>
    <t>ford maverick</t>
  </si>
  <si>
    <t>datsun pl510</t>
  </si>
  <si>
    <t>volkswagen 1131 deluxe sedan</t>
  </si>
  <si>
    <t>europe</t>
  </si>
  <si>
    <t>peugeot 504</t>
  </si>
  <si>
    <t>audi 100 ls</t>
  </si>
  <si>
    <t>saab 99e</t>
  </si>
  <si>
    <t>bmw 2002</t>
  </si>
  <si>
    <t>amc gremlin</t>
  </si>
  <si>
    <t>ford f250</t>
  </si>
  <si>
    <t>chevy c20</t>
  </si>
  <si>
    <t>dodge d200</t>
  </si>
  <si>
    <t>hi 1200d</t>
  </si>
  <si>
    <t>chevrolet vega 2300</t>
  </si>
  <si>
    <t>toyota corona</t>
  </si>
  <si>
    <t>ford pinto</t>
  </si>
  <si>
    <t>plymouth satellite custom</t>
  </si>
  <si>
    <t>ford torino 500</t>
  </si>
  <si>
    <t>amc matador</t>
  </si>
  <si>
    <t>pontiac catalina brougham</t>
  </si>
  <si>
    <t>dodge monaco (sw)</t>
  </si>
  <si>
    <t>ford country squire (sw)</t>
  </si>
  <si>
    <t>pontiac safari (sw)</t>
  </si>
  <si>
    <t>amc hornet sportabout (sw)</t>
  </si>
  <si>
    <t>chevrolet vega (sw)</t>
  </si>
  <si>
    <t>pontiac firebird</t>
  </si>
  <si>
    <t>ford mustang</t>
  </si>
  <si>
    <t>mercury capri 2000</t>
  </si>
  <si>
    <t>opel 1900</t>
  </si>
  <si>
    <t>peugeot 304</t>
  </si>
  <si>
    <t>fiat 124b</t>
  </si>
  <si>
    <t>toyota corolla 1200</t>
  </si>
  <si>
    <t>datsun 1200</t>
  </si>
  <si>
    <t>volkswagen model 111</t>
  </si>
  <si>
    <t>plymouth cricket</t>
  </si>
  <si>
    <t>toyota corona hardtop</t>
  </si>
  <si>
    <t>dodge colt hardtop</t>
  </si>
  <si>
    <t>volkswagen type 3</t>
  </si>
  <si>
    <t>chevrolet vega</t>
  </si>
  <si>
    <t>ford pinto runabout</t>
  </si>
  <si>
    <t>amc ambassador sst</t>
  </si>
  <si>
    <t>mercury marquis</t>
  </si>
  <si>
    <t>buick lesabre custom</t>
  </si>
  <si>
    <t>oldsmobile delta 88 royale</t>
  </si>
  <si>
    <t>chrysler newport royal</t>
  </si>
  <si>
    <t>mazda rx2 coupe</t>
  </si>
  <si>
    <t>amc matador (sw)</t>
  </si>
  <si>
    <t>chevrolet chevelle concours (sw)</t>
  </si>
  <si>
    <t>ford gran torino (sw)</t>
  </si>
  <si>
    <t>plymouth satellite custom (sw)</t>
  </si>
  <si>
    <t>volvo 145e (sw)</t>
  </si>
  <si>
    <t>volkswagen 411 (sw)</t>
  </si>
  <si>
    <t>peugeot 504 (sw)</t>
  </si>
  <si>
    <t>renault 12 (sw)</t>
  </si>
  <si>
    <t>ford pinto (sw)</t>
  </si>
  <si>
    <t>datsun 510 (sw)</t>
  </si>
  <si>
    <t>toyouta corona mark ii (sw)</t>
  </si>
  <si>
    <t>dodge colt (sw)</t>
  </si>
  <si>
    <t>toyota corolla 1600 (sw)</t>
  </si>
  <si>
    <t>buick century 350</t>
  </si>
  <si>
    <t>chevrolet malibu</t>
  </si>
  <si>
    <t>ford gran torino</t>
  </si>
  <si>
    <t>dodge coronet custom</t>
  </si>
  <si>
    <t>mercury marquis brougham</t>
  </si>
  <si>
    <t>chevrolet caprice classic</t>
  </si>
  <si>
    <t>ford ltd</t>
  </si>
  <si>
    <t>plymouth fury gran sedan</t>
  </si>
  <si>
    <t>chrysler new yorker brougham</t>
  </si>
  <si>
    <t>buick electra 225 custom</t>
  </si>
  <si>
    <t>amc ambassador brougham</t>
  </si>
  <si>
    <t>plymouth valiant</t>
  </si>
  <si>
    <t>chevrolet nova custom</t>
  </si>
  <si>
    <t>volkswagen super beetle</t>
  </si>
  <si>
    <t>ford country</t>
  </si>
  <si>
    <t>plymouth custom suburb</t>
  </si>
  <si>
    <t>oldsmobile vista cruiser</t>
  </si>
  <si>
    <t>toyota carina</t>
  </si>
  <si>
    <t>datsun 610</t>
  </si>
  <si>
    <t>maxda rx3</t>
  </si>
  <si>
    <t>mercury capri v6</t>
  </si>
  <si>
    <t>fiat 124 sport coupe</t>
  </si>
  <si>
    <t>chevrolet monte carlo s</t>
  </si>
  <si>
    <t>pontiac grand prix</t>
  </si>
  <si>
    <t>fiat 128</t>
  </si>
  <si>
    <t>opel manta</t>
  </si>
  <si>
    <t>audi 100ls</t>
  </si>
  <si>
    <t>volvo 144ea</t>
  </si>
  <si>
    <t>dodge dart custom</t>
  </si>
  <si>
    <t>saab 99le</t>
  </si>
  <si>
    <t>toyota mark ii</t>
  </si>
  <si>
    <t>oldsmobile omega</t>
  </si>
  <si>
    <t>chevrolet nova</t>
  </si>
  <si>
    <t>datsun b210</t>
  </si>
  <si>
    <t>chevrolet chevelle malibu classic</t>
  </si>
  <si>
    <t>plymouth satellite sebring</t>
  </si>
  <si>
    <t>buick century luxus (sw)</t>
  </si>
  <si>
    <t>dodge coronet custom (sw)</t>
  </si>
  <si>
    <t>audi fox</t>
  </si>
  <si>
    <t>volkswagen dasher</t>
  </si>
  <si>
    <t>datsun 710</t>
  </si>
  <si>
    <t>dodge colt</t>
  </si>
  <si>
    <t>fiat 124 tc</t>
  </si>
  <si>
    <t>honda civic</t>
  </si>
  <si>
    <t>subaru</t>
  </si>
  <si>
    <t>fiat x1.9</t>
  </si>
  <si>
    <t>plymouth valiant custom</t>
  </si>
  <si>
    <t>mercury monarch</t>
  </si>
  <si>
    <t>chevrolet bel air</t>
  </si>
  <si>
    <t>plymouth grand fury</t>
  </si>
  <si>
    <t>buick century</t>
  </si>
  <si>
    <t>chevroelt chevelle malibu</t>
  </si>
  <si>
    <t>plymouth fury</t>
  </si>
  <si>
    <t>buick skyhawk</t>
  </si>
  <si>
    <t>chevrolet monza 2+2</t>
  </si>
  <si>
    <t>ford mustang ii</t>
  </si>
  <si>
    <t>toyota corolla</t>
  </si>
  <si>
    <t>pontiac astro</t>
  </si>
  <si>
    <t>volkswagen rabbit</t>
  </si>
  <si>
    <t>amc pacer</t>
  </si>
  <si>
    <t>volvo 244dl</t>
  </si>
  <si>
    <t>honda civic cvcc</t>
  </si>
  <si>
    <t>fiat 131</t>
  </si>
  <si>
    <t>capri ii</t>
  </si>
  <si>
    <t>renault 12tl</t>
  </si>
  <si>
    <t>dodge coronet brougham</t>
  </si>
  <si>
    <t>chevrolet chevette</t>
  </si>
  <si>
    <t>chevrolet woody</t>
  </si>
  <si>
    <t>vw rabbit</t>
  </si>
  <si>
    <t>dodge aspen se</t>
  </si>
  <si>
    <t>ford granada ghia</t>
  </si>
  <si>
    <t>pontiac ventura sj</t>
  </si>
  <si>
    <t>amc pacer d/l</t>
  </si>
  <si>
    <t>datsun b-210</t>
  </si>
  <si>
    <t>volvo 245</t>
  </si>
  <si>
    <t>plymouth volare premier v8</t>
  </si>
  <si>
    <t>mercedes-benz 280s</t>
  </si>
  <si>
    <t>cadillac seville</t>
  </si>
  <si>
    <t>chevy c10</t>
  </si>
  <si>
    <t>ford f108</t>
  </si>
  <si>
    <t>dodge d100</t>
  </si>
  <si>
    <t>honda accord cvcc</t>
  </si>
  <si>
    <t>buick opel isuzu deluxe</t>
  </si>
  <si>
    <t>renault 5 gtl</t>
  </si>
  <si>
    <t>plymouth arrow gs</t>
  </si>
  <si>
    <t>datsun f-10 hatchback</t>
  </si>
  <si>
    <t>oldsmobile cutlass supreme</t>
  </si>
  <si>
    <t>dodge monaco brougham</t>
  </si>
  <si>
    <t>mercury cougar brougham</t>
  </si>
  <si>
    <t>chevrolet concours</t>
  </si>
  <si>
    <t>buick skylark</t>
  </si>
  <si>
    <t>plymouth volare custom</t>
  </si>
  <si>
    <t>ford granada</t>
  </si>
  <si>
    <t>pontiac grand prix lj</t>
  </si>
  <si>
    <t>chevrolet monte carlo landau</t>
  </si>
  <si>
    <t>chrysler cordoba</t>
  </si>
  <si>
    <t>ford thunderbird</t>
  </si>
  <si>
    <t>volkswagen rabbit custom</t>
  </si>
  <si>
    <t>pontiac sunbird coupe</t>
  </si>
  <si>
    <t>toyota corolla liftback</t>
  </si>
  <si>
    <t>ford mustang ii 2+2</t>
  </si>
  <si>
    <t>dodge colt m/m</t>
  </si>
  <si>
    <t>subaru dl</t>
  </si>
  <si>
    <t>datsun 810</t>
  </si>
  <si>
    <t>bmw 320i</t>
  </si>
  <si>
    <t>mazda rx-4</t>
  </si>
  <si>
    <t>volkswagen rabbit custom diesel</t>
  </si>
  <si>
    <t>ford fiesta</t>
  </si>
  <si>
    <t>mazda glc deluxe</t>
  </si>
  <si>
    <t>datsun b210 gx</t>
  </si>
  <si>
    <t>oldsmobile cutlass salon brougham</t>
  </si>
  <si>
    <t>dodge diplomat</t>
  </si>
  <si>
    <t>mercury monarch ghia</t>
  </si>
  <si>
    <t>pontiac phoenix lj</t>
  </si>
  <si>
    <t>ford fairmont (auto)</t>
  </si>
  <si>
    <t>ford fairmont (man)</t>
  </si>
  <si>
    <t>plymouth volare</t>
  </si>
  <si>
    <t>amc concord</t>
  </si>
  <si>
    <t>buick century special</t>
  </si>
  <si>
    <t>mercury zephyr</t>
  </si>
  <si>
    <t>dodge aspen</t>
  </si>
  <si>
    <t>amc concord d/l</t>
  </si>
  <si>
    <t>buick regal sport coupe (turbo)</t>
  </si>
  <si>
    <t>ford futura</t>
  </si>
  <si>
    <t>dodge magnum xe</t>
  </si>
  <si>
    <t>datsun 510</t>
  </si>
  <si>
    <t>dodge omni</t>
  </si>
  <si>
    <t>toyota celica gt liftback</t>
  </si>
  <si>
    <t>plymouth sapporo</t>
  </si>
  <si>
    <t>oldsmobile starfire sx</t>
  </si>
  <si>
    <t>datsun 200-sx</t>
  </si>
  <si>
    <t>audi 5000</t>
  </si>
  <si>
    <t>volvo 264gl</t>
  </si>
  <si>
    <t>saab 99gle</t>
  </si>
  <si>
    <t>peugeot 604sl</t>
  </si>
  <si>
    <t>volkswagen scirocco</t>
  </si>
  <si>
    <t>honda accord lx</t>
  </si>
  <si>
    <t>pontiac lemans v6</t>
  </si>
  <si>
    <t>mercury zephyr 6</t>
  </si>
  <si>
    <t>ford fairmont 4</t>
  </si>
  <si>
    <t>amc concord dl 6</t>
  </si>
  <si>
    <t>dodge aspen 6</t>
  </si>
  <si>
    <t>ford ltd landau</t>
  </si>
  <si>
    <t>mercury grand marquis</t>
  </si>
  <si>
    <t>dodge st. regis</t>
  </si>
  <si>
    <t>chevrolet malibu classic (sw)</t>
  </si>
  <si>
    <t>chrysler lebaron town @ country (sw)</t>
  </si>
  <si>
    <t>vw rabbit custom</t>
  </si>
  <si>
    <t>maxda glc deluxe</t>
  </si>
  <si>
    <t>dodge colt hatchback custom</t>
  </si>
  <si>
    <t>amc spirit dl</t>
  </si>
  <si>
    <t>mercedes benz 300d</t>
  </si>
  <si>
    <t>cadillac eldorado</t>
  </si>
  <si>
    <t>plymouth horizon</t>
  </si>
  <si>
    <t>plymouth horizon tc3</t>
  </si>
  <si>
    <t>datsun 210</t>
  </si>
  <si>
    <t>fiat strada custom</t>
  </si>
  <si>
    <t>buick skylark limited</t>
  </si>
  <si>
    <t>chevrolet citation</t>
  </si>
  <si>
    <t>oldsmobile omega brougham</t>
  </si>
  <si>
    <t>pontiac phoenix</t>
  </si>
  <si>
    <t>toyota corolla tercel</t>
  </si>
  <si>
    <t>datsun 310</t>
  </si>
  <si>
    <t>ford fairmont</t>
  </si>
  <si>
    <t>audi 4000</t>
  </si>
  <si>
    <t>toyota corona liftback</t>
  </si>
  <si>
    <t>mazda 626</t>
  </si>
  <si>
    <t>datsun 510 hatchback</t>
  </si>
  <si>
    <t>mazda glc</t>
  </si>
  <si>
    <t>vw rabbit c (diesel)</t>
  </si>
  <si>
    <t>vw dasher (diesel)</t>
  </si>
  <si>
    <t>audi 5000s (diesel)</t>
  </si>
  <si>
    <t>mercedes-benz 240d</t>
  </si>
  <si>
    <t>honda civic 1500 gl</t>
  </si>
  <si>
    <t>renault lecar deluxe</t>
  </si>
  <si>
    <t>vokswagen rabbit</t>
  </si>
  <si>
    <t>datsun 280-zx</t>
  </si>
  <si>
    <t>mazda rx-7 gs</t>
  </si>
  <si>
    <t>triumph tr7 coupe</t>
  </si>
  <si>
    <t>ford mustang cobra</t>
  </si>
  <si>
    <t>honda accord</t>
  </si>
  <si>
    <t>plymouth reliant</t>
  </si>
  <si>
    <t>dodge aries wagon (sw)</t>
  </si>
  <si>
    <t>toyota starlet</t>
  </si>
  <si>
    <t>plymouth champ</t>
  </si>
  <si>
    <t>honda civic 1300</t>
  </si>
  <si>
    <t>datsun 210 mpg</t>
  </si>
  <si>
    <t>toyota tercel</t>
  </si>
  <si>
    <t>mazda glc 4</t>
  </si>
  <si>
    <t>plymouth horizon 4</t>
  </si>
  <si>
    <t>ford escort 4w</t>
  </si>
  <si>
    <t>ford escort 2h</t>
  </si>
  <si>
    <t>volkswagen jetta</t>
  </si>
  <si>
    <t>renault 18i</t>
  </si>
  <si>
    <t>honda prelude</t>
  </si>
  <si>
    <t>datsun 200sx</t>
  </si>
  <si>
    <t>peugeot 505s turbo diesel</t>
  </si>
  <si>
    <t>volvo diesel</t>
  </si>
  <si>
    <t>toyota cressida</t>
  </si>
  <si>
    <t>datsun 810 maxima</t>
  </si>
  <si>
    <t>oldsmobile cutlass ls</t>
  </si>
  <si>
    <t>ford granada gl</t>
  </si>
  <si>
    <t>chrysler lebaron salon</t>
  </si>
  <si>
    <t>chevrolet cavalier</t>
  </si>
  <si>
    <t>chevrolet cavalier wagon</t>
  </si>
  <si>
    <t>chevrolet cavalier 2-door</t>
  </si>
  <si>
    <t>pontiac j2000 se hatchback</t>
  </si>
  <si>
    <t>dodge aries se</t>
  </si>
  <si>
    <t>ford fairmont futura</t>
  </si>
  <si>
    <t>amc concord dl</t>
  </si>
  <si>
    <t>volkswagen rabbit l</t>
  </si>
  <si>
    <t>mazda glc custom l</t>
  </si>
  <si>
    <t>mazda glc custom</t>
  </si>
  <si>
    <t>plymouth horizon miser</t>
  </si>
  <si>
    <t>mercury lynx l</t>
  </si>
  <si>
    <t>nissan stanza xe</t>
  </si>
  <si>
    <t>honda civic (auto)</t>
  </si>
  <si>
    <t>datsun 310 gx</t>
  </si>
  <si>
    <t>buick century limited</t>
  </si>
  <si>
    <t>oldsmobile cutlass ciera (diesel)</t>
  </si>
  <si>
    <t>chrysler lebaron medallion</t>
  </si>
  <si>
    <t>ford granada l</t>
  </si>
  <si>
    <t>toyota celica gt</t>
  </si>
  <si>
    <t>dodge charger 2.2</t>
  </si>
  <si>
    <t>chevrolet camaro</t>
  </si>
  <si>
    <t>ford mustang gl</t>
  </si>
  <si>
    <t>vw pickup</t>
  </si>
  <si>
    <t>dodge rampage</t>
  </si>
  <si>
    <t>ford ranger</t>
  </si>
  <si>
    <t>chevy s-10</t>
  </si>
  <si>
    <t>Row Labels</t>
  </si>
  <si>
    <t>Grand Total</t>
  </si>
  <si>
    <t>number</t>
  </si>
  <si>
    <t>task</t>
  </si>
  <si>
    <t>dificulty</t>
  </si>
  <si>
    <t>Add Power-to-Weight Ratio Column</t>
  </si>
  <si>
    <t>Easy</t>
  </si>
  <si>
    <t>Create a summary table of vehicle counts</t>
  </si>
  <si>
    <t>Identify and visualize Outliers in MPG</t>
  </si>
  <si>
    <t>Analyze MPG VS Engine Size</t>
  </si>
  <si>
    <t>Medium</t>
  </si>
  <si>
    <t>Create a Pivot Table for MPG by Origin and Model Year</t>
  </si>
  <si>
    <t>Normalize acceleration across all vehicles</t>
  </si>
  <si>
    <t>Segment vehicles by performance tier</t>
  </si>
  <si>
    <t>Hard</t>
  </si>
  <si>
    <t>Predict missing Horsepower Values</t>
  </si>
  <si>
    <t>Build a Dashboard showing fuel efficiency trends</t>
  </si>
  <si>
    <t>Build a Machine Learning Model to predict MPG</t>
  </si>
  <si>
    <t>Completed</t>
  </si>
  <si>
    <t>No</t>
  </si>
  <si>
    <t>Top 10 Most Powerful Vehicles per Pound</t>
  </si>
  <si>
    <t>Power-to-Weight</t>
  </si>
  <si>
    <t>Rank</t>
  </si>
  <si>
    <t>Vehicle Name</t>
  </si>
  <si>
    <t>Yes</t>
  </si>
  <si>
    <t>Origin</t>
  </si>
  <si>
    <t>Europe</t>
  </si>
  <si>
    <t>Japan</t>
  </si>
  <si>
    <t>Usa</t>
  </si>
  <si>
    <t>Count</t>
  </si>
  <si>
    <t>Cylinders</t>
  </si>
  <si>
    <t>Model Year</t>
  </si>
  <si>
    <t>Total</t>
  </si>
  <si>
    <t>Vehicle Count Summary Table</t>
  </si>
  <si>
    <t>The 5-Number Summary</t>
  </si>
  <si>
    <t>Mininum</t>
  </si>
  <si>
    <t>Q1 (25th percentile)</t>
  </si>
  <si>
    <t>Median</t>
  </si>
  <si>
    <t>Q3 (75th percentile)</t>
  </si>
  <si>
    <t>Maximum</t>
  </si>
  <si>
    <t>IQR (Inter Quartile Range)</t>
  </si>
  <si>
    <t>Determine Outlier Thresholds</t>
  </si>
  <si>
    <t>Lower Bound</t>
  </si>
  <si>
    <t>Upper Bound</t>
  </si>
  <si>
    <t>Z-Filtering Method</t>
  </si>
  <si>
    <t>Mean</t>
  </si>
  <si>
    <t>Sum</t>
  </si>
  <si>
    <t>Average</t>
  </si>
  <si>
    <t>Std Dev</t>
  </si>
  <si>
    <t>Z-Score</t>
  </si>
  <si>
    <t>Is Outlier?</t>
  </si>
  <si>
    <t>Correlation Coefficient</t>
  </si>
  <si>
    <t>MPG is negatively correlated with engine displacement.</t>
  </si>
  <si>
    <t>As a car's fuel efficiency improves, its engine displacement decreases.</t>
  </si>
  <si>
    <t>Results of the trend</t>
  </si>
  <si>
    <t>Both of these attributes are inversely proportional to each other.</t>
  </si>
  <si>
    <t>Average of mpg</t>
  </si>
  <si>
    <t>Average MPG</t>
  </si>
  <si>
    <t>Regions</t>
  </si>
  <si>
    <t>USA</t>
  </si>
  <si>
    <t>Total Average</t>
  </si>
  <si>
    <t>Lowest</t>
  </si>
  <si>
    <t>Q1</t>
  </si>
  <si>
    <t>Q3</t>
  </si>
  <si>
    <t>STD Dev</t>
  </si>
  <si>
    <t>Is an Outlier?</t>
  </si>
  <si>
    <t>ROUNDED RES TO 3 D.P.</t>
  </si>
  <si>
    <t>Z-Flltering Method</t>
  </si>
  <si>
    <t>Normalized Acceleration</t>
  </si>
  <si>
    <t>Z-Score Acceleration</t>
  </si>
  <si>
    <t>Standard Deviation (STD dev)</t>
  </si>
  <si>
    <t>Min-max Normalization</t>
  </si>
  <si>
    <t>Minimum</t>
  </si>
  <si>
    <t>Performance Tier</t>
  </si>
  <si>
    <t>Standard Error</t>
  </si>
  <si>
    <t>Mode</t>
  </si>
  <si>
    <t>Standard Deviation</t>
  </si>
  <si>
    <t>Sample Variance</t>
  </si>
  <si>
    <t>Kurtosis</t>
  </si>
  <si>
    <t>Skewness</t>
  </si>
  <si>
    <t>Range</t>
  </si>
  <si>
    <t>HORSEPOWER</t>
  </si>
  <si>
    <t>Summaries</t>
  </si>
  <si>
    <t>MPG</t>
  </si>
  <si>
    <t>ACCELERATION</t>
  </si>
  <si>
    <t>Tier Thresholds</t>
  </si>
  <si>
    <t>Tier</t>
  </si>
  <si>
    <t>Horsepower</t>
  </si>
  <si>
    <t>Acceleration</t>
  </si>
  <si>
    <t>High Performance</t>
  </si>
  <si>
    <t>Mid Range</t>
  </si>
  <si>
    <t>Economy</t>
  </si>
  <si>
    <t>&gt; 100</t>
  </si>
  <si>
    <t>60-100</t>
  </si>
  <si>
    <t>&lt; 60</t>
  </si>
  <si>
    <t>Histogram Charts</t>
  </si>
  <si>
    <t>&gt; 19</t>
  </si>
  <si>
    <t>13-19</t>
  </si>
  <si>
    <t>&lt; 13</t>
  </si>
  <si>
    <t>&gt; 32.5</t>
  </si>
  <si>
    <t>17-32.5</t>
  </si>
  <si>
    <t>&lt; 17</t>
  </si>
  <si>
    <t>Count of Performance Tier</t>
  </si>
  <si>
    <t>Distribution around the years</t>
  </si>
  <si>
    <t>Vehicles with missing horsepower</t>
  </si>
  <si>
    <t>SUMMARY OUTPUT</t>
  </si>
  <si>
    <t>Regression Statistics</t>
  </si>
  <si>
    <t>Multiple R</t>
  </si>
  <si>
    <t>R Square</t>
  </si>
  <si>
    <t>Adjusted R Square</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</si>
  <si>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</si>
  <si>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</si>
  <si>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</si>
  <si>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</si>
  <si>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</si>
  <si>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</si>
  <si>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</si>
  <si>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</si>
  <si>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</si>
  <si>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</si>
  <si>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</si>
  <si>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</si>
  <si>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</si>
  <si>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</si>
  <si>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</si>
  <si>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</si>
  <si>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</si>
  <si>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X Variable 1</t>
  </si>
  <si>
    <t>X Variable 2</t>
  </si>
  <si>
    <t>X Variable 3</t>
  </si>
  <si>
    <t>calculations</t>
  </si>
  <si>
    <t>Predicted horsepower</t>
  </si>
  <si>
    <t>Predicted Horsepower Values</t>
  </si>
  <si>
    <t>Method documentation:</t>
  </si>
  <si>
    <t>Step</t>
  </si>
  <si>
    <t>Description</t>
  </si>
  <si>
    <t>Extract the names, horsepower, displacement and weight columns into a new worksheet for analysis</t>
  </si>
  <si>
    <t>Filter out records with missing horsepower</t>
  </si>
  <si>
    <t>Use the Data Analysis Tools from toolPak to pass on the Y-Range (Horsepower) and X-Range columns (cylinders, displacement,…)</t>
  </si>
  <si>
    <t>After creating a new worksheet for regression analysis, utilize the Intercept and X-Variables from the coefficients column to use the formula</t>
  </si>
  <si>
    <t>Formula: Intercept + (x-variable1 also known as the cylinder_coef * cylinder) + (x-variable2 * weight) + (x-variable3 * displacement)</t>
  </si>
  <si>
    <t>Count of name</t>
  </si>
  <si>
    <t>Average MPG by origin and model year</t>
  </si>
  <si>
    <t xml:space="preserve"> Count of Vehicles by origin and cylinders</t>
  </si>
  <si>
    <t>Average of horsepower</t>
  </si>
  <si>
    <t>Average horsepower by cylinders</t>
  </si>
  <si>
    <t>Count of vehicles by origin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</si>
</sst>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00B0F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style="medium">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0" borderId="10" xfId="0" applyBorder="1"/>
    <xf numFmtId="0" fontId="18" fillId="0" borderId="11" xfId="0" applyFont="1" applyBorder="1" applyAlignment="1">
      <alignment horizontal="centerContinuous"/>
    </xf>
    <xf numFmtId="0" fontId="0" fillId="34" borderId="0" xfId="0" applyFill="1"/>
    <xf numFmtId="0" fontId="18" fillId="0" borderId="11" xfId="0" applyFont="1" applyBorder="1" applyAlignment="1">
      <alignment horizontal="center"/>
    </xf>
    <xf numFmtId="0" fontId="0" fillId="34" borderId="0" xfId="0" applyFill="1" applyAlignment="1">
      <alignment wrapText="1"/>
    </xf>
    <xf numFmtId="0" fontId="0" fillId="35" borderId="0" xfId="0" applyFill="1" applyAlignment="1">
      <alignment wrapText="1"/>
    </xf>
    <xf numFmtId="0" fontId="0" fillId="35" borderId="0" xfId="0" applyFill="1"/>
    <xf numFmtId="0" fontId="0" fillId="36" borderId="0" xfId="0" applyFill="1" applyAlignment="1">
      <alignment wrapText="1"/>
    </xf>
    <xf numFmtId="0" fontId="0" fillId="36" borderId="0" xfId="0" applyFill="1"/>
    <xf numFmtId="0" fontId="0" fillId="37" borderId="0" xfId="0" applyFill="1"/>
    <xf numFmtId="0" fontId="0" fillId="0" borderId="0" xfId="0" applyFill="1"/>
    <xf numFmtId="0" fontId="0" fillId="0" borderId="0" xfId="0" applyFill="1" applyAlignment="1">
      <alignment horizontal="left"/>
    </xf>
    <xf numFmtId="0" fontId="0" fillId="0" borderId="0" xfId="0" applyFill="1" applyAlignment="1">
      <alignment horizontal="left" indent="1"/>
    </xf>
    <xf numFmtId="0" fontId="0" fillId="0" borderId="0" xfId="0" applyNumberFormat="1"/>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9">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ont>
        <b/>
        <i val="0"/>
        <sz val="14"/>
        <name val="Calibri"/>
        <family val="2"/>
        <scheme val="minor"/>
      </font>
      <fill>
        <patternFill>
          <bgColor theme="0" tint="-4.9989318521683403E-2"/>
        </patternFill>
      </fill>
      <border diagonalUp="0" diagonalDown="0">
        <left/>
        <right/>
        <top/>
        <bottom/>
        <vertical/>
        <horizontal/>
      </border>
    </dxf>
    <dxf>
      <font>
        <b val="0"/>
        <i val="0"/>
        <sz val="14"/>
        <color theme="1"/>
        <name val="Calibri"/>
        <family val="2"/>
        <scheme val="minor"/>
      </font>
      <fill>
        <patternFill patternType="solid">
          <bgColor theme="0" tint="-4.9989318521683403E-2"/>
        </patternFill>
      </fill>
      <border diagonalUp="0" diagonalDown="0">
        <left/>
        <right/>
        <top/>
        <bottom/>
        <vertical/>
        <horizontal/>
      </border>
    </dxf>
    <dxf>
      <fill>
        <patternFill patternType="lightGray">
          <fgColor rgb="FFC00000"/>
          <bgColor rgb="FFC00000"/>
        </patternFill>
      </fill>
      <border>
        <left style="thin">
          <color auto="1"/>
        </left>
        <right style="thin">
          <color auto="1"/>
        </right>
        <top style="thin">
          <color auto="1"/>
        </top>
        <bottom style="thin">
          <color auto="1"/>
        </bottom>
        <vertical/>
        <horizontal/>
      </border>
    </dxf>
    <dxf>
      <fill>
        <patternFill patternType="lightGray">
          <fgColor rgb="FFC00000"/>
          <bgColor rgb="FFC00000"/>
        </patternFill>
      </fill>
      <border>
        <left style="thin">
          <color auto="1"/>
        </left>
        <right style="thin">
          <color auto="1"/>
        </right>
        <top style="thin">
          <color auto="1"/>
        </top>
        <bottom style="thin">
          <color auto="1"/>
        </bottom>
        <vertical/>
        <horizontal/>
      </border>
    </dxf>
    <dxf>
      <font>
        <b/>
        <i val="0"/>
        <color theme="1"/>
      </font>
      <fill>
        <patternFill patternType="gray125">
          <bgColor theme="6"/>
        </patternFill>
      </fill>
      <border>
        <left style="thin">
          <color auto="1"/>
        </left>
        <right style="thin">
          <color auto="1"/>
        </right>
        <top style="thin">
          <color auto="1"/>
        </top>
        <bottom style="thin">
          <color auto="1"/>
        </bottom>
        <vertical/>
        <horizontal/>
      </border>
    </dxf>
    <dxf>
      <font>
        <b/>
        <i val="0"/>
        <u val="none"/>
        <color theme="4"/>
      </font>
      <fill>
        <patternFill patternType="lightGray">
          <fgColor theme="8" tint="0.39994506668294322"/>
          <bgColor theme="4" tint="0.39994506668294322"/>
        </patternFill>
      </fill>
      <border>
        <left style="thin">
          <color auto="1"/>
        </left>
        <right style="thin">
          <color auto="1"/>
        </right>
        <top style="thin">
          <color auto="1"/>
        </top>
        <bottom style="thin">
          <color auto="1"/>
        </bottom>
        <vertical/>
        <horizontal/>
      </border>
    </dxf>
    <dxf>
      <font>
        <b/>
        <i val="0"/>
      </font>
      <fill>
        <patternFill patternType="lightGray">
          <fgColor theme="7" tint="0.39994506668294322"/>
          <bgColor rgb="FFFFC000"/>
        </patternFill>
      </fill>
      <border>
        <left style="thin">
          <color rgb="FFFF0000"/>
        </left>
        <right style="thin">
          <color rgb="FFFF0000"/>
        </right>
        <top style="thin">
          <color rgb="FFFF0000"/>
        </top>
        <bottom style="thin">
          <color rgb="FFFF0000"/>
        </bottom>
        <vertical/>
        <horizontal/>
      </border>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alignment horizontal="general" vertical="bottom" textRotation="0" wrapText="1" indent="0" justifyLastLine="0" shrinkToFit="0" readingOrder="0"/>
    </dxf>
    <dxf>
      <numFmt numFmtId="0" formatCode="General"/>
    </dxf>
  </dxfs>
  <tableStyles count="1" defaultTableStyle="TableStyleMedium2" defaultPivotStyle="PivotStyleLight16">
    <tableStyle name="Main" pivot="0" table="0" count="10" xr9:uid="{29191079-632D-4C6B-9FD7-81FFA07E4F91}">
      <tableStyleElement type="wholeTable" dxfId="355"/>
      <tableStyleElement type="headerRow" dxfId="354"/>
    </tableStyle>
  </tableStyles>
  <colors>
    <mruColors>
      <color rgb="FF338CDD"/>
    </mruColors>
  </colors>
  <extLst>
    <ext xmlns:x14="http://schemas.microsoft.com/office/spreadsheetml/2009/9/main" uri="{46F421CA-312F-682f-3DD2-61675219B42D}">
      <x14:dxfs count="8">
        <dxf>
          <fill>
            <patternFill>
              <bgColor theme="1"/>
            </patternFill>
          </fill>
        </dxf>
        <dxf>
          <fill>
            <patternFill>
              <fgColor theme="1"/>
            </patternFill>
          </fill>
        </dxf>
        <dxf>
          <font>
            <b/>
            <i/>
            <name val="Calibri Light"/>
            <family val="2"/>
            <scheme val="major"/>
          </font>
          <fill>
            <patternFill>
              <bgColor rgb="FF00B0F0"/>
            </patternFill>
          </fill>
          <border diagonalUp="0" diagonalDown="0">
            <left style="thin">
              <color auto="1"/>
            </left>
            <right style="thin">
              <color auto="1"/>
            </right>
            <top style="thin">
              <color auto="1"/>
            </top>
            <bottom style="thin">
              <color auto="1"/>
            </bottom>
            <vertical/>
            <horizontal/>
          </border>
        </dxf>
        <dxf>
          <font>
            <b/>
            <i/>
            <name val="Calibri Light"/>
            <family val="2"/>
            <scheme val="major"/>
          </font>
          <fill>
            <patternFill>
              <bgColor rgb="FF00B0F0"/>
            </patternFill>
          </fill>
          <border diagonalUp="0" diagonalDown="0">
            <left/>
            <right/>
            <top/>
            <bottom/>
            <vertical/>
            <horizontal/>
          </border>
        </dxf>
        <dxf>
          <font>
            <b val="0"/>
            <i val="0"/>
            <sz val="14"/>
            <name val="Calibri Light"/>
            <family val="2"/>
            <scheme val="major"/>
          </font>
          <fill>
            <patternFill>
              <bgColor theme="1"/>
            </patternFill>
          </fill>
          <border diagonalUp="0" diagonalDown="0">
            <left/>
            <right/>
            <top/>
            <bottom/>
            <vertical/>
            <horizontal/>
          </border>
        </dxf>
        <dxf>
          <font>
            <b/>
            <i val="0"/>
            <sz val="14"/>
            <name val="Calibri Light"/>
            <family val="2"/>
            <scheme val="major"/>
          </font>
          <fill>
            <patternFill>
              <bgColor rgb="FF00B0F0"/>
            </patternFill>
          </fill>
          <border diagonalUp="0" diagonalDown="0">
            <left style="thin">
              <color auto="1"/>
            </left>
            <right style="thin">
              <color auto="1"/>
            </right>
            <top style="thin">
              <color auto="1"/>
            </top>
            <bottom style="thin">
              <color auto="1"/>
            </bottom>
            <vertical/>
            <horizontal/>
          </border>
        </dxf>
        <dxf>
          <fill>
            <patternFill>
              <bgColor theme="1"/>
            </patternFill>
          </fill>
        </dxf>
        <dxf>
          <font>
            <b/>
            <i val="0"/>
            <name val="Calibri Light"/>
            <family val="2"/>
            <scheme val="major"/>
          </font>
          <fill>
            <patternFill>
              <bgColor rgb="FF00B0F0"/>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Main">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9.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0.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1.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Top</a:t>
            </a:r>
            <a:r>
              <a:rPr lang="pt-BR" baseline="0"/>
              <a:t> 10 Most Powerful Vehicles Per Pound </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Automobile!$B$403</c:f>
              <c:strCache>
                <c:ptCount val="1"/>
                <c:pt idx="0">
                  <c:v>Power-to-Weight</c:v>
                </c:pt>
              </c:strCache>
            </c:strRef>
          </c:tx>
          <c:spPr>
            <a:solidFill>
              <a:schemeClr val="accent1"/>
            </a:solidFill>
            <a:ln>
              <a:noFill/>
            </a:ln>
            <a:effectLst/>
          </c:spPr>
          <c:invertIfNegative val="0"/>
          <c:cat>
            <c:strRef>
              <c:f>Automobile!$A$404:$A$413</c:f>
              <c:strCache>
                <c:ptCount val="10"/>
                <c:pt idx="0">
                  <c:v>buick estate wagon (sw)</c:v>
                </c:pt>
                <c:pt idx="1">
                  <c:v>pontiac grand prix</c:v>
                </c:pt>
                <c:pt idx="2">
                  <c:v>pontiac catalina</c:v>
                </c:pt>
                <c:pt idx="3">
                  <c:v>bmw 2002</c:v>
                </c:pt>
                <c:pt idx="4">
                  <c:v>chevrolet impala</c:v>
                </c:pt>
                <c:pt idx="5">
                  <c:v>plymouth fury iii</c:v>
                </c:pt>
                <c:pt idx="6">
                  <c:v>amc ambassador dpl</c:v>
                </c:pt>
                <c:pt idx="7">
                  <c:v>oldsmobile omega</c:v>
                </c:pt>
                <c:pt idx="8">
                  <c:v>buick regal sport coupe (turbo)</c:v>
                </c:pt>
                <c:pt idx="9">
                  <c:v>dodge d200</c:v>
                </c:pt>
              </c:strCache>
            </c:strRef>
          </c:cat>
          <c:val>
            <c:numRef>
              <c:f>Automobile!$B$404:$B$413</c:f>
              <c:numCache>
                <c:formatCode>General</c:formatCode>
                <c:ptCount val="10"/>
                <c:pt idx="0">
                  <c:v>7.2909915748541804E-2</c:v>
                </c:pt>
                <c:pt idx="1">
                  <c:v>5.3763440860215055E-2</c:v>
                </c:pt>
                <c:pt idx="2">
                  <c:v>5.0847457627118647E-2</c:v>
                </c:pt>
                <c:pt idx="3">
                  <c:v>5.0581915846016116E-2</c:v>
                </c:pt>
                <c:pt idx="4">
                  <c:v>5.0528249885163065E-2</c:v>
                </c:pt>
                <c:pt idx="5">
                  <c:v>4.9860853432282005E-2</c:v>
                </c:pt>
                <c:pt idx="6">
                  <c:v>4.9350649350649353E-2</c:v>
                </c:pt>
                <c:pt idx="7">
                  <c:v>4.9126637554585149E-2</c:v>
                </c:pt>
                <c:pt idx="8">
                  <c:v>4.7895500725689405E-2</c:v>
                </c:pt>
                <c:pt idx="9">
                  <c:v>4.7923322683706068E-2</c:v>
                </c:pt>
              </c:numCache>
            </c:numRef>
          </c:val>
          <c:extLst>
            <c:ext xmlns:c16="http://schemas.microsoft.com/office/drawing/2014/chart" uri="{C3380CC4-5D6E-409C-BE32-E72D297353CC}">
              <c16:uniqueId val="{00000000-F323-4865-910B-C1CA70237D04}"/>
            </c:ext>
          </c:extLst>
        </c:ser>
        <c:dLbls>
          <c:showLegendKey val="0"/>
          <c:showVal val="0"/>
          <c:showCatName val="0"/>
          <c:showSerName val="0"/>
          <c:showPercent val="0"/>
          <c:showBubbleSize val="0"/>
        </c:dLbls>
        <c:gapWidth val="219"/>
        <c:overlap val="-27"/>
        <c:axId val="1907501712"/>
        <c:axId val="1907882704"/>
      </c:barChart>
      <c:catAx>
        <c:axId val="19075017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Vehicle</a:t>
                </a:r>
                <a:r>
                  <a:rPr lang="pt-BR" baseline="0"/>
                  <a:t> Names</a:t>
                </a:r>
                <a:endParaRPr lang="pt-B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07882704"/>
        <c:crosses val="autoZero"/>
        <c:auto val="1"/>
        <c:lblAlgn val="ctr"/>
        <c:lblOffset val="100"/>
        <c:noMultiLvlLbl val="0"/>
      </c:catAx>
      <c:valAx>
        <c:axId val="190788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Power-to-Weight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0750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pt-BR"/>
              <a:t>MPG X Displacement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pt-BR"/>
        </a:p>
      </c:txPr>
    </c:title>
    <c:autoTitleDeleted val="0"/>
    <c:plotArea>
      <c:layout/>
      <c:scatterChart>
        <c:scatterStyle val="lineMarker"/>
        <c:varyColors val="0"/>
        <c:ser>
          <c:idx val="0"/>
          <c:order val="0"/>
          <c:tx>
            <c:strRef>
              <c:f>'MPG X Displacement'!$B$1</c:f>
              <c:strCache>
                <c:ptCount val="1"/>
                <c:pt idx="0">
                  <c:v>displacement</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lumMod val="60000"/>
                    <a:lumOff val="40000"/>
                  </a:schemeClr>
                </a:solidFill>
                <a:prstDash val="dash"/>
                <a:headEnd type="none"/>
                <a:tailEnd type="triangle"/>
              </a:ln>
              <a:effectLst/>
            </c:spPr>
            <c:trendlineType val="exp"/>
            <c:dispRSqr val="0"/>
            <c:dispEq val="0"/>
          </c:trendline>
          <c:xVal>
            <c:numRef>
              <c:f>'MPG X Displacement'!$A$2:$A$399</c:f>
              <c:numCache>
                <c:formatCode>General</c:formatCode>
                <c:ptCount val="398"/>
                <c:pt idx="0">
                  <c:v>26</c:v>
                </c:pt>
                <c:pt idx="1">
                  <c:v>25</c:v>
                </c:pt>
                <c:pt idx="2">
                  <c:v>24</c:v>
                </c:pt>
                <c:pt idx="3">
                  <c:v>25</c:v>
                </c:pt>
                <c:pt idx="4">
                  <c:v>26</c:v>
                </c:pt>
                <c:pt idx="5">
                  <c:v>28</c:v>
                </c:pt>
                <c:pt idx="6">
                  <c:v>30</c:v>
                </c:pt>
                <c:pt idx="7">
                  <c:v>30</c:v>
                </c:pt>
                <c:pt idx="8">
                  <c:v>27</c:v>
                </c:pt>
                <c:pt idx="9">
                  <c:v>18</c:v>
                </c:pt>
                <c:pt idx="10">
                  <c:v>26</c:v>
                </c:pt>
                <c:pt idx="11">
                  <c:v>22</c:v>
                </c:pt>
                <c:pt idx="12">
                  <c:v>21</c:v>
                </c:pt>
                <c:pt idx="13">
                  <c:v>23</c:v>
                </c:pt>
                <c:pt idx="14">
                  <c:v>24</c:v>
                </c:pt>
                <c:pt idx="15">
                  <c:v>26</c:v>
                </c:pt>
                <c:pt idx="16">
                  <c:v>19</c:v>
                </c:pt>
                <c:pt idx="17">
                  <c:v>20</c:v>
                </c:pt>
                <c:pt idx="18">
                  <c:v>24</c:v>
                </c:pt>
                <c:pt idx="19">
                  <c:v>29</c:v>
                </c:pt>
                <c:pt idx="20">
                  <c:v>26</c:v>
                </c:pt>
                <c:pt idx="21">
                  <c:v>29</c:v>
                </c:pt>
                <c:pt idx="22">
                  <c:v>24</c:v>
                </c:pt>
                <c:pt idx="23">
                  <c:v>26</c:v>
                </c:pt>
                <c:pt idx="24">
                  <c:v>26</c:v>
                </c:pt>
                <c:pt idx="25">
                  <c:v>31</c:v>
                </c:pt>
                <c:pt idx="26">
                  <c:v>26</c:v>
                </c:pt>
                <c:pt idx="27">
                  <c:v>25</c:v>
                </c:pt>
                <c:pt idx="28">
                  <c:v>29</c:v>
                </c:pt>
                <c:pt idx="29">
                  <c:v>23</c:v>
                </c:pt>
                <c:pt idx="30">
                  <c:v>22</c:v>
                </c:pt>
                <c:pt idx="31">
                  <c:v>25</c:v>
                </c:pt>
                <c:pt idx="32">
                  <c:v>23</c:v>
                </c:pt>
                <c:pt idx="33">
                  <c:v>29.5</c:v>
                </c:pt>
                <c:pt idx="34">
                  <c:v>27</c:v>
                </c:pt>
                <c:pt idx="35">
                  <c:v>25</c:v>
                </c:pt>
                <c:pt idx="36">
                  <c:v>29</c:v>
                </c:pt>
                <c:pt idx="37">
                  <c:v>28</c:v>
                </c:pt>
                <c:pt idx="38">
                  <c:v>20</c:v>
                </c:pt>
                <c:pt idx="39">
                  <c:v>19</c:v>
                </c:pt>
                <c:pt idx="40">
                  <c:v>16.5</c:v>
                </c:pt>
                <c:pt idx="41">
                  <c:v>21.5</c:v>
                </c:pt>
                <c:pt idx="42">
                  <c:v>29</c:v>
                </c:pt>
                <c:pt idx="43">
                  <c:v>30.5</c:v>
                </c:pt>
                <c:pt idx="44">
                  <c:v>36</c:v>
                </c:pt>
                <c:pt idx="45">
                  <c:v>21.6</c:v>
                </c:pt>
                <c:pt idx="46">
                  <c:v>31.5</c:v>
                </c:pt>
                <c:pt idx="47">
                  <c:v>43.1</c:v>
                </c:pt>
                <c:pt idx="48">
                  <c:v>20.3</c:v>
                </c:pt>
                <c:pt idx="49">
                  <c:v>17</c:v>
                </c:pt>
                <c:pt idx="50">
                  <c:v>16.2</c:v>
                </c:pt>
                <c:pt idx="51">
                  <c:v>31.9</c:v>
                </c:pt>
                <c:pt idx="52">
                  <c:v>37.299999999999997</c:v>
                </c:pt>
                <c:pt idx="53">
                  <c:v>27.2</c:v>
                </c:pt>
                <c:pt idx="54">
                  <c:v>25.4</c:v>
                </c:pt>
                <c:pt idx="55">
                  <c:v>34.299999999999997</c:v>
                </c:pt>
                <c:pt idx="56">
                  <c:v>41.5</c:v>
                </c:pt>
                <c:pt idx="57">
                  <c:v>35</c:v>
                </c:pt>
                <c:pt idx="58">
                  <c:v>29.8</c:v>
                </c:pt>
                <c:pt idx="59">
                  <c:v>44.3</c:v>
                </c:pt>
                <c:pt idx="60">
                  <c:v>30</c:v>
                </c:pt>
                <c:pt idx="61">
                  <c:v>43.4</c:v>
                </c:pt>
                <c:pt idx="62">
                  <c:v>40.9</c:v>
                </c:pt>
                <c:pt idx="63">
                  <c:v>36.4</c:v>
                </c:pt>
                <c:pt idx="64">
                  <c:v>33</c:v>
                </c:pt>
                <c:pt idx="65">
                  <c:v>28.1</c:v>
                </c:pt>
                <c:pt idx="66">
                  <c:v>34.5</c:v>
                </c:pt>
                <c:pt idx="67">
                  <c:v>30.7</c:v>
                </c:pt>
                <c:pt idx="68">
                  <c:v>36</c:v>
                </c:pt>
                <c:pt idx="69">
                  <c:v>44</c:v>
                </c:pt>
                <c:pt idx="70">
                  <c:v>27</c:v>
                </c:pt>
                <c:pt idx="71">
                  <c:v>24</c:v>
                </c:pt>
                <c:pt idx="72">
                  <c:v>35</c:v>
                </c:pt>
                <c:pt idx="73">
                  <c:v>25</c:v>
                </c:pt>
                <c:pt idx="74">
                  <c:v>27</c:v>
                </c:pt>
                <c:pt idx="75">
                  <c:v>31</c:v>
                </c:pt>
                <c:pt idx="76">
                  <c:v>19</c:v>
                </c:pt>
                <c:pt idx="77">
                  <c:v>27</c:v>
                </c:pt>
                <c:pt idx="78">
                  <c:v>24</c:v>
                </c:pt>
                <c:pt idx="79">
                  <c:v>28</c:v>
                </c:pt>
                <c:pt idx="80">
                  <c:v>23</c:v>
                </c:pt>
                <c:pt idx="81">
                  <c:v>18</c:v>
                </c:pt>
                <c:pt idx="82">
                  <c:v>22</c:v>
                </c:pt>
                <c:pt idx="83">
                  <c:v>20</c:v>
                </c:pt>
                <c:pt idx="84">
                  <c:v>20</c:v>
                </c:pt>
                <c:pt idx="85">
                  <c:v>24</c:v>
                </c:pt>
                <c:pt idx="86">
                  <c:v>26</c:v>
                </c:pt>
                <c:pt idx="87">
                  <c:v>32</c:v>
                </c:pt>
                <c:pt idx="88">
                  <c:v>31</c:v>
                </c:pt>
                <c:pt idx="89">
                  <c:v>31</c:v>
                </c:pt>
                <c:pt idx="90">
                  <c:v>32</c:v>
                </c:pt>
                <c:pt idx="91">
                  <c:v>24</c:v>
                </c:pt>
                <c:pt idx="92">
                  <c:v>24</c:v>
                </c:pt>
                <c:pt idx="93">
                  <c:v>29</c:v>
                </c:pt>
                <c:pt idx="94">
                  <c:v>33</c:v>
                </c:pt>
                <c:pt idx="95">
                  <c:v>32</c:v>
                </c:pt>
                <c:pt idx="96">
                  <c:v>28</c:v>
                </c:pt>
                <c:pt idx="97">
                  <c:v>33</c:v>
                </c:pt>
                <c:pt idx="98">
                  <c:v>19</c:v>
                </c:pt>
                <c:pt idx="99">
                  <c:v>21.5</c:v>
                </c:pt>
                <c:pt idx="100">
                  <c:v>33.5</c:v>
                </c:pt>
                <c:pt idx="101">
                  <c:v>30</c:v>
                </c:pt>
                <c:pt idx="102">
                  <c:v>31.5</c:v>
                </c:pt>
                <c:pt idx="103">
                  <c:v>26</c:v>
                </c:pt>
                <c:pt idx="104">
                  <c:v>22</c:v>
                </c:pt>
                <c:pt idx="105">
                  <c:v>27.2</c:v>
                </c:pt>
                <c:pt idx="106">
                  <c:v>23.9</c:v>
                </c:pt>
                <c:pt idx="107">
                  <c:v>21.1</c:v>
                </c:pt>
                <c:pt idx="108">
                  <c:v>27.5</c:v>
                </c:pt>
                <c:pt idx="109">
                  <c:v>39.4</c:v>
                </c:pt>
                <c:pt idx="110">
                  <c:v>36.1</c:v>
                </c:pt>
                <c:pt idx="111">
                  <c:v>29.5</c:v>
                </c:pt>
                <c:pt idx="112">
                  <c:v>32.799999999999997</c:v>
                </c:pt>
                <c:pt idx="113">
                  <c:v>34.1</c:v>
                </c:pt>
                <c:pt idx="114">
                  <c:v>31.8</c:v>
                </c:pt>
                <c:pt idx="115">
                  <c:v>23.7</c:v>
                </c:pt>
                <c:pt idx="116">
                  <c:v>37</c:v>
                </c:pt>
                <c:pt idx="117">
                  <c:v>44.6</c:v>
                </c:pt>
                <c:pt idx="118">
                  <c:v>29.8</c:v>
                </c:pt>
                <c:pt idx="119">
                  <c:v>32.200000000000003</c:v>
                </c:pt>
                <c:pt idx="120">
                  <c:v>37.200000000000003</c:v>
                </c:pt>
                <c:pt idx="121">
                  <c:v>32.4</c:v>
                </c:pt>
                <c:pt idx="122">
                  <c:v>33.799999999999997</c:v>
                </c:pt>
                <c:pt idx="123">
                  <c:v>40.799999999999997</c:v>
                </c:pt>
                <c:pt idx="124">
                  <c:v>46.6</c:v>
                </c:pt>
                <c:pt idx="125">
                  <c:v>38.1</c:v>
                </c:pt>
                <c:pt idx="126">
                  <c:v>31.3</c:v>
                </c:pt>
                <c:pt idx="127">
                  <c:v>32.700000000000003</c:v>
                </c:pt>
                <c:pt idx="128">
                  <c:v>32.9</c:v>
                </c:pt>
                <c:pt idx="129">
                  <c:v>34.1</c:v>
                </c:pt>
                <c:pt idx="130">
                  <c:v>35.1</c:v>
                </c:pt>
                <c:pt idx="131">
                  <c:v>33.700000000000003</c:v>
                </c:pt>
                <c:pt idx="132">
                  <c:v>39.1</c:v>
                </c:pt>
                <c:pt idx="133">
                  <c:v>37</c:v>
                </c:pt>
                <c:pt idx="134">
                  <c:v>32.299999999999997</c:v>
                </c:pt>
                <c:pt idx="135">
                  <c:v>32.4</c:v>
                </c:pt>
                <c:pt idx="136">
                  <c:v>37.700000000000003</c:v>
                </c:pt>
                <c:pt idx="137">
                  <c:v>31.6</c:v>
                </c:pt>
                <c:pt idx="138">
                  <c:v>24.2</c:v>
                </c:pt>
                <c:pt idx="139">
                  <c:v>25.4</c:v>
                </c:pt>
                <c:pt idx="140">
                  <c:v>36</c:v>
                </c:pt>
                <c:pt idx="141">
                  <c:v>32</c:v>
                </c:pt>
                <c:pt idx="142">
                  <c:v>31</c:v>
                </c:pt>
                <c:pt idx="143">
                  <c:v>38</c:v>
                </c:pt>
                <c:pt idx="144">
                  <c:v>32</c:v>
                </c:pt>
                <c:pt idx="145">
                  <c:v>36</c:v>
                </c:pt>
                <c:pt idx="146">
                  <c:v>38</c:v>
                </c:pt>
                <c:pt idx="147">
                  <c:v>37</c:v>
                </c:pt>
                <c:pt idx="148">
                  <c:v>34</c:v>
                </c:pt>
                <c:pt idx="149">
                  <c:v>18</c:v>
                </c:pt>
                <c:pt idx="150">
                  <c:v>21</c:v>
                </c:pt>
                <c:pt idx="151">
                  <c:v>22</c:v>
                </c:pt>
                <c:pt idx="152">
                  <c:v>21</c:v>
                </c:pt>
                <c:pt idx="153">
                  <c:v>14</c:v>
                </c:pt>
                <c:pt idx="154">
                  <c:v>14</c:v>
                </c:pt>
                <c:pt idx="155">
                  <c:v>14</c:v>
                </c:pt>
                <c:pt idx="156">
                  <c:v>14</c:v>
                </c:pt>
                <c:pt idx="157">
                  <c:v>15</c:v>
                </c:pt>
                <c:pt idx="158">
                  <c:v>11</c:v>
                </c:pt>
                <c:pt idx="159">
                  <c:v>15</c:v>
                </c:pt>
                <c:pt idx="160">
                  <c:v>10</c:v>
                </c:pt>
                <c:pt idx="161">
                  <c:v>10</c:v>
                </c:pt>
                <c:pt idx="162">
                  <c:v>15</c:v>
                </c:pt>
                <c:pt idx="163">
                  <c:v>15</c:v>
                </c:pt>
                <c:pt idx="164">
                  <c:v>14</c:v>
                </c:pt>
                <c:pt idx="165">
                  <c:v>16</c:v>
                </c:pt>
                <c:pt idx="166">
                  <c:v>18</c:v>
                </c:pt>
                <c:pt idx="167">
                  <c:v>9</c:v>
                </c:pt>
                <c:pt idx="168">
                  <c:v>17</c:v>
                </c:pt>
                <c:pt idx="169">
                  <c:v>15</c:v>
                </c:pt>
                <c:pt idx="170">
                  <c:v>18</c:v>
                </c:pt>
                <c:pt idx="171">
                  <c:v>28</c:v>
                </c:pt>
                <c:pt idx="172">
                  <c:v>23</c:v>
                </c:pt>
                <c:pt idx="173">
                  <c:v>26</c:v>
                </c:pt>
                <c:pt idx="174">
                  <c:v>22</c:v>
                </c:pt>
                <c:pt idx="175">
                  <c:v>25</c:v>
                </c:pt>
                <c:pt idx="176">
                  <c:v>19</c:v>
                </c:pt>
                <c:pt idx="177">
                  <c:v>18</c:v>
                </c:pt>
                <c:pt idx="178">
                  <c:v>16</c:v>
                </c:pt>
                <c:pt idx="179">
                  <c:v>19</c:v>
                </c:pt>
                <c:pt idx="180">
                  <c:v>18</c:v>
                </c:pt>
                <c:pt idx="181">
                  <c:v>17</c:v>
                </c:pt>
                <c:pt idx="182">
                  <c:v>18</c:v>
                </c:pt>
                <c:pt idx="183">
                  <c:v>19</c:v>
                </c:pt>
                <c:pt idx="184">
                  <c:v>14</c:v>
                </c:pt>
                <c:pt idx="185">
                  <c:v>14</c:v>
                </c:pt>
                <c:pt idx="186">
                  <c:v>14</c:v>
                </c:pt>
                <c:pt idx="187">
                  <c:v>14</c:v>
                </c:pt>
                <c:pt idx="188">
                  <c:v>12</c:v>
                </c:pt>
                <c:pt idx="189">
                  <c:v>13</c:v>
                </c:pt>
                <c:pt idx="190">
                  <c:v>13</c:v>
                </c:pt>
                <c:pt idx="191">
                  <c:v>21</c:v>
                </c:pt>
                <c:pt idx="192">
                  <c:v>25</c:v>
                </c:pt>
                <c:pt idx="193">
                  <c:v>20</c:v>
                </c:pt>
                <c:pt idx="194">
                  <c:v>28</c:v>
                </c:pt>
                <c:pt idx="195">
                  <c:v>22</c:v>
                </c:pt>
                <c:pt idx="196">
                  <c:v>11</c:v>
                </c:pt>
                <c:pt idx="197">
                  <c:v>13</c:v>
                </c:pt>
                <c:pt idx="198">
                  <c:v>17</c:v>
                </c:pt>
                <c:pt idx="199">
                  <c:v>14</c:v>
                </c:pt>
                <c:pt idx="200">
                  <c:v>13</c:v>
                </c:pt>
                <c:pt idx="201">
                  <c:v>15</c:v>
                </c:pt>
                <c:pt idx="202">
                  <c:v>14</c:v>
                </c:pt>
                <c:pt idx="203">
                  <c:v>14</c:v>
                </c:pt>
                <c:pt idx="204">
                  <c:v>15</c:v>
                </c:pt>
                <c:pt idx="205">
                  <c:v>12</c:v>
                </c:pt>
                <c:pt idx="206">
                  <c:v>13</c:v>
                </c:pt>
                <c:pt idx="207">
                  <c:v>13</c:v>
                </c:pt>
                <c:pt idx="208">
                  <c:v>13</c:v>
                </c:pt>
                <c:pt idx="209">
                  <c:v>19</c:v>
                </c:pt>
                <c:pt idx="210">
                  <c:v>21</c:v>
                </c:pt>
                <c:pt idx="211">
                  <c:v>21</c:v>
                </c:pt>
                <c:pt idx="212">
                  <c:v>18</c:v>
                </c:pt>
                <c:pt idx="213">
                  <c:v>18</c:v>
                </c:pt>
                <c:pt idx="214">
                  <c:v>18</c:v>
                </c:pt>
                <c:pt idx="215">
                  <c:v>23</c:v>
                </c:pt>
                <c:pt idx="216">
                  <c:v>16</c:v>
                </c:pt>
                <c:pt idx="217">
                  <c:v>18</c:v>
                </c:pt>
                <c:pt idx="218">
                  <c:v>16</c:v>
                </c:pt>
                <c:pt idx="219">
                  <c:v>11</c:v>
                </c:pt>
                <c:pt idx="220">
                  <c:v>13</c:v>
                </c:pt>
                <c:pt idx="221">
                  <c:v>12</c:v>
                </c:pt>
                <c:pt idx="222">
                  <c:v>13</c:v>
                </c:pt>
                <c:pt idx="223">
                  <c:v>15</c:v>
                </c:pt>
                <c:pt idx="224">
                  <c:v>13</c:v>
                </c:pt>
                <c:pt idx="225">
                  <c:v>14</c:v>
                </c:pt>
                <c:pt idx="226">
                  <c:v>12</c:v>
                </c:pt>
                <c:pt idx="227">
                  <c:v>12</c:v>
                </c:pt>
                <c:pt idx="228">
                  <c:v>15</c:v>
                </c:pt>
                <c:pt idx="229">
                  <c:v>13</c:v>
                </c:pt>
                <c:pt idx="230">
                  <c:v>13</c:v>
                </c:pt>
                <c:pt idx="231">
                  <c:v>13</c:v>
                </c:pt>
                <c:pt idx="232">
                  <c:v>15</c:v>
                </c:pt>
                <c:pt idx="233">
                  <c:v>14</c:v>
                </c:pt>
                <c:pt idx="234">
                  <c:v>12</c:v>
                </c:pt>
                <c:pt idx="235">
                  <c:v>14</c:v>
                </c:pt>
                <c:pt idx="236">
                  <c:v>13</c:v>
                </c:pt>
                <c:pt idx="237">
                  <c:v>11</c:v>
                </c:pt>
                <c:pt idx="238">
                  <c:v>28</c:v>
                </c:pt>
                <c:pt idx="239">
                  <c:v>26</c:v>
                </c:pt>
                <c:pt idx="240">
                  <c:v>25</c:v>
                </c:pt>
                <c:pt idx="241">
                  <c:v>19</c:v>
                </c:pt>
                <c:pt idx="242">
                  <c:v>20</c:v>
                </c:pt>
                <c:pt idx="243">
                  <c:v>16</c:v>
                </c:pt>
                <c:pt idx="244">
                  <c:v>15</c:v>
                </c:pt>
                <c:pt idx="245">
                  <c:v>18</c:v>
                </c:pt>
                <c:pt idx="246">
                  <c:v>16</c:v>
                </c:pt>
                <c:pt idx="247">
                  <c:v>21</c:v>
                </c:pt>
                <c:pt idx="248">
                  <c:v>14</c:v>
                </c:pt>
                <c:pt idx="249">
                  <c:v>16</c:v>
                </c:pt>
                <c:pt idx="250">
                  <c:v>14</c:v>
                </c:pt>
                <c:pt idx="251">
                  <c:v>13</c:v>
                </c:pt>
                <c:pt idx="252">
                  <c:v>14</c:v>
                </c:pt>
                <c:pt idx="253">
                  <c:v>23</c:v>
                </c:pt>
                <c:pt idx="254">
                  <c:v>23</c:v>
                </c:pt>
                <c:pt idx="255">
                  <c:v>21</c:v>
                </c:pt>
                <c:pt idx="256">
                  <c:v>20</c:v>
                </c:pt>
                <c:pt idx="257">
                  <c:v>18</c:v>
                </c:pt>
                <c:pt idx="258">
                  <c:v>18</c:v>
                </c:pt>
                <c:pt idx="259">
                  <c:v>15</c:v>
                </c:pt>
                <c:pt idx="260">
                  <c:v>19</c:v>
                </c:pt>
                <c:pt idx="261">
                  <c:v>17</c:v>
                </c:pt>
                <c:pt idx="262">
                  <c:v>19</c:v>
                </c:pt>
                <c:pt idx="263">
                  <c:v>16</c:v>
                </c:pt>
                <c:pt idx="264">
                  <c:v>18</c:v>
                </c:pt>
                <c:pt idx="265">
                  <c:v>15</c:v>
                </c:pt>
                <c:pt idx="266">
                  <c:v>15</c:v>
                </c:pt>
                <c:pt idx="267">
                  <c:v>13</c:v>
                </c:pt>
                <c:pt idx="268">
                  <c:v>16</c:v>
                </c:pt>
                <c:pt idx="269">
                  <c:v>20</c:v>
                </c:pt>
                <c:pt idx="270">
                  <c:v>16</c:v>
                </c:pt>
                <c:pt idx="271">
                  <c:v>15</c:v>
                </c:pt>
                <c:pt idx="272">
                  <c:v>14</c:v>
                </c:pt>
                <c:pt idx="273">
                  <c:v>25</c:v>
                </c:pt>
                <c:pt idx="274">
                  <c:v>26</c:v>
                </c:pt>
                <c:pt idx="275">
                  <c:v>26.5</c:v>
                </c:pt>
                <c:pt idx="276">
                  <c:v>24.5</c:v>
                </c:pt>
                <c:pt idx="277">
                  <c:v>29</c:v>
                </c:pt>
                <c:pt idx="278">
                  <c:v>22</c:v>
                </c:pt>
                <c:pt idx="279">
                  <c:v>22</c:v>
                </c:pt>
                <c:pt idx="280">
                  <c:v>18.5</c:v>
                </c:pt>
                <c:pt idx="281">
                  <c:v>17.5</c:v>
                </c:pt>
                <c:pt idx="282">
                  <c:v>22.5</c:v>
                </c:pt>
                <c:pt idx="283">
                  <c:v>20</c:v>
                </c:pt>
                <c:pt idx="284">
                  <c:v>24</c:v>
                </c:pt>
                <c:pt idx="285">
                  <c:v>18</c:v>
                </c:pt>
                <c:pt idx="286">
                  <c:v>16.5</c:v>
                </c:pt>
                <c:pt idx="287">
                  <c:v>13</c:v>
                </c:pt>
                <c:pt idx="288">
                  <c:v>13</c:v>
                </c:pt>
                <c:pt idx="289">
                  <c:v>14.5</c:v>
                </c:pt>
                <c:pt idx="290">
                  <c:v>13</c:v>
                </c:pt>
                <c:pt idx="291">
                  <c:v>16</c:v>
                </c:pt>
                <c:pt idx="292">
                  <c:v>13</c:v>
                </c:pt>
                <c:pt idx="293">
                  <c:v>17.5</c:v>
                </c:pt>
                <c:pt idx="294">
                  <c:v>15.5</c:v>
                </c:pt>
                <c:pt idx="295">
                  <c:v>25.5</c:v>
                </c:pt>
                <c:pt idx="296">
                  <c:v>33.5</c:v>
                </c:pt>
                <c:pt idx="297">
                  <c:v>30</c:v>
                </c:pt>
                <c:pt idx="298">
                  <c:v>25.5</c:v>
                </c:pt>
                <c:pt idx="299">
                  <c:v>24.5</c:v>
                </c:pt>
                <c:pt idx="300">
                  <c:v>30.5</c:v>
                </c:pt>
                <c:pt idx="301">
                  <c:v>17.5</c:v>
                </c:pt>
                <c:pt idx="302">
                  <c:v>20.5</c:v>
                </c:pt>
                <c:pt idx="303">
                  <c:v>18.5</c:v>
                </c:pt>
                <c:pt idx="304">
                  <c:v>19</c:v>
                </c:pt>
                <c:pt idx="305">
                  <c:v>15.5</c:v>
                </c:pt>
                <c:pt idx="306">
                  <c:v>16</c:v>
                </c:pt>
                <c:pt idx="307">
                  <c:v>15.5</c:v>
                </c:pt>
                <c:pt idx="308">
                  <c:v>17.5</c:v>
                </c:pt>
                <c:pt idx="309">
                  <c:v>15.5</c:v>
                </c:pt>
                <c:pt idx="310">
                  <c:v>16</c:v>
                </c:pt>
                <c:pt idx="311">
                  <c:v>15</c:v>
                </c:pt>
                <c:pt idx="312">
                  <c:v>17</c:v>
                </c:pt>
                <c:pt idx="313">
                  <c:v>23.2</c:v>
                </c:pt>
                <c:pt idx="314">
                  <c:v>36.1</c:v>
                </c:pt>
                <c:pt idx="315">
                  <c:v>30.9</c:v>
                </c:pt>
                <c:pt idx="316">
                  <c:v>25.1</c:v>
                </c:pt>
                <c:pt idx="317">
                  <c:v>30</c:v>
                </c:pt>
                <c:pt idx="318">
                  <c:v>23.8</c:v>
                </c:pt>
                <c:pt idx="319">
                  <c:v>17.7</c:v>
                </c:pt>
                <c:pt idx="320">
                  <c:v>18.100000000000001</c:v>
                </c:pt>
                <c:pt idx="321">
                  <c:v>20.6</c:v>
                </c:pt>
                <c:pt idx="322">
                  <c:v>18.600000000000001</c:v>
                </c:pt>
                <c:pt idx="323">
                  <c:v>20.5</c:v>
                </c:pt>
                <c:pt idx="324">
                  <c:v>19.2</c:v>
                </c:pt>
                <c:pt idx="325">
                  <c:v>20.5</c:v>
                </c:pt>
                <c:pt idx="326">
                  <c:v>20.2</c:v>
                </c:pt>
                <c:pt idx="327">
                  <c:v>19.399999999999999</c:v>
                </c:pt>
                <c:pt idx="328">
                  <c:v>20.8</c:v>
                </c:pt>
                <c:pt idx="329">
                  <c:v>18.100000000000001</c:v>
                </c:pt>
                <c:pt idx="330">
                  <c:v>19.2</c:v>
                </c:pt>
                <c:pt idx="331">
                  <c:v>20.2</c:v>
                </c:pt>
                <c:pt idx="332">
                  <c:v>19.399999999999999</c:v>
                </c:pt>
                <c:pt idx="333">
                  <c:v>17.5</c:v>
                </c:pt>
                <c:pt idx="334">
                  <c:v>19.899999999999999</c:v>
                </c:pt>
                <c:pt idx="335">
                  <c:v>35.700000000000003</c:v>
                </c:pt>
                <c:pt idx="336">
                  <c:v>33.5</c:v>
                </c:pt>
                <c:pt idx="337">
                  <c:v>28.4</c:v>
                </c:pt>
                <c:pt idx="338">
                  <c:v>34.5</c:v>
                </c:pt>
                <c:pt idx="339">
                  <c:v>34.200000000000003</c:v>
                </c:pt>
                <c:pt idx="340">
                  <c:v>22.3</c:v>
                </c:pt>
                <c:pt idx="341">
                  <c:v>27.4</c:v>
                </c:pt>
                <c:pt idx="342">
                  <c:v>28.8</c:v>
                </c:pt>
                <c:pt idx="343">
                  <c:v>26.8</c:v>
                </c:pt>
                <c:pt idx="344">
                  <c:v>21.5</c:v>
                </c:pt>
                <c:pt idx="345">
                  <c:v>20.6</c:v>
                </c:pt>
                <c:pt idx="346">
                  <c:v>19.8</c:v>
                </c:pt>
                <c:pt idx="347">
                  <c:v>20.2</c:v>
                </c:pt>
                <c:pt idx="348">
                  <c:v>18.5</c:v>
                </c:pt>
                <c:pt idx="349">
                  <c:v>16.899999999999999</c:v>
                </c:pt>
                <c:pt idx="350">
                  <c:v>18.2</c:v>
                </c:pt>
                <c:pt idx="351">
                  <c:v>15.5</c:v>
                </c:pt>
                <c:pt idx="352">
                  <c:v>16.5</c:v>
                </c:pt>
                <c:pt idx="353">
                  <c:v>19.2</c:v>
                </c:pt>
                <c:pt idx="354">
                  <c:v>17.600000000000001</c:v>
                </c:pt>
                <c:pt idx="355">
                  <c:v>17</c:v>
                </c:pt>
                <c:pt idx="356">
                  <c:v>23</c:v>
                </c:pt>
                <c:pt idx="357">
                  <c:v>23.9</c:v>
                </c:pt>
                <c:pt idx="358">
                  <c:v>27.9</c:v>
                </c:pt>
                <c:pt idx="359">
                  <c:v>28</c:v>
                </c:pt>
                <c:pt idx="360">
                  <c:v>32.1</c:v>
                </c:pt>
                <c:pt idx="361">
                  <c:v>26.4</c:v>
                </c:pt>
                <c:pt idx="362">
                  <c:v>24.3</c:v>
                </c:pt>
                <c:pt idx="363">
                  <c:v>23.6</c:v>
                </c:pt>
                <c:pt idx="364">
                  <c:v>19.100000000000001</c:v>
                </c:pt>
                <c:pt idx="365">
                  <c:v>30</c:v>
                </c:pt>
                <c:pt idx="366">
                  <c:v>25.8</c:v>
                </c:pt>
                <c:pt idx="367">
                  <c:v>39</c:v>
                </c:pt>
                <c:pt idx="368">
                  <c:v>27.2</c:v>
                </c:pt>
                <c:pt idx="369">
                  <c:v>26.6</c:v>
                </c:pt>
                <c:pt idx="370">
                  <c:v>34.4</c:v>
                </c:pt>
                <c:pt idx="371">
                  <c:v>34.700000000000003</c:v>
                </c:pt>
                <c:pt idx="372">
                  <c:v>29.9</c:v>
                </c:pt>
                <c:pt idx="373">
                  <c:v>23.5</c:v>
                </c:pt>
                <c:pt idx="374">
                  <c:v>22.4</c:v>
                </c:pt>
                <c:pt idx="375">
                  <c:v>20.2</c:v>
                </c:pt>
                <c:pt idx="376">
                  <c:v>17.600000000000001</c:v>
                </c:pt>
                <c:pt idx="377">
                  <c:v>26.6</c:v>
                </c:pt>
                <c:pt idx="378">
                  <c:v>34</c:v>
                </c:pt>
                <c:pt idx="379">
                  <c:v>32</c:v>
                </c:pt>
                <c:pt idx="380">
                  <c:v>26</c:v>
                </c:pt>
                <c:pt idx="381">
                  <c:v>36</c:v>
                </c:pt>
                <c:pt idx="382">
                  <c:v>28</c:v>
                </c:pt>
                <c:pt idx="383">
                  <c:v>27</c:v>
                </c:pt>
                <c:pt idx="384">
                  <c:v>29</c:v>
                </c:pt>
                <c:pt idx="385">
                  <c:v>31</c:v>
                </c:pt>
                <c:pt idx="386">
                  <c:v>36</c:v>
                </c:pt>
                <c:pt idx="387">
                  <c:v>27</c:v>
                </c:pt>
                <c:pt idx="388">
                  <c:v>24</c:v>
                </c:pt>
                <c:pt idx="389">
                  <c:v>27</c:v>
                </c:pt>
                <c:pt idx="390">
                  <c:v>27</c:v>
                </c:pt>
                <c:pt idx="391">
                  <c:v>31</c:v>
                </c:pt>
                <c:pt idx="392">
                  <c:v>28</c:v>
                </c:pt>
                <c:pt idx="393">
                  <c:v>38</c:v>
                </c:pt>
                <c:pt idx="394">
                  <c:v>23</c:v>
                </c:pt>
                <c:pt idx="395">
                  <c:v>22</c:v>
                </c:pt>
                <c:pt idx="396">
                  <c:v>25</c:v>
                </c:pt>
                <c:pt idx="397">
                  <c:v>38</c:v>
                </c:pt>
              </c:numCache>
            </c:numRef>
          </c:xVal>
          <c:yVal>
            <c:numRef>
              <c:f>'MPG X Displacement'!$B$2:$B$399</c:f>
              <c:numCache>
                <c:formatCode>General</c:formatCode>
                <c:ptCount val="398"/>
                <c:pt idx="0">
                  <c:v>121</c:v>
                </c:pt>
                <c:pt idx="1">
                  <c:v>104</c:v>
                </c:pt>
                <c:pt idx="2">
                  <c:v>107</c:v>
                </c:pt>
                <c:pt idx="3">
                  <c:v>110</c:v>
                </c:pt>
                <c:pt idx="4">
                  <c:v>97</c:v>
                </c:pt>
                <c:pt idx="5">
                  <c:v>116</c:v>
                </c:pt>
                <c:pt idx="6">
                  <c:v>88</c:v>
                </c:pt>
                <c:pt idx="7">
                  <c:v>79</c:v>
                </c:pt>
                <c:pt idx="8">
                  <c:v>97</c:v>
                </c:pt>
                <c:pt idx="9">
                  <c:v>121</c:v>
                </c:pt>
                <c:pt idx="10">
                  <c:v>96</c:v>
                </c:pt>
                <c:pt idx="11">
                  <c:v>121</c:v>
                </c:pt>
                <c:pt idx="12">
                  <c:v>120</c:v>
                </c:pt>
                <c:pt idx="13">
                  <c:v>97</c:v>
                </c:pt>
                <c:pt idx="14">
                  <c:v>121</c:v>
                </c:pt>
                <c:pt idx="15">
                  <c:v>98</c:v>
                </c:pt>
                <c:pt idx="16">
                  <c:v>121</c:v>
                </c:pt>
                <c:pt idx="17">
                  <c:v>114</c:v>
                </c:pt>
                <c:pt idx="18">
                  <c:v>116</c:v>
                </c:pt>
                <c:pt idx="19">
                  <c:v>68</c:v>
                </c:pt>
                <c:pt idx="20">
                  <c:v>97</c:v>
                </c:pt>
                <c:pt idx="21">
                  <c:v>98</c:v>
                </c:pt>
                <c:pt idx="22">
                  <c:v>90</c:v>
                </c:pt>
                <c:pt idx="23">
                  <c:v>79</c:v>
                </c:pt>
                <c:pt idx="24">
                  <c:v>97</c:v>
                </c:pt>
                <c:pt idx="25">
                  <c:v>79</c:v>
                </c:pt>
                <c:pt idx="26">
                  <c:v>116</c:v>
                </c:pt>
                <c:pt idx="27">
                  <c:v>121</c:v>
                </c:pt>
                <c:pt idx="28">
                  <c:v>90</c:v>
                </c:pt>
                <c:pt idx="29">
                  <c:v>115</c:v>
                </c:pt>
                <c:pt idx="30">
                  <c:v>121</c:v>
                </c:pt>
                <c:pt idx="31">
                  <c:v>90</c:v>
                </c:pt>
                <c:pt idx="32">
                  <c:v>120</c:v>
                </c:pt>
                <c:pt idx="33">
                  <c:v>97</c:v>
                </c:pt>
                <c:pt idx="34">
                  <c:v>101</c:v>
                </c:pt>
                <c:pt idx="35">
                  <c:v>116</c:v>
                </c:pt>
                <c:pt idx="36">
                  <c:v>90</c:v>
                </c:pt>
                <c:pt idx="37">
                  <c:v>107</c:v>
                </c:pt>
                <c:pt idx="38">
                  <c:v>130</c:v>
                </c:pt>
                <c:pt idx="39">
                  <c:v>120</c:v>
                </c:pt>
                <c:pt idx="40">
                  <c:v>168</c:v>
                </c:pt>
                <c:pt idx="41">
                  <c:v>121</c:v>
                </c:pt>
                <c:pt idx="42">
                  <c:v>97</c:v>
                </c:pt>
                <c:pt idx="43">
                  <c:v>97</c:v>
                </c:pt>
                <c:pt idx="44">
                  <c:v>79</c:v>
                </c:pt>
                <c:pt idx="45">
                  <c:v>121</c:v>
                </c:pt>
                <c:pt idx="46">
                  <c:v>89</c:v>
                </c:pt>
                <c:pt idx="47">
                  <c:v>90</c:v>
                </c:pt>
                <c:pt idx="48">
                  <c:v>131</c:v>
                </c:pt>
                <c:pt idx="49">
                  <c:v>163</c:v>
                </c:pt>
                <c:pt idx="50">
                  <c:v>163</c:v>
                </c:pt>
                <c:pt idx="51">
                  <c:v>89</c:v>
                </c:pt>
                <c:pt idx="52">
                  <c:v>91</c:v>
                </c:pt>
                <c:pt idx="53">
                  <c:v>141</c:v>
                </c:pt>
                <c:pt idx="54">
                  <c:v>183</c:v>
                </c:pt>
                <c:pt idx="55">
                  <c:v>97</c:v>
                </c:pt>
                <c:pt idx="56">
                  <c:v>98</c:v>
                </c:pt>
                <c:pt idx="57">
                  <c:v>122</c:v>
                </c:pt>
                <c:pt idx="58">
                  <c:v>89</c:v>
                </c:pt>
                <c:pt idx="59">
                  <c:v>90</c:v>
                </c:pt>
                <c:pt idx="60">
                  <c:v>146</c:v>
                </c:pt>
                <c:pt idx="61">
                  <c:v>90</c:v>
                </c:pt>
                <c:pt idx="62">
                  <c:v>85</c:v>
                </c:pt>
                <c:pt idx="63">
                  <c:v>121</c:v>
                </c:pt>
                <c:pt idx="64">
                  <c:v>105</c:v>
                </c:pt>
                <c:pt idx="65">
                  <c:v>141</c:v>
                </c:pt>
                <c:pt idx="66">
                  <c:v>100</c:v>
                </c:pt>
                <c:pt idx="67">
                  <c:v>145</c:v>
                </c:pt>
                <c:pt idx="68">
                  <c:v>105</c:v>
                </c:pt>
                <c:pt idx="69">
                  <c:v>97</c:v>
                </c:pt>
                <c:pt idx="70">
                  <c:v>97</c:v>
                </c:pt>
                <c:pt idx="71">
                  <c:v>113</c:v>
                </c:pt>
                <c:pt idx="72">
                  <c:v>72</c:v>
                </c:pt>
                <c:pt idx="73">
                  <c:v>113</c:v>
                </c:pt>
                <c:pt idx="74">
                  <c:v>97</c:v>
                </c:pt>
                <c:pt idx="75">
                  <c:v>71</c:v>
                </c:pt>
                <c:pt idx="76">
                  <c:v>70</c:v>
                </c:pt>
                <c:pt idx="77">
                  <c:v>97</c:v>
                </c:pt>
                <c:pt idx="78">
                  <c:v>113</c:v>
                </c:pt>
                <c:pt idx="79">
                  <c:v>97</c:v>
                </c:pt>
                <c:pt idx="80">
                  <c:v>120</c:v>
                </c:pt>
                <c:pt idx="81">
                  <c:v>70</c:v>
                </c:pt>
                <c:pt idx="82">
                  <c:v>108</c:v>
                </c:pt>
                <c:pt idx="83">
                  <c:v>97</c:v>
                </c:pt>
                <c:pt idx="84">
                  <c:v>156</c:v>
                </c:pt>
                <c:pt idx="85">
                  <c:v>120</c:v>
                </c:pt>
                <c:pt idx="86">
                  <c:v>108</c:v>
                </c:pt>
                <c:pt idx="87">
                  <c:v>71</c:v>
                </c:pt>
                <c:pt idx="88">
                  <c:v>79</c:v>
                </c:pt>
                <c:pt idx="89">
                  <c:v>76</c:v>
                </c:pt>
                <c:pt idx="90">
                  <c:v>83</c:v>
                </c:pt>
                <c:pt idx="91">
                  <c:v>119</c:v>
                </c:pt>
                <c:pt idx="92">
                  <c:v>134</c:v>
                </c:pt>
                <c:pt idx="93">
                  <c:v>97</c:v>
                </c:pt>
                <c:pt idx="94">
                  <c:v>91</c:v>
                </c:pt>
                <c:pt idx="95">
                  <c:v>85</c:v>
                </c:pt>
                <c:pt idx="96">
                  <c:v>97</c:v>
                </c:pt>
                <c:pt idx="97">
                  <c:v>91</c:v>
                </c:pt>
                <c:pt idx="98">
                  <c:v>156</c:v>
                </c:pt>
                <c:pt idx="99">
                  <c:v>80</c:v>
                </c:pt>
                <c:pt idx="100">
                  <c:v>85</c:v>
                </c:pt>
                <c:pt idx="101">
                  <c:v>97</c:v>
                </c:pt>
                <c:pt idx="102">
                  <c:v>98</c:v>
                </c:pt>
                <c:pt idx="103">
                  <c:v>97</c:v>
                </c:pt>
                <c:pt idx="104">
                  <c:v>146</c:v>
                </c:pt>
                <c:pt idx="105">
                  <c:v>119</c:v>
                </c:pt>
                <c:pt idx="106">
                  <c:v>119</c:v>
                </c:pt>
                <c:pt idx="107">
                  <c:v>134</c:v>
                </c:pt>
                <c:pt idx="108">
                  <c:v>134</c:v>
                </c:pt>
                <c:pt idx="109">
                  <c:v>85</c:v>
                </c:pt>
                <c:pt idx="110">
                  <c:v>91</c:v>
                </c:pt>
                <c:pt idx="111">
                  <c:v>98</c:v>
                </c:pt>
                <c:pt idx="112">
                  <c:v>78</c:v>
                </c:pt>
                <c:pt idx="113">
                  <c:v>86</c:v>
                </c:pt>
                <c:pt idx="114">
                  <c:v>85</c:v>
                </c:pt>
                <c:pt idx="115">
                  <c:v>70</c:v>
                </c:pt>
                <c:pt idx="116">
                  <c:v>119</c:v>
                </c:pt>
                <c:pt idx="117">
                  <c:v>91</c:v>
                </c:pt>
                <c:pt idx="118">
                  <c:v>134</c:v>
                </c:pt>
                <c:pt idx="119">
                  <c:v>108</c:v>
                </c:pt>
                <c:pt idx="120">
                  <c:v>86</c:v>
                </c:pt>
                <c:pt idx="121">
                  <c:v>107</c:v>
                </c:pt>
                <c:pt idx="122">
                  <c:v>97</c:v>
                </c:pt>
                <c:pt idx="123">
                  <c:v>85</c:v>
                </c:pt>
                <c:pt idx="124">
                  <c:v>86</c:v>
                </c:pt>
                <c:pt idx="125">
                  <c:v>89</c:v>
                </c:pt>
                <c:pt idx="126">
                  <c:v>120</c:v>
                </c:pt>
                <c:pt idx="127">
                  <c:v>168</c:v>
                </c:pt>
                <c:pt idx="128">
                  <c:v>119</c:v>
                </c:pt>
                <c:pt idx="129">
                  <c:v>91</c:v>
                </c:pt>
                <c:pt idx="130">
                  <c:v>81</c:v>
                </c:pt>
                <c:pt idx="131">
                  <c:v>107</c:v>
                </c:pt>
                <c:pt idx="132">
                  <c:v>79</c:v>
                </c:pt>
                <c:pt idx="133">
                  <c:v>85</c:v>
                </c:pt>
                <c:pt idx="134">
                  <c:v>97</c:v>
                </c:pt>
                <c:pt idx="135">
                  <c:v>108</c:v>
                </c:pt>
                <c:pt idx="136">
                  <c:v>89</c:v>
                </c:pt>
                <c:pt idx="137">
                  <c:v>120</c:v>
                </c:pt>
                <c:pt idx="138">
                  <c:v>146</c:v>
                </c:pt>
                <c:pt idx="139">
                  <c:v>168</c:v>
                </c:pt>
                <c:pt idx="140">
                  <c:v>120</c:v>
                </c:pt>
                <c:pt idx="141">
                  <c:v>144</c:v>
                </c:pt>
                <c:pt idx="142">
                  <c:v>91</c:v>
                </c:pt>
                <c:pt idx="143">
                  <c:v>91</c:v>
                </c:pt>
                <c:pt idx="144">
                  <c:v>91</c:v>
                </c:pt>
                <c:pt idx="145">
                  <c:v>107</c:v>
                </c:pt>
                <c:pt idx="146">
                  <c:v>91</c:v>
                </c:pt>
                <c:pt idx="147">
                  <c:v>91</c:v>
                </c:pt>
                <c:pt idx="148">
                  <c:v>108</c:v>
                </c:pt>
                <c:pt idx="149">
                  <c:v>199</c:v>
                </c:pt>
                <c:pt idx="150">
                  <c:v>199</c:v>
                </c:pt>
                <c:pt idx="151">
                  <c:v>198</c:v>
                </c:pt>
                <c:pt idx="152">
                  <c:v>200</c:v>
                </c:pt>
                <c:pt idx="153">
                  <c:v>455</c:v>
                </c:pt>
                <c:pt idx="154">
                  <c:v>455</c:v>
                </c:pt>
                <c:pt idx="155">
                  <c:v>454</c:v>
                </c:pt>
                <c:pt idx="156">
                  <c:v>440</c:v>
                </c:pt>
                <c:pt idx="157">
                  <c:v>390</c:v>
                </c:pt>
                <c:pt idx="158">
                  <c:v>318</c:v>
                </c:pt>
                <c:pt idx="159">
                  <c:v>383</c:v>
                </c:pt>
                <c:pt idx="160">
                  <c:v>360</c:v>
                </c:pt>
                <c:pt idx="161">
                  <c:v>307</c:v>
                </c:pt>
                <c:pt idx="162">
                  <c:v>429</c:v>
                </c:pt>
                <c:pt idx="163">
                  <c:v>350</c:v>
                </c:pt>
                <c:pt idx="164">
                  <c:v>340</c:v>
                </c:pt>
                <c:pt idx="165">
                  <c:v>304</c:v>
                </c:pt>
                <c:pt idx="166">
                  <c:v>318</c:v>
                </c:pt>
                <c:pt idx="167">
                  <c:v>304</c:v>
                </c:pt>
                <c:pt idx="168">
                  <c:v>302</c:v>
                </c:pt>
                <c:pt idx="169">
                  <c:v>400</c:v>
                </c:pt>
                <c:pt idx="170">
                  <c:v>307</c:v>
                </c:pt>
                <c:pt idx="171">
                  <c:v>140</c:v>
                </c:pt>
                <c:pt idx="172">
                  <c:v>122</c:v>
                </c:pt>
                <c:pt idx="173">
                  <c:v>91</c:v>
                </c:pt>
                <c:pt idx="174">
                  <c:v>140</c:v>
                </c:pt>
                <c:pt idx="175">
                  <c:v>98</c:v>
                </c:pt>
                <c:pt idx="176">
                  <c:v>232</c:v>
                </c:pt>
                <c:pt idx="177">
                  <c:v>258</c:v>
                </c:pt>
                <c:pt idx="178">
                  <c:v>225</c:v>
                </c:pt>
                <c:pt idx="179">
                  <c:v>250</c:v>
                </c:pt>
                <c:pt idx="180">
                  <c:v>232</c:v>
                </c:pt>
                <c:pt idx="181">
                  <c:v>250</c:v>
                </c:pt>
                <c:pt idx="182">
                  <c:v>250</c:v>
                </c:pt>
                <c:pt idx="183">
                  <c:v>250</c:v>
                </c:pt>
                <c:pt idx="184">
                  <c:v>350</c:v>
                </c:pt>
                <c:pt idx="185">
                  <c:v>400</c:v>
                </c:pt>
                <c:pt idx="186">
                  <c:v>351</c:v>
                </c:pt>
                <c:pt idx="187">
                  <c:v>318</c:v>
                </c:pt>
                <c:pt idx="188">
                  <c:v>383</c:v>
                </c:pt>
                <c:pt idx="189">
                  <c:v>400</c:v>
                </c:pt>
                <c:pt idx="190">
                  <c:v>400</c:v>
                </c:pt>
                <c:pt idx="191">
                  <c:v>122</c:v>
                </c:pt>
                <c:pt idx="192">
                  <c:v>97.5</c:v>
                </c:pt>
                <c:pt idx="193">
                  <c:v>140</c:v>
                </c:pt>
                <c:pt idx="194">
                  <c:v>98</c:v>
                </c:pt>
                <c:pt idx="195">
                  <c:v>122</c:v>
                </c:pt>
                <c:pt idx="196">
                  <c:v>429</c:v>
                </c:pt>
                <c:pt idx="197">
                  <c:v>400</c:v>
                </c:pt>
                <c:pt idx="198">
                  <c:v>304</c:v>
                </c:pt>
                <c:pt idx="199">
                  <c:v>400</c:v>
                </c:pt>
                <c:pt idx="200">
                  <c:v>350</c:v>
                </c:pt>
                <c:pt idx="201">
                  <c:v>304</c:v>
                </c:pt>
                <c:pt idx="202">
                  <c:v>351</c:v>
                </c:pt>
                <c:pt idx="203">
                  <c:v>318</c:v>
                </c:pt>
                <c:pt idx="204">
                  <c:v>318</c:v>
                </c:pt>
                <c:pt idx="205">
                  <c:v>350</c:v>
                </c:pt>
                <c:pt idx="206">
                  <c:v>350</c:v>
                </c:pt>
                <c:pt idx="207">
                  <c:v>302</c:v>
                </c:pt>
                <c:pt idx="208">
                  <c:v>307</c:v>
                </c:pt>
                <c:pt idx="209">
                  <c:v>122</c:v>
                </c:pt>
                <c:pt idx="210">
                  <c:v>140</c:v>
                </c:pt>
                <c:pt idx="211">
                  <c:v>155</c:v>
                </c:pt>
                <c:pt idx="212">
                  <c:v>232</c:v>
                </c:pt>
                <c:pt idx="213">
                  <c:v>232</c:v>
                </c:pt>
                <c:pt idx="214">
                  <c:v>225</c:v>
                </c:pt>
                <c:pt idx="215">
                  <c:v>198</c:v>
                </c:pt>
                <c:pt idx="216">
                  <c:v>250</c:v>
                </c:pt>
                <c:pt idx="217">
                  <c:v>250</c:v>
                </c:pt>
                <c:pt idx="218">
                  <c:v>400</c:v>
                </c:pt>
                <c:pt idx="219">
                  <c:v>350</c:v>
                </c:pt>
                <c:pt idx="220">
                  <c:v>360</c:v>
                </c:pt>
                <c:pt idx="221">
                  <c:v>455</c:v>
                </c:pt>
                <c:pt idx="222">
                  <c:v>440</c:v>
                </c:pt>
                <c:pt idx="223">
                  <c:v>318</c:v>
                </c:pt>
                <c:pt idx="224">
                  <c:v>350</c:v>
                </c:pt>
                <c:pt idx="225">
                  <c:v>304</c:v>
                </c:pt>
                <c:pt idx="226">
                  <c:v>429</c:v>
                </c:pt>
                <c:pt idx="227">
                  <c:v>350</c:v>
                </c:pt>
                <c:pt idx="228">
                  <c:v>318</c:v>
                </c:pt>
                <c:pt idx="229">
                  <c:v>360</c:v>
                </c:pt>
                <c:pt idx="230">
                  <c:v>350</c:v>
                </c:pt>
                <c:pt idx="231">
                  <c:v>351</c:v>
                </c:pt>
                <c:pt idx="232">
                  <c:v>350</c:v>
                </c:pt>
                <c:pt idx="233">
                  <c:v>318</c:v>
                </c:pt>
                <c:pt idx="234">
                  <c:v>400</c:v>
                </c:pt>
                <c:pt idx="235">
                  <c:v>302</c:v>
                </c:pt>
                <c:pt idx="236">
                  <c:v>400</c:v>
                </c:pt>
                <c:pt idx="237">
                  <c:v>400</c:v>
                </c:pt>
                <c:pt idx="238">
                  <c:v>90</c:v>
                </c:pt>
                <c:pt idx="239">
                  <c:v>122</c:v>
                </c:pt>
                <c:pt idx="240">
                  <c:v>140</c:v>
                </c:pt>
                <c:pt idx="241">
                  <c:v>232</c:v>
                </c:pt>
                <c:pt idx="242">
                  <c:v>198</c:v>
                </c:pt>
                <c:pt idx="243">
                  <c:v>258</c:v>
                </c:pt>
                <c:pt idx="244">
                  <c:v>250</c:v>
                </c:pt>
                <c:pt idx="245">
                  <c:v>225</c:v>
                </c:pt>
                <c:pt idx="246">
                  <c:v>250</c:v>
                </c:pt>
                <c:pt idx="247">
                  <c:v>200</c:v>
                </c:pt>
                <c:pt idx="248">
                  <c:v>304</c:v>
                </c:pt>
                <c:pt idx="249">
                  <c:v>302</c:v>
                </c:pt>
                <c:pt idx="250">
                  <c:v>318</c:v>
                </c:pt>
                <c:pt idx="251">
                  <c:v>350</c:v>
                </c:pt>
                <c:pt idx="252">
                  <c:v>302</c:v>
                </c:pt>
                <c:pt idx="253">
                  <c:v>140</c:v>
                </c:pt>
                <c:pt idx="254">
                  <c:v>140</c:v>
                </c:pt>
                <c:pt idx="255">
                  <c:v>231</c:v>
                </c:pt>
                <c:pt idx="256">
                  <c:v>232</c:v>
                </c:pt>
                <c:pt idx="257">
                  <c:v>171</c:v>
                </c:pt>
                <c:pt idx="258">
                  <c:v>250</c:v>
                </c:pt>
                <c:pt idx="259">
                  <c:v>258</c:v>
                </c:pt>
                <c:pt idx="260">
                  <c:v>225</c:v>
                </c:pt>
                <c:pt idx="261">
                  <c:v>231</c:v>
                </c:pt>
                <c:pt idx="262">
                  <c:v>232</c:v>
                </c:pt>
                <c:pt idx="263">
                  <c:v>250</c:v>
                </c:pt>
                <c:pt idx="264">
                  <c:v>225</c:v>
                </c:pt>
                <c:pt idx="265">
                  <c:v>250</c:v>
                </c:pt>
                <c:pt idx="266">
                  <c:v>250</c:v>
                </c:pt>
                <c:pt idx="267">
                  <c:v>302</c:v>
                </c:pt>
                <c:pt idx="268">
                  <c:v>400</c:v>
                </c:pt>
                <c:pt idx="269">
                  <c:v>262</c:v>
                </c:pt>
                <c:pt idx="270">
                  <c:v>318</c:v>
                </c:pt>
                <c:pt idx="271">
                  <c:v>350</c:v>
                </c:pt>
                <c:pt idx="272">
                  <c:v>351</c:v>
                </c:pt>
                <c:pt idx="273">
                  <c:v>140</c:v>
                </c:pt>
                <c:pt idx="274">
                  <c:v>98</c:v>
                </c:pt>
                <c:pt idx="275">
                  <c:v>140</c:v>
                </c:pt>
                <c:pt idx="276">
                  <c:v>98</c:v>
                </c:pt>
                <c:pt idx="277">
                  <c:v>85</c:v>
                </c:pt>
                <c:pt idx="278">
                  <c:v>250</c:v>
                </c:pt>
                <c:pt idx="279">
                  <c:v>225</c:v>
                </c:pt>
                <c:pt idx="280">
                  <c:v>250</c:v>
                </c:pt>
                <c:pt idx="281">
                  <c:v>258</c:v>
                </c:pt>
                <c:pt idx="282">
                  <c:v>232</c:v>
                </c:pt>
                <c:pt idx="283">
                  <c:v>225</c:v>
                </c:pt>
                <c:pt idx="284">
                  <c:v>200</c:v>
                </c:pt>
                <c:pt idx="285">
                  <c:v>250</c:v>
                </c:pt>
                <c:pt idx="286">
                  <c:v>350</c:v>
                </c:pt>
                <c:pt idx="287">
                  <c:v>318</c:v>
                </c:pt>
                <c:pt idx="288">
                  <c:v>318</c:v>
                </c:pt>
                <c:pt idx="289">
                  <c:v>351</c:v>
                </c:pt>
                <c:pt idx="290">
                  <c:v>350</c:v>
                </c:pt>
                <c:pt idx="291">
                  <c:v>318</c:v>
                </c:pt>
                <c:pt idx="292">
                  <c:v>302</c:v>
                </c:pt>
                <c:pt idx="293">
                  <c:v>305</c:v>
                </c:pt>
                <c:pt idx="294">
                  <c:v>304</c:v>
                </c:pt>
                <c:pt idx="295">
                  <c:v>122</c:v>
                </c:pt>
                <c:pt idx="296">
                  <c:v>98</c:v>
                </c:pt>
                <c:pt idx="297">
                  <c:v>111</c:v>
                </c:pt>
                <c:pt idx="298">
                  <c:v>140</c:v>
                </c:pt>
                <c:pt idx="299">
                  <c:v>151</c:v>
                </c:pt>
                <c:pt idx="300">
                  <c:v>98</c:v>
                </c:pt>
                <c:pt idx="301">
                  <c:v>250</c:v>
                </c:pt>
                <c:pt idx="302">
                  <c:v>231</c:v>
                </c:pt>
                <c:pt idx="303">
                  <c:v>250</c:v>
                </c:pt>
                <c:pt idx="304">
                  <c:v>225</c:v>
                </c:pt>
                <c:pt idx="305">
                  <c:v>400</c:v>
                </c:pt>
                <c:pt idx="306">
                  <c:v>400</c:v>
                </c:pt>
                <c:pt idx="307">
                  <c:v>350</c:v>
                </c:pt>
                <c:pt idx="308">
                  <c:v>305</c:v>
                </c:pt>
                <c:pt idx="309">
                  <c:v>318</c:v>
                </c:pt>
                <c:pt idx="310">
                  <c:v>351</c:v>
                </c:pt>
                <c:pt idx="311">
                  <c:v>302</c:v>
                </c:pt>
                <c:pt idx="312">
                  <c:v>260</c:v>
                </c:pt>
                <c:pt idx="313">
                  <c:v>156</c:v>
                </c:pt>
                <c:pt idx="314">
                  <c:v>98</c:v>
                </c:pt>
                <c:pt idx="315">
                  <c:v>105</c:v>
                </c:pt>
                <c:pt idx="316">
                  <c:v>140</c:v>
                </c:pt>
                <c:pt idx="317">
                  <c:v>98</c:v>
                </c:pt>
                <c:pt idx="318">
                  <c:v>151</c:v>
                </c:pt>
                <c:pt idx="319">
                  <c:v>231</c:v>
                </c:pt>
                <c:pt idx="320">
                  <c:v>258</c:v>
                </c:pt>
                <c:pt idx="321">
                  <c:v>231</c:v>
                </c:pt>
                <c:pt idx="322">
                  <c:v>225</c:v>
                </c:pt>
                <c:pt idx="323">
                  <c:v>200</c:v>
                </c:pt>
                <c:pt idx="324">
                  <c:v>231</c:v>
                </c:pt>
                <c:pt idx="325">
                  <c:v>225</c:v>
                </c:pt>
                <c:pt idx="326">
                  <c:v>200</c:v>
                </c:pt>
                <c:pt idx="327">
                  <c:v>232</c:v>
                </c:pt>
                <c:pt idx="328">
                  <c:v>200</c:v>
                </c:pt>
                <c:pt idx="329">
                  <c:v>302</c:v>
                </c:pt>
                <c:pt idx="330">
                  <c:v>305</c:v>
                </c:pt>
                <c:pt idx="331">
                  <c:v>302</c:v>
                </c:pt>
                <c:pt idx="332">
                  <c:v>318</c:v>
                </c:pt>
                <c:pt idx="333">
                  <c:v>318</c:v>
                </c:pt>
                <c:pt idx="334">
                  <c:v>260</c:v>
                </c:pt>
                <c:pt idx="335">
                  <c:v>98</c:v>
                </c:pt>
                <c:pt idx="336">
                  <c:v>151</c:v>
                </c:pt>
                <c:pt idx="337">
                  <c:v>151</c:v>
                </c:pt>
                <c:pt idx="338">
                  <c:v>105</c:v>
                </c:pt>
                <c:pt idx="339">
                  <c:v>105</c:v>
                </c:pt>
                <c:pt idx="340">
                  <c:v>140</c:v>
                </c:pt>
                <c:pt idx="341">
                  <c:v>121</c:v>
                </c:pt>
                <c:pt idx="342">
                  <c:v>173</c:v>
                </c:pt>
                <c:pt idx="343">
                  <c:v>173</c:v>
                </c:pt>
                <c:pt idx="344">
                  <c:v>231</c:v>
                </c:pt>
                <c:pt idx="345">
                  <c:v>225</c:v>
                </c:pt>
                <c:pt idx="346">
                  <c:v>200</c:v>
                </c:pt>
                <c:pt idx="347">
                  <c:v>232</c:v>
                </c:pt>
                <c:pt idx="348">
                  <c:v>360</c:v>
                </c:pt>
                <c:pt idx="349">
                  <c:v>350</c:v>
                </c:pt>
                <c:pt idx="350">
                  <c:v>318</c:v>
                </c:pt>
                <c:pt idx="351">
                  <c:v>351</c:v>
                </c:pt>
                <c:pt idx="352">
                  <c:v>351</c:v>
                </c:pt>
                <c:pt idx="353">
                  <c:v>267</c:v>
                </c:pt>
                <c:pt idx="354">
                  <c:v>302</c:v>
                </c:pt>
                <c:pt idx="355">
                  <c:v>305</c:v>
                </c:pt>
                <c:pt idx="356">
                  <c:v>350</c:v>
                </c:pt>
                <c:pt idx="357">
                  <c:v>260</c:v>
                </c:pt>
                <c:pt idx="358">
                  <c:v>156</c:v>
                </c:pt>
                <c:pt idx="359">
                  <c:v>151</c:v>
                </c:pt>
                <c:pt idx="360">
                  <c:v>98</c:v>
                </c:pt>
                <c:pt idx="361">
                  <c:v>140</c:v>
                </c:pt>
                <c:pt idx="362">
                  <c:v>151</c:v>
                </c:pt>
                <c:pt idx="363">
                  <c:v>140</c:v>
                </c:pt>
                <c:pt idx="364">
                  <c:v>225</c:v>
                </c:pt>
                <c:pt idx="365">
                  <c:v>135</c:v>
                </c:pt>
                <c:pt idx="366">
                  <c:v>156</c:v>
                </c:pt>
                <c:pt idx="367">
                  <c:v>86</c:v>
                </c:pt>
                <c:pt idx="368">
                  <c:v>135</c:v>
                </c:pt>
                <c:pt idx="369">
                  <c:v>151</c:v>
                </c:pt>
                <c:pt idx="370">
                  <c:v>98</c:v>
                </c:pt>
                <c:pt idx="371">
                  <c:v>105</c:v>
                </c:pt>
                <c:pt idx="372">
                  <c:v>98</c:v>
                </c:pt>
                <c:pt idx="373">
                  <c:v>173</c:v>
                </c:pt>
                <c:pt idx="374">
                  <c:v>231</c:v>
                </c:pt>
                <c:pt idx="375">
                  <c:v>200</c:v>
                </c:pt>
                <c:pt idx="376">
                  <c:v>225</c:v>
                </c:pt>
                <c:pt idx="377">
                  <c:v>350</c:v>
                </c:pt>
                <c:pt idx="378">
                  <c:v>112</c:v>
                </c:pt>
                <c:pt idx="379">
                  <c:v>135</c:v>
                </c:pt>
                <c:pt idx="380">
                  <c:v>156</c:v>
                </c:pt>
                <c:pt idx="381">
                  <c:v>135</c:v>
                </c:pt>
                <c:pt idx="382">
                  <c:v>112</c:v>
                </c:pt>
                <c:pt idx="383">
                  <c:v>112</c:v>
                </c:pt>
                <c:pt idx="384">
                  <c:v>135</c:v>
                </c:pt>
                <c:pt idx="385">
                  <c:v>112</c:v>
                </c:pt>
                <c:pt idx="386">
                  <c:v>98</c:v>
                </c:pt>
                <c:pt idx="387">
                  <c:v>151</c:v>
                </c:pt>
                <c:pt idx="388">
                  <c:v>140</c:v>
                </c:pt>
                <c:pt idx="389">
                  <c:v>140</c:v>
                </c:pt>
                <c:pt idx="390">
                  <c:v>151</c:v>
                </c:pt>
                <c:pt idx="391">
                  <c:v>119</c:v>
                </c:pt>
                <c:pt idx="392">
                  <c:v>120</c:v>
                </c:pt>
                <c:pt idx="393">
                  <c:v>105</c:v>
                </c:pt>
                <c:pt idx="394">
                  <c:v>151</c:v>
                </c:pt>
                <c:pt idx="395">
                  <c:v>232</c:v>
                </c:pt>
                <c:pt idx="396">
                  <c:v>181</c:v>
                </c:pt>
                <c:pt idx="397">
                  <c:v>262</c:v>
                </c:pt>
              </c:numCache>
            </c:numRef>
          </c:yVal>
          <c:smooth val="0"/>
          <c:extLst>
            <c:ext xmlns:c16="http://schemas.microsoft.com/office/drawing/2014/chart" uri="{C3380CC4-5D6E-409C-BE32-E72D297353CC}">
              <c16:uniqueId val="{00000000-0FD4-4F89-B91F-C433BEE6A7A9}"/>
            </c:ext>
          </c:extLst>
        </c:ser>
        <c:dLbls>
          <c:showLegendKey val="0"/>
          <c:showVal val="0"/>
          <c:showCatName val="0"/>
          <c:showSerName val="0"/>
          <c:showPercent val="0"/>
          <c:showBubbleSize val="0"/>
        </c:dLbls>
        <c:axId val="1071011407"/>
        <c:axId val="1071009487"/>
      </c:scatterChart>
      <c:valAx>
        <c:axId val="1071011407"/>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pt-BR"/>
                  <a:t>MPG</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pt-BR"/>
          </a:p>
        </c:txPr>
        <c:crossAx val="1071009487"/>
        <c:crosses val="autoZero"/>
        <c:crossBetween val="midCat"/>
      </c:valAx>
      <c:valAx>
        <c:axId val="1071009487"/>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pt-BR"/>
                  <a:t>Displacement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pt-BR"/>
          </a:p>
        </c:txPr>
        <c:crossAx val="10710114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[Automobile.xlsx]Pivot table for MPG Statistics!PivotTable1</c:name>
    <c:fmtId val="3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Trend of Average MPGs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pt-BR"/>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for MPG Statistics'!$B$3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multiLvlStrRef>
              <c:f>'Pivot table for MPG Statistics'!$A$4:$A$46</c:f>
              <c:multiLvlStrCache>
                <c:ptCount val="39"/>
                <c:lvl>
                  <c:pt idx="0">
                    <c:v>70</c:v>
                  </c:pt>
                  <c:pt idx="1">
                    <c:v>71</c:v>
                  </c:pt>
                  <c:pt idx="2">
                    <c:v>72</c:v>
                  </c:pt>
                  <c:pt idx="3">
                    <c:v>73</c:v>
                  </c:pt>
                  <c:pt idx="4">
                    <c:v>74</c:v>
                  </c:pt>
                  <c:pt idx="5">
                    <c:v>75</c:v>
                  </c:pt>
                  <c:pt idx="6">
                    <c:v>76</c:v>
                  </c:pt>
                  <c:pt idx="7">
                    <c:v>77</c:v>
                  </c:pt>
                  <c:pt idx="8">
                    <c:v>78</c:v>
                  </c:pt>
                  <c:pt idx="9">
                    <c:v>79</c:v>
                  </c:pt>
                  <c:pt idx="10">
                    <c:v>80</c:v>
                  </c:pt>
                  <c:pt idx="11">
                    <c:v>81</c:v>
                  </c:pt>
                  <c:pt idx="12">
                    <c:v>82</c:v>
                  </c:pt>
                  <c:pt idx="13">
                    <c:v>70</c:v>
                  </c:pt>
                  <c:pt idx="14">
                    <c:v>71</c:v>
                  </c:pt>
                  <c:pt idx="15">
                    <c:v>72</c:v>
                  </c:pt>
                  <c:pt idx="16">
                    <c:v>73</c:v>
                  </c:pt>
                  <c:pt idx="17">
                    <c:v>74</c:v>
                  </c:pt>
                  <c:pt idx="18">
                    <c:v>75</c:v>
                  </c:pt>
                  <c:pt idx="19">
                    <c:v>76</c:v>
                  </c:pt>
                  <c:pt idx="20">
                    <c:v>77</c:v>
                  </c:pt>
                  <c:pt idx="21">
                    <c:v>78</c:v>
                  </c:pt>
                  <c:pt idx="22">
                    <c:v>79</c:v>
                  </c:pt>
                  <c:pt idx="23">
                    <c:v>80</c:v>
                  </c:pt>
                  <c:pt idx="24">
                    <c:v>81</c:v>
                  </c:pt>
                  <c:pt idx="25">
                    <c:v>82</c:v>
                  </c:pt>
                  <c:pt idx="26">
                    <c:v>70</c:v>
                  </c:pt>
                  <c:pt idx="27">
                    <c:v>71</c:v>
                  </c:pt>
                  <c:pt idx="28">
                    <c:v>72</c:v>
                  </c:pt>
                  <c:pt idx="29">
                    <c:v>73</c:v>
                  </c:pt>
                  <c:pt idx="30">
                    <c:v>74</c:v>
                  </c:pt>
                  <c:pt idx="31">
                    <c:v>75</c:v>
                  </c:pt>
                  <c:pt idx="32">
                    <c:v>76</c:v>
                  </c:pt>
                  <c:pt idx="33">
                    <c:v>77</c:v>
                  </c:pt>
                  <c:pt idx="34">
                    <c:v>78</c:v>
                  </c:pt>
                  <c:pt idx="35">
                    <c:v>79</c:v>
                  </c:pt>
                  <c:pt idx="36">
                    <c:v>80</c:v>
                  </c:pt>
                  <c:pt idx="37">
                    <c:v>81</c:v>
                  </c:pt>
                  <c:pt idx="38">
                    <c:v>82</c:v>
                  </c:pt>
                </c:lvl>
                <c:lvl>
                  <c:pt idx="0">
                    <c:v>europe</c:v>
                  </c:pt>
                  <c:pt idx="13">
                    <c:v>japan</c:v>
                  </c:pt>
                  <c:pt idx="26">
                    <c:v>usa</c:v>
                  </c:pt>
                </c:lvl>
              </c:multiLvlStrCache>
            </c:multiLvlStrRef>
          </c:cat>
          <c:val>
            <c:numRef>
              <c:f>'Pivot table for MPG Statistics'!$B$4:$B$46</c:f>
              <c:numCache>
                <c:formatCode>General</c:formatCode>
                <c:ptCount val="39"/>
                <c:pt idx="0">
                  <c:v>25.2</c:v>
                </c:pt>
                <c:pt idx="1">
                  <c:v>28.75</c:v>
                </c:pt>
                <c:pt idx="2">
                  <c:v>22</c:v>
                </c:pt>
                <c:pt idx="3">
                  <c:v>24</c:v>
                </c:pt>
                <c:pt idx="4">
                  <c:v>27</c:v>
                </c:pt>
                <c:pt idx="5">
                  <c:v>24.5</c:v>
                </c:pt>
                <c:pt idx="6">
                  <c:v>24.25</c:v>
                </c:pt>
                <c:pt idx="7">
                  <c:v>29.25</c:v>
                </c:pt>
                <c:pt idx="8">
                  <c:v>24.95</c:v>
                </c:pt>
                <c:pt idx="9">
                  <c:v>30.45</c:v>
                </c:pt>
                <c:pt idx="10">
                  <c:v>37.288888888888891</c:v>
                </c:pt>
                <c:pt idx="11">
                  <c:v>31.574999999999999</c:v>
                </c:pt>
                <c:pt idx="12">
                  <c:v>40</c:v>
                </c:pt>
                <c:pt idx="13">
                  <c:v>25.5</c:v>
                </c:pt>
                <c:pt idx="14">
                  <c:v>29.5</c:v>
                </c:pt>
                <c:pt idx="15">
                  <c:v>24.2</c:v>
                </c:pt>
                <c:pt idx="16">
                  <c:v>20</c:v>
                </c:pt>
                <c:pt idx="17">
                  <c:v>29.333333333333332</c:v>
                </c:pt>
                <c:pt idx="18">
                  <c:v>27.5</c:v>
                </c:pt>
                <c:pt idx="19">
                  <c:v>28</c:v>
                </c:pt>
                <c:pt idx="20">
                  <c:v>27.416666666666668</c:v>
                </c:pt>
                <c:pt idx="21">
                  <c:v>29.687499999999996</c:v>
                </c:pt>
                <c:pt idx="22">
                  <c:v>32.950000000000003</c:v>
                </c:pt>
                <c:pt idx="23">
                  <c:v>35.4</c:v>
                </c:pt>
                <c:pt idx="24">
                  <c:v>32.958333333333329</c:v>
                </c:pt>
                <c:pt idx="25">
                  <c:v>34.888888888888886</c:v>
                </c:pt>
                <c:pt idx="26">
                  <c:v>15.272727272727273</c:v>
                </c:pt>
                <c:pt idx="27">
                  <c:v>18.100000000000001</c:v>
                </c:pt>
                <c:pt idx="28">
                  <c:v>16.277777777777779</c:v>
                </c:pt>
                <c:pt idx="29">
                  <c:v>15.03448275862069</c:v>
                </c:pt>
                <c:pt idx="30">
                  <c:v>18.333333333333332</c:v>
                </c:pt>
                <c:pt idx="31">
                  <c:v>17.55</c:v>
                </c:pt>
                <c:pt idx="32">
                  <c:v>19.431818181818183</c:v>
                </c:pt>
                <c:pt idx="33">
                  <c:v>20.722222222222221</c:v>
                </c:pt>
                <c:pt idx="34">
                  <c:v>21.772727272727273</c:v>
                </c:pt>
                <c:pt idx="35">
                  <c:v>23.478260869565219</c:v>
                </c:pt>
                <c:pt idx="36">
                  <c:v>25.914285714285715</c:v>
                </c:pt>
                <c:pt idx="37">
                  <c:v>27.530769230769234</c:v>
                </c:pt>
                <c:pt idx="38">
                  <c:v>29.45</c:v>
                </c:pt>
              </c:numCache>
            </c:numRef>
          </c:val>
          <c:extLst>
            <c:ext xmlns:c16="http://schemas.microsoft.com/office/drawing/2014/chart" uri="{C3380CC4-5D6E-409C-BE32-E72D297353CC}">
              <c16:uniqueId val="{00000000-40D1-46B4-8D69-1C37DA6E2769}"/>
            </c:ext>
          </c:extLst>
        </c:ser>
        <c:dLbls>
          <c:showLegendKey val="0"/>
          <c:showVal val="0"/>
          <c:showCatName val="0"/>
          <c:showSerName val="0"/>
          <c:showPercent val="0"/>
          <c:showBubbleSize val="0"/>
        </c:dLbls>
        <c:gapWidth val="150"/>
        <c:shape val="box"/>
        <c:axId val="210143904"/>
        <c:axId val="210144384"/>
        <c:axId val="0"/>
      </c:bar3DChart>
      <c:catAx>
        <c:axId val="21014390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pt-BR"/>
                  <a:t>Regions and Model Years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0144384"/>
        <c:crosses val="autoZero"/>
        <c:auto val="1"/>
        <c:lblAlgn val="ctr"/>
        <c:lblOffset val="100"/>
        <c:noMultiLvlLbl val="0"/>
      </c:catAx>
      <c:valAx>
        <c:axId val="2101443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pt-BR"/>
                  <a:t>Average MPG</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014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Normalized Acceleration Trend</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pt-BR"/>
        </a:p>
      </c:txPr>
    </c:title>
    <c:autoTitleDeleted val="0"/>
    <c:plotArea>
      <c:layout/>
      <c:scatterChart>
        <c:scatterStyle val="lineMarker"/>
        <c:varyColors val="0"/>
        <c:ser>
          <c:idx val="0"/>
          <c:order val="0"/>
          <c:tx>
            <c:strRef>
              <c:f>'Normalized Accelerations'!$E$1</c:f>
              <c:strCache>
                <c:ptCount val="1"/>
                <c:pt idx="0">
                  <c:v>Normalized Acceleration</c:v>
                </c:pt>
              </c:strCache>
            </c:strRef>
          </c:tx>
          <c:spPr>
            <a:ln w="25400" cap="rnd">
              <a:noFill/>
              <a:round/>
            </a:ln>
            <a:effectLst/>
          </c:spPr>
          <c:marker>
            <c:symbol val="diamond"/>
            <c:size val="6"/>
            <c:spPr>
              <a:solidFill>
                <a:schemeClr val="lt1"/>
              </a:solidFill>
              <a:ln w="15875">
                <a:solidFill>
                  <a:schemeClr val="accent1"/>
                </a:solidFill>
                <a:round/>
              </a:ln>
              <a:effectLst/>
            </c:spPr>
          </c:marker>
          <c:trendline>
            <c:spPr>
              <a:ln w="19050" cap="rnd">
                <a:solidFill>
                  <a:schemeClr val="accent1"/>
                </a:solidFill>
              </a:ln>
              <a:effectLst/>
            </c:spPr>
            <c:trendlineType val="linear"/>
            <c:dispRSqr val="0"/>
            <c:dispEq val="0"/>
          </c:trendline>
          <c:yVal>
            <c:numRef>
              <c:f>'Normalized Accelerations'!$E$2:$E$413</c:f>
              <c:numCache>
                <c:formatCode>General</c:formatCode>
                <c:ptCount val="412"/>
                <c:pt idx="0">
                  <c:v>0.26785714285714285</c:v>
                </c:pt>
                <c:pt idx="1">
                  <c:v>0.56547619047619047</c:v>
                </c:pt>
                <c:pt idx="2">
                  <c:v>0.38690476190476186</c:v>
                </c:pt>
                <c:pt idx="3">
                  <c:v>0.56547619047619047</c:v>
                </c:pt>
                <c:pt idx="4">
                  <c:v>0.74404761904761907</c:v>
                </c:pt>
                <c:pt idx="5">
                  <c:v>0.35714285714285715</c:v>
                </c:pt>
                <c:pt idx="6">
                  <c:v>0.38690476190476186</c:v>
                </c:pt>
                <c:pt idx="7">
                  <c:v>0.68452380952380953</c:v>
                </c:pt>
                <c:pt idx="8">
                  <c:v>0.65476190476190477</c:v>
                </c:pt>
                <c:pt idx="9">
                  <c:v>0.38690476190476186</c:v>
                </c:pt>
                <c:pt idx="10">
                  <c:v>0.59523809523809523</c:v>
                </c:pt>
                <c:pt idx="11">
                  <c:v>0.59523809523809523</c:v>
                </c:pt>
                <c:pt idx="12">
                  <c:v>0.68452380952380953</c:v>
                </c:pt>
                <c:pt idx="13">
                  <c:v>0.92261904761904756</c:v>
                </c:pt>
                <c:pt idx="14">
                  <c:v>0.35714285714285715</c:v>
                </c:pt>
                <c:pt idx="15">
                  <c:v>0.4464285714285714</c:v>
                </c:pt>
                <c:pt idx="16">
                  <c:v>0.4464285714285714</c:v>
                </c:pt>
                <c:pt idx="17">
                  <c:v>0.35714285714285715</c:v>
                </c:pt>
                <c:pt idx="18">
                  <c:v>0.4464285714285714</c:v>
                </c:pt>
                <c:pt idx="19">
                  <c:v>0.68452380952380953</c:v>
                </c:pt>
                <c:pt idx="20">
                  <c:v>0.77380952380952372</c:v>
                </c:pt>
                <c:pt idx="21">
                  <c:v>0.50595238095238093</c:v>
                </c:pt>
                <c:pt idx="22">
                  <c:v>0.4464285714285714</c:v>
                </c:pt>
                <c:pt idx="23">
                  <c:v>0.4464285714285714</c:v>
                </c:pt>
                <c:pt idx="24">
                  <c:v>0.38690476190476186</c:v>
                </c:pt>
                <c:pt idx="25">
                  <c:v>0.47619047619047616</c:v>
                </c:pt>
                <c:pt idx="26">
                  <c:v>0.35714285714285715</c:v>
                </c:pt>
                <c:pt idx="27">
                  <c:v>0.32738095238095238</c:v>
                </c:pt>
                <c:pt idx="28">
                  <c:v>0.35714285714285715</c:v>
                </c:pt>
                <c:pt idx="29">
                  <c:v>0.41666666666666663</c:v>
                </c:pt>
                <c:pt idx="30">
                  <c:v>0.38690476190476186</c:v>
                </c:pt>
                <c:pt idx="31">
                  <c:v>0.50595238095238093</c:v>
                </c:pt>
                <c:pt idx="32">
                  <c:v>0.5357142857142857</c:v>
                </c:pt>
                <c:pt idx="33">
                  <c:v>0.24999999999999994</c:v>
                </c:pt>
                <c:pt idx="34">
                  <c:v>0.43452380952380953</c:v>
                </c:pt>
                <c:pt idx="35">
                  <c:v>0.52976190476190466</c:v>
                </c:pt>
                <c:pt idx="36">
                  <c:v>0.36904761904761901</c:v>
                </c:pt>
                <c:pt idx="37">
                  <c:v>0.4464285714285714</c:v>
                </c:pt>
                <c:pt idx="38">
                  <c:v>0.45833333333333326</c:v>
                </c:pt>
                <c:pt idx="39">
                  <c:v>0.82738095238095222</c:v>
                </c:pt>
                <c:pt idx="40">
                  <c:v>0.51785714285714279</c:v>
                </c:pt>
                <c:pt idx="41">
                  <c:v>0.28571428571428575</c:v>
                </c:pt>
                <c:pt idx="42">
                  <c:v>0.38690476190476186</c:v>
                </c:pt>
                <c:pt idx="43">
                  <c:v>0.36309523809523808</c:v>
                </c:pt>
                <c:pt idx="44">
                  <c:v>0.63095238095238104</c:v>
                </c:pt>
                <c:pt idx="45">
                  <c:v>0.45833333333333326</c:v>
                </c:pt>
                <c:pt idx="46">
                  <c:v>0.4107142857142857</c:v>
                </c:pt>
                <c:pt idx="47">
                  <c:v>0.80357142857142849</c:v>
                </c:pt>
                <c:pt idx="48">
                  <c:v>0.47023809523809523</c:v>
                </c:pt>
                <c:pt idx="49">
                  <c:v>0.33333333333333331</c:v>
                </c:pt>
                <c:pt idx="50">
                  <c:v>0.4642857142857143</c:v>
                </c:pt>
                <c:pt idx="51">
                  <c:v>0.35714285714285715</c:v>
                </c:pt>
                <c:pt idx="52">
                  <c:v>0.39880952380952372</c:v>
                </c:pt>
                <c:pt idx="53">
                  <c:v>1</c:v>
                </c:pt>
                <c:pt idx="54">
                  <c:v>0.72023809523809534</c:v>
                </c:pt>
                <c:pt idx="55">
                  <c:v>0.4642857142857143</c:v>
                </c:pt>
                <c:pt idx="56">
                  <c:v>0.39880952380952372</c:v>
                </c:pt>
                <c:pt idx="57">
                  <c:v>0.42261904761904756</c:v>
                </c:pt>
                <c:pt idx="58">
                  <c:v>0.43452380952380953</c:v>
                </c:pt>
                <c:pt idx="59">
                  <c:v>0.81547619047619035</c:v>
                </c:pt>
                <c:pt idx="60">
                  <c:v>0.8214285714285714</c:v>
                </c:pt>
                <c:pt idx="61">
                  <c:v>0.93452380952380942</c:v>
                </c:pt>
                <c:pt idx="62">
                  <c:v>0.5535714285714286</c:v>
                </c:pt>
                <c:pt idx="63">
                  <c:v>0.70833333333333326</c:v>
                </c:pt>
                <c:pt idx="64">
                  <c:v>0.36904761904761901</c:v>
                </c:pt>
                <c:pt idx="65">
                  <c:v>0.73809523809523803</c:v>
                </c:pt>
                <c:pt idx="66">
                  <c:v>0.4642857142857143</c:v>
                </c:pt>
                <c:pt idx="67">
                  <c:v>0.69047619047619058</c:v>
                </c:pt>
                <c:pt idx="68">
                  <c:v>0.43452380952380953</c:v>
                </c:pt>
                <c:pt idx="69">
                  <c:v>0.98809523809523814</c:v>
                </c:pt>
                <c:pt idx="70">
                  <c:v>0.38690476190476186</c:v>
                </c:pt>
                <c:pt idx="71">
                  <c:v>0.41666666666666663</c:v>
                </c:pt>
                <c:pt idx="72">
                  <c:v>0.59523809523809523</c:v>
                </c:pt>
                <c:pt idx="73">
                  <c:v>0.35714285714285715</c:v>
                </c:pt>
                <c:pt idx="74">
                  <c:v>0.38690476190476186</c:v>
                </c:pt>
                <c:pt idx="75">
                  <c:v>0.65476190476190477</c:v>
                </c:pt>
                <c:pt idx="76">
                  <c:v>0.32738095238095238</c:v>
                </c:pt>
                <c:pt idx="77">
                  <c:v>0.50595238095238093</c:v>
                </c:pt>
                <c:pt idx="78">
                  <c:v>0.4464285714285714</c:v>
                </c:pt>
                <c:pt idx="79">
                  <c:v>0.5357142857142857</c:v>
                </c:pt>
                <c:pt idx="80">
                  <c:v>0.38690476190476186</c:v>
                </c:pt>
                <c:pt idx="81">
                  <c:v>0.32738095238095238</c:v>
                </c:pt>
                <c:pt idx="82">
                  <c:v>0.50595238095238093</c:v>
                </c:pt>
                <c:pt idx="83">
                  <c:v>0.65476190476190477</c:v>
                </c:pt>
                <c:pt idx="84">
                  <c:v>0.32738095238095238</c:v>
                </c:pt>
                <c:pt idx="85">
                  <c:v>0.41666666666666663</c:v>
                </c:pt>
                <c:pt idx="86">
                  <c:v>0.4464285714285714</c:v>
                </c:pt>
                <c:pt idx="87">
                  <c:v>0.77380952380952372</c:v>
                </c:pt>
                <c:pt idx="88">
                  <c:v>0.65476190476190477</c:v>
                </c:pt>
                <c:pt idx="89">
                  <c:v>0.50595238095238093</c:v>
                </c:pt>
                <c:pt idx="90">
                  <c:v>0.65476190476190477</c:v>
                </c:pt>
                <c:pt idx="91">
                  <c:v>0.5357142857142857</c:v>
                </c:pt>
                <c:pt idx="92">
                  <c:v>0.32738095238095238</c:v>
                </c:pt>
                <c:pt idx="93">
                  <c:v>0.47619047619047616</c:v>
                </c:pt>
                <c:pt idx="94">
                  <c:v>0.56547619047619047</c:v>
                </c:pt>
                <c:pt idx="95">
                  <c:v>0.5357142857142857</c:v>
                </c:pt>
                <c:pt idx="96">
                  <c:v>0.49999999999999989</c:v>
                </c:pt>
                <c:pt idx="97">
                  <c:v>0.55952380952380942</c:v>
                </c:pt>
                <c:pt idx="98">
                  <c:v>0.4464285714285714</c:v>
                </c:pt>
                <c:pt idx="99">
                  <c:v>0.32738095238095238</c:v>
                </c:pt>
                <c:pt idx="100">
                  <c:v>0.52380952380952384</c:v>
                </c:pt>
                <c:pt idx="101">
                  <c:v>0.49999999999999989</c:v>
                </c:pt>
                <c:pt idx="102">
                  <c:v>0.625</c:v>
                </c:pt>
                <c:pt idx="103">
                  <c:v>0.6071428571428571</c:v>
                </c:pt>
                <c:pt idx="104">
                  <c:v>0.38690476190476186</c:v>
                </c:pt>
                <c:pt idx="105">
                  <c:v>0.39880952380952372</c:v>
                </c:pt>
                <c:pt idx="106">
                  <c:v>0.4107142857142857</c:v>
                </c:pt>
                <c:pt idx="107">
                  <c:v>0.40476190476190477</c:v>
                </c:pt>
                <c:pt idx="108">
                  <c:v>0.36904761904761901</c:v>
                </c:pt>
                <c:pt idx="109">
                  <c:v>0.63095238095238104</c:v>
                </c:pt>
                <c:pt idx="110">
                  <c:v>0.49999999999999989</c:v>
                </c:pt>
                <c:pt idx="111">
                  <c:v>0.51190476190476197</c:v>
                </c:pt>
                <c:pt idx="112">
                  <c:v>0.67857142857142849</c:v>
                </c:pt>
                <c:pt idx="113">
                  <c:v>0.42857142857142849</c:v>
                </c:pt>
                <c:pt idx="114">
                  <c:v>0.66666666666666663</c:v>
                </c:pt>
                <c:pt idx="115">
                  <c:v>0.26785714285714285</c:v>
                </c:pt>
                <c:pt idx="116">
                  <c:v>0.41666666666666663</c:v>
                </c:pt>
                <c:pt idx="117">
                  <c:v>0.34523809523809529</c:v>
                </c:pt>
                <c:pt idx="118">
                  <c:v>0.4464285714285714</c:v>
                </c:pt>
                <c:pt idx="119">
                  <c:v>0.42857142857142849</c:v>
                </c:pt>
                <c:pt idx="120">
                  <c:v>0.49999999999999989</c:v>
                </c:pt>
                <c:pt idx="121">
                  <c:v>0.5357142857142857</c:v>
                </c:pt>
                <c:pt idx="122">
                  <c:v>0.59523809523809523</c:v>
                </c:pt>
                <c:pt idx="123">
                  <c:v>0.66666666666666663</c:v>
                </c:pt>
                <c:pt idx="124">
                  <c:v>0.58928571428571419</c:v>
                </c:pt>
                <c:pt idx="125">
                  <c:v>0.6428571428571429</c:v>
                </c:pt>
                <c:pt idx="126">
                  <c:v>0.56547619047619047</c:v>
                </c:pt>
                <c:pt idx="127">
                  <c:v>0.20238095238095238</c:v>
                </c:pt>
                <c:pt idx="128">
                  <c:v>0.40476190476190477</c:v>
                </c:pt>
                <c:pt idx="129">
                  <c:v>0.47619047619047616</c:v>
                </c:pt>
                <c:pt idx="130">
                  <c:v>0.48214285714285721</c:v>
                </c:pt>
                <c:pt idx="131">
                  <c:v>0.38095238095238093</c:v>
                </c:pt>
                <c:pt idx="132">
                  <c:v>0.52976190476190466</c:v>
                </c:pt>
                <c:pt idx="133">
                  <c:v>0.67857142857142849</c:v>
                </c:pt>
                <c:pt idx="134">
                  <c:v>0.58333333333333337</c:v>
                </c:pt>
                <c:pt idx="135">
                  <c:v>0.52380952380952384</c:v>
                </c:pt>
                <c:pt idx="136">
                  <c:v>0.5535714285714286</c:v>
                </c:pt>
                <c:pt idx="137">
                  <c:v>0.61309523809523814</c:v>
                </c:pt>
                <c:pt idx="138">
                  <c:v>0.34523809523809529</c:v>
                </c:pt>
                <c:pt idx="139">
                  <c:v>0.27380952380952378</c:v>
                </c:pt>
                <c:pt idx="140">
                  <c:v>0.38690476190476186</c:v>
                </c:pt>
                <c:pt idx="141">
                  <c:v>0.35119047619047622</c:v>
                </c:pt>
                <c:pt idx="142">
                  <c:v>0.57142857142857151</c:v>
                </c:pt>
                <c:pt idx="143">
                  <c:v>0.41666666666666663</c:v>
                </c:pt>
                <c:pt idx="144">
                  <c:v>0.45833333333333326</c:v>
                </c:pt>
                <c:pt idx="145">
                  <c:v>0.38690476190476186</c:v>
                </c:pt>
                <c:pt idx="146">
                  <c:v>0.48809523809523803</c:v>
                </c:pt>
                <c:pt idx="147">
                  <c:v>0.6071428571428571</c:v>
                </c:pt>
                <c:pt idx="148">
                  <c:v>0.52976190476190466</c:v>
                </c:pt>
                <c:pt idx="149">
                  <c:v>0.4464285714285714</c:v>
                </c:pt>
                <c:pt idx="150">
                  <c:v>0.41666666666666663</c:v>
                </c:pt>
                <c:pt idx="151">
                  <c:v>0.4464285714285714</c:v>
                </c:pt>
                <c:pt idx="152">
                  <c:v>0.47619047619047616</c:v>
                </c:pt>
                <c:pt idx="153">
                  <c:v>0.11904761904761904</c:v>
                </c:pt>
                <c:pt idx="154">
                  <c:v>0.11904761904761904</c:v>
                </c:pt>
                <c:pt idx="155">
                  <c:v>5.9523809523809521E-2</c:v>
                </c:pt>
                <c:pt idx="156">
                  <c:v>2.976190476190476E-2</c:v>
                </c:pt>
                <c:pt idx="157">
                  <c:v>2.976190476190476E-2</c:v>
                </c:pt>
                <c:pt idx="158">
                  <c:v>0.32738095238095238</c:v>
                </c:pt>
                <c:pt idx="159">
                  <c:v>0.11904761904761904</c:v>
                </c:pt>
                <c:pt idx="160">
                  <c:v>0.35714285714285715</c:v>
                </c:pt>
                <c:pt idx="161">
                  <c:v>0.41666666666666663</c:v>
                </c:pt>
                <c:pt idx="162">
                  <c:v>0.11904761904761904</c:v>
                </c:pt>
                <c:pt idx="163">
                  <c:v>0.20833333333333331</c:v>
                </c:pt>
                <c:pt idx="164">
                  <c:v>0</c:v>
                </c:pt>
                <c:pt idx="165">
                  <c:v>0.23809523809523808</c:v>
                </c:pt>
                <c:pt idx="166">
                  <c:v>0.17857142857142858</c:v>
                </c:pt>
                <c:pt idx="167">
                  <c:v>0.625</c:v>
                </c:pt>
                <c:pt idx="168">
                  <c:v>0.14880952380952381</c:v>
                </c:pt>
                <c:pt idx="169">
                  <c:v>8.9285714285714288E-2</c:v>
                </c:pt>
                <c:pt idx="170">
                  <c:v>0.23809523809523808</c:v>
                </c:pt>
                <c:pt idx="171">
                  <c:v>0.4464285714285714</c:v>
                </c:pt>
                <c:pt idx="172">
                  <c:v>0.35714285714285715</c:v>
                </c:pt>
                <c:pt idx="173">
                  <c:v>0.74404761904761907</c:v>
                </c:pt>
                <c:pt idx="174">
                  <c:v>0.65476190476190477</c:v>
                </c:pt>
                <c:pt idx="175">
                  <c:v>0.65476190476190477</c:v>
                </c:pt>
                <c:pt idx="176">
                  <c:v>0.29761904761904762</c:v>
                </c:pt>
                <c:pt idx="177">
                  <c:v>0.32738095238095238</c:v>
                </c:pt>
                <c:pt idx="178">
                  <c:v>0.4464285714285714</c:v>
                </c:pt>
                <c:pt idx="179">
                  <c:v>0.41666666666666663</c:v>
                </c:pt>
                <c:pt idx="180">
                  <c:v>0.4464285714285714</c:v>
                </c:pt>
                <c:pt idx="181">
                  <c:v>0.4464285714285714</c:v>
                </c:pt>
                <c:pt idx="182">
                  <c:v>0.38690476190476186</c:v>
                </c:pt>
                <c:pt idx="183">
                  <c:v>0.4464285714285714</c:v>
                </c:pt>
                <c:pt idx="184">
                  <c:v>0.23809523809523808</c:v>
                </c:pt>
                <c:pt idx="185">
                  <c:v>0.20833333333333331</c:v>
                </c:pt>
                <c:pt idx="186">
                  <c:v>0.32738095238095238</c:v>
                </c:pt>
                <c:pt idx="187">
                  <c:v>0.29761904761904762</c:v>
                </c:pt>
                <c:pt idx="188">
                  <c:v>0.20833333333333331</c:v>
                </c:pt>
                <c:pt idx="189">
                  <c:v>0.23809523809523808</c:v>
                </c:pt>
                <c:pt idx="190">
                  <c:v>0.23809523809523808</c:v>
                </c:pt>
                <c:pt idx="191">
                  <c:v>0.50595238095238093</c:v>
                </c:pt>
                <c:pt idx="192">
                  <c:v>0.5357142857142857</c:v>
                </c:pt>
                <c:pt idx="193">
                  <c:v>0.68452380952380953</c:v>
                </c:pt>
                <c:pt idx="194">
                  <c:v>0.41666666666666663</c:v>
                </c:pt>
                <c:pt idx="195">
                  <c:v>0.47619047619047616</c:v>
                </c:pt>
                <c:pt idx="196">
                  <c:v>0.17857142857142858</c:v>
                </c:pt>
                <c:pt idx="197">
                  <c:v>0.26785714285714285</c:v>
                </c:pt>
                <c:pt idx="198">
                  <c:v>0.20833333333333331</c:v>
                </c:pt>
                <c:pt idx="199">
                  <c:v>0.23809523809523808</c:v>
                </c:pt>
                <c:pt idx="200">
                  <c:v>0.23809523809523808</c:v>
                </c:pt>
                <c:pt idx="201">
                  <c:v>0.26785714285714285</c:v>
                </c:pt>
                <c:pt idx="202">
                  <c:v>0.29761904761904762</c:v>
                </c:pt>
                <c:pt idx="203">
                  <c:v>0.35714285714285715</c:v>
                </c:pt>
                <c:pt idx="204">
                  <c:v>0.32738095238095238</c:v>
                </c:pt>
                <c:pt idx="205">
                  <c:v>0.32738095238095238</c:v>
                </c:pt>
                <c:pt idx="206">
                  <c:v>0.32738095238095238</c:v>
                </c:pt>
                <c:pt idx="207">
                  <c:v>0.47619047619047616</c:v>
                </c:pt>
                <c:pt idx="208">
                  <c:v>0.35714285714285715</c:v>
                </c:pt>
                <c:pt idx="209">
                  <c:v>0.625</c:v>
                </c:pt>
                <c:pt idx="210">
                  <c:v>0.68452380952380953</c:v>
                </c:pt>
                <c:pt idx="211">
                  <c:v>0.35714285714285715</c:v>
                </c:pt>
                <c:pt idx="212">
                  <c:v>0.41666666666666663</c:v>
                </c:pt>
                <c:pt idx="213">
                  <c:v>0.47619047619047616</c:v>
                </c:pt>
                <c:pt idx="214">
                  <c:v>0.50595238095238093</c:v>
                </c:pt>
                <c:pt idx="215">
                  <c:v>0.47619047619047616</c:v>
                </c:pt>
                <c:pt idx="216">
                  <c:v>0.59523809523809523</c:v>
                </c:pt>
                <c:pt idx="217">
                  <c:v>0.50595238095238093</c:v>
                </c:pt>
                <c:pt idx="218">
                  <c:v>8.9285714285714288E-2</c:v>
                </c:pt>
                <c:pt idx="219">
                  <c:v>0.17857142857142858</c:v>
                </c:pt>
                <c:pt idx="220">
                  <c:v>0.17857142857142858</c:v>
                </c:pt>
                <c:pt idx="221">
                  <c:v>0.17857142857142858</c:v>
                </c:pt>
                <c:pt idx="222">
                  <c:v>0.17857142857142858</c:v>
                </c:pt>
                <c:pt idx="223">
                  <c:v>0.17857142857142858</c:v>
                </c:pt>
                <c:pt idx="224">
                  <c:v>0.29761904761904762</c:v>
                </c:pt>
                <c:pt idx="225">
                  <c:v>0.20833333333333331</c:v>
                </c:pt>
                <c:pt idx="226">
                  <c:v>0.20833333333333331</c:v>
                </c:pt>
                <c:pt idx="227">
                  <c:v>0.26785714285714285</c:v>
                </c:pt>
                <c:pt idx="228">
                  <c:v>0.26785714285714285</c:v>
                </c:pt>
                <c:pt idx="229">
                  <c:v>0.29761904761904762</c:v>
                </c:pt>
                <c:pt idx="230">
                  <c:v>0.29761904761904762</c:v>
                </c:pt>
                <c:pt idx="231">
                  <c:v>0.29761904761904762</c:v>
                </c:pt>
                <c:pt idx="232">
                  <c:v>0.29761904761904762</c:v>
                </c:pt>
                <c:pt idx="233">
                  <c:v>0.38690476190476186</c:v>
                </c:pt>
                <c:pt idx="234">
                  <c:v>0.26785714285714285</c:v>
                </c:pt>
                <c:pt idx="235">
                  <c:v>0.38690476190476186</c:v>
                </c:pt>
                <c:pt idx="236">
                  <c:v>0.23809523809523808</c:v>
                </c:pt>
                <c:pt idx="237">
                  <c:v>0.35714285714285715</c:v>
                </c:pt>
                <c:pt idx="238">
                  <c:v>0.38690476190476186</c:v>
                </c:pt>
                <c:pt idx="239">
                  <c:v>0.50595238095238093</c:v>
                </c:pt>
                <c:pt idx="240">
                  <c:v>0.5357142857142857</c:v>
                </c:pt>
                <c:pt idx="241">
                  <c:v>0.47619047619047616</c:v>
                </c:pt>
                <c:pt idx="242">
                  <c:v>0.50595238095238093</c:v>
                </c:pt>
                <c:pt idx="243">
                  <c:v>0.59523809523809523</c:v>
                </c:pt>
                <c:pt idx="244">
                  <c:v>0.5357142857142857</c:v>
                </c:pt>
                <c:pt idx="245">
                  <c:v>0.50595238095238093</c:v>
                </c:pt>
                <c:pt idx="246">
                  <c:v>0.5357142857142857</c:v>
                </c:pt>
                <c:pt idx="247">
                  <c:v>0.5357142857142857</c:v>
                </c:pt>
                <c:pt idx="248">
                  <c:v>0.4464285714285714</c:v>
                </c:pt>
                <c:pt idx="249">
                  <c:v>0.35714285714285715</c:v>
                </c:pt>
                <c:pt idx="250">
                  <c:v>0.32738095238095238</c:v>
                </c:pt>
                <c:pt idx="251">
                  <c:v>0.38690476190476186</c:v>
                </c:pt>
                <c:pt idx="252">
                  <c:v>0.47619047619047616</c:v>
                </c:pt>
                <c:pt idx="253">
                  <c:v>0.5357142857142857</c:v>
                </c:pt>
                <c:pt idx="254">
                  <c:v>0.625</c:v>
                </c:pt>
                <c:pt idx="255">
                  <c:v>0.41666666666666663</c:v>
                </c:pt>
                <c:pt idx="256">
                  <c:v>0.47619047619047616</c:v>
                </c:pt>
                <c:pt idx="257">
                  <c:v>0.38690476190476186</c:v>
                </c:pt>
                <c:pt idx="258">
                  <c:v>0.47619047619047616</c:v>
                </c:pt>
                <c:pt idx="259">
                  <c:v>0.65476190476190477</c:v>
                </c:pt>
                <c:pt idx="260">
                  <c:v>0.47619047619047616</c:v>
                </c:pt>
                <c:pt idx="261">
                  <c:v>0.77380952380952372</c:v>
                </c:pt>
                <c:pt idx="262">
                  <c:v>0.5357142857142857</c:v>
                </c:pt>
                <c:pt idx="263">
                  <c:v>0.625</c:v>
                </c:pt>
                <c:pt idx="264">
                  <c:v>0.65476190476190477</c:v>
                </c:pt>
                <c:pt idx="265">
                  <c:v>0.68452380952380953</c:v>
                </c:pt>
                <c:pt idx="266">
                  <c:v>0.77380952380952372</c:v>
                </c:pt>
                <c:pt idx="267">
                  <c:v>0.23809523809523808</c:v>
                </c:pt>
                <c:pt idx="268">
                  <c:v>0.20833333333333331</c:v>
                </c:pt>
                <c:pt idx="269">
                  <c:v>0.32738095238095238</c:v>
                </c:pt>
                <c:pt idx="270">
                  <c:v>0.38690476190476186</c:v>
                </c:pt>
                <c:pt idx="271">
                  <c:v>0.35714285714285715</c:v>
                </c:pt>
                <c:pt idx="272">
                  <c:v>0.32738095238095238</c:v>
                </c:pt>
                <c:pt idx="273">
                  <c:v>0.4107142857142857</c:v>
                </c:pt>
                <c:pt idx="274">
                  <c:v>0.57738095238095233</c:v>
                </c:pt>
                <c:pt idx="275">
                  <c:v>0.33333333333333331</c:v>
                </c:pt>
                <c:pt idx="276">
                  <c:v>0.8392857142857143</c:v>
                </c:pt>
                <c:pt idx="277">
                  <c:v>0.84523809523809512</c:v>
                </c:pt>
                <c:pt idx="278">
                  <c:v>0.38690476190476186</c:v>
                </c:pt>
                <c:pt idx="279">
                  <c:v>0.44047619047619047</c:v>
                </c:pt>
                <c:pt idx="280">
                  <c:v>0.48809523809523803</c:v>
                </c:pt>
                <c:pt idx="281">
                  <c:v>0.58333333333333337</c:v>
                </c:pt>
                <c:pt idx="282">
                  <c:v>0.57142857142857151</c:v>
                </c:pt>
                <c:pt idx="283">
                  <c:v>0.57738095238095233</c:v>
                </c:pt>
                <c:pt idx="284">
                  <c:v>0.57142857142857151</c:v>
                </c:pt>
                <c:pt idx="285">
                  <c:v>0.77380952380952372</c:v>
                </c:pt>
                <c:pt idx="286">
                  <c:v>0.24404761904761901</c:v>
                </c:pt>
                <c:pt idx="287">
                  <c:v>0.35714285714285715</c:v>
                </c:pt>
                <c:pt idx="288">
                  <c:v>0.30952380952380948</c:v>
                </c:pt>
                <c:pt idx="289">
                  <c:v>0.28571428571428575</c:v>
                </c:pt>
                <c:pt idx="290">
                  <c:v>0.23809523809523808</c:v>
                </c:pt>
                <c:pt idx="291">
                  <c:v>0.29761904761904762</c:v>
                </c:pt>
                <c:pt idx="292">
                  <c:v>0.41666666666666663</c:v>
                </c:pt>
                <c:pt idx="293">
                  <c:v>0.29761904761904762</c:v>
                </c:pt>
                <c:pt idx="294">
                  <c:v>0.35119047619047622</c:v>
                </c:pt>
                <c:pt idx="295">
                  <c:v>0.4464285714285714</c:v>
                </c:pt>
                <c:pt idx="296">
                  <c:v>0.47023809523809523</c:v>
                </c:pt>
                <c:pt idx="297">
                  <c:v>0.40476190476190477</c:v>
                </c:pt>
                <c:pt idx="298">
                  <c:v>0.4642857142857143</c:v>
                </c:pt>
                <c:pt idx="299">
                  <c:v>0.47619047619047616</c:v>
                </c:pt>
                <c:pt idx="300">
                  <c:v>0.5357142857142857</c:v>
                </c:pt>
                <c:pt idx="301">
                  <c:v>0.49999999999999989</c:v>
                </c:pt>
                <c:pt idx="302">
                  <c:v>0.52976190476190466</c:v>
                </c:pt>
                <c:pt idx="303">
                  <c:v>0.65476190476190477</c:v>
                </c:pt>
                <c:pt idx="304">
                  <c:v>0.57738095238095233</c:v>
                </c:pt>
                <c:pt idx="305">
                  <c:v>0.24999999999999994</c:v>
                </c:pt>
                <c:pt idx="306">
                  <c:v>0.18452380952380951</c:v>
                </c:pt>
                <c:pt idx="307">
                  <c:v>0.20238095238095238</c:v>
                </c:pt>
                <c:pt idx="308">
                  <c:v>0.26785714285714285</c:v>
                </c:pt>
                <c:pt idx="309">
                  <c:v>0.33928571428571425</c:v>
                </c:pt>
                <c:pt idx="310">
                  <c:v>0.38690476190476186</c:v>
                </c:pt>
                <c:pt idx="311">
                  <c:v>0.4107142857142857</c:v>
                </c:pt>
                <c:pt idx="312">
                  <c:v>0.65476190476190477</c:v>
                </c:pt>
                <c:pt idx="313">
                  <c:v>0.51785714285714279</c:v>
                </c:pt>
                <c:pt idx="314">
                  <c:v>0.38095238095238093</c:v>
                </c:pt>
                <c:pt idx="315">
                  <c:v>0.38690476190476186</c:v>
                </c:pt>
                <c:pt idx="316">
                  <c:v>0.44047619047619047</c:v>
                </c:pt>
                <c:pt idx="317">
                  <c:v>0.50595238095238093</c:v>
                </c:pt>
                <c:pt idx="318">
                  <c:v>0.57142857142857151</c:v>
                </c:pt>
                <c:pt idx="319">
                  <c:v>0.32142857142857145</c:v>
                </c:pt>
                <c:pt idx="320">
                  <c:v>0.42261904761904756</c:v>
                </c:pt>
                <c:pt idx="321">
                  <c:v>0.4642857142857143</c:v>
                </c:pt>
                <c:pt idx="322">
                  <c:v>0.63690476190476186</c:v>
                </c:pt>
                <c:pt idx="323">
                  <c:v>0.6071428571428571</c:v>
                </c:pt>
                <c:pt idx="324">
                  <c:v>0.66666666666666663</c:v>
                </c:pt>
                <c:pt idx="325">
                  <c:v>0.54761904761904756</c:v>
                </c:pt>
                <c:pt idx="326">
                  <c:v>0.4642857142857143</c:v>
                </c:pt>
                <c:pt idx="327">
                  <c:v>0.54761904761904756</c:v>
                </c:pt>
                <c:pt idx="328">
                  <c:v>0.51785714285714279</c:v>
                </c:pt>
                <c:pt idx="329">
                  <c:v>0.19047619047619044</c:v>
                </c:pt>
                <c:pt idx="330">
                  <c:v>0.30952380952380948</c:v>
                </c:pt>
                <c:pt idx="331">
                  <c:v>0.28571428571428575</c:v>
                </c:pt>
                <c:pt idx="332">
                  <c:v>0.30952380952380948</c:v>
                </c:pt>
                <c:pt idx="333">
                  <c:v>0.33928571428571425</c:v>
                </c:pt>
                <c:pt idx="334">
                  <c:v>0.4464285714285714</c:v>
                </c:pt>
                <c:pt idx="335">
                  <c:v>0.38095238095238093</c:v>
                </c:pt>
                <c:pt idx="336">
                  <c:v>0.30952380952380948</c:v>
                </c:pt>
                <c:pt idx="337">
                  <c:v>0.47619047619047616</c:v>
                </c:pt>
                <c:pt idx="338">
                  <c:v>0.4107142857142857</c:v>
                </c:pt>
                <c:pt idx="339">
                  <c:v>0.30952380952380948</c:v>
                </c:pt>
                <c:pt idx="340">
                  <c:v>0.5535714285714286</c:v>
                </c:pt>
                <c:pt idx="341">
                  <c:v>0.41666666666666663</c:v>
                </c:pt>
                <c:pt idx="342">
                  <c:v>0.19642857142857145</c:v>
                </c:pt>
                <c:pt idx="343">
                  <c:v>0.29166666666666669</c:v>
                </c:pt>
                <c:pt idx="344">
                  <c:v>0.44047619047619047</c:v>
                </c:pt>
                <c:pt idx="345">
                  <c:v>0.51190476190476197</c:v>
                </c:pt>
                <c:pt idx="346">
                  <c:v>0.6071428571428571</c:v>
                </c:pt>
                <c:pt idx="347">
                  <c:v>0.6071428571428571</c:v>
                </c:pt>
                <c:pt idx="348">
                  <c:v>0.29761904761904762</c:v>
                </c:pt>
                <c:pt idx="349">
                  <c:v>0.4107142857142857</c:v>
                </c:pt>
                <c:pt idx="350">
                  <c:v>0.42857142857142849</c:v>
                </c:pt>
                <c:pt idx="351">
                  <c:v>0.375</c:v>
                </c:pt>
                <c:pt idx="352">
                  <c:v>0.30952380952380948</c:v>
                </c:pt>
                <c:pt idx="353">
                  <c:v>0.41666666666666663</c:v>
                </c:pt>
                <c:pt idx="354">
                  <c:v>0.32142857142857145</c:v>
                </c:pt>
                <c:pt idx="355">
                  <c:v>0.44047619047619047</c:v>
                </c:pt>
                <c:pt idx="356">
                  <c:v>0.55952380952380942</c:v>
                </c:pt>
                <c:pt idx="357">
                  <c:v>0.84523809523809512</c:v>
                </c:pt>
                <c:pt idx="358">
                  <c:v>0.38095238095238093</c:v>
                </c:pt>
                <c:pt idx="359">
                  <c:v>0.50595238095238093</c:v>
                </c:pt>
                <c:pt idx="360">
                  <c:v>0.4464285714285714</c:v>
                </c:pt>
                <c:pt idx="361">
                  <c:v>0.60119047619047628</c:v>
                </c:pt>
                <c:pt idx="362">
                  <c:v>0.72023809523809534</c:v>
                </c:pt>
                <c:pt idx="363">
                  <c:v>0.375</c:v>
                </c:pt>
                <c:pt idx="364">
                  <c:v>0.63690476190476186</c:v>
                </c:pt>
                <c:pt idx="365">
                  <c:v>0.29166666666666669</c:v>
                </c:pt>
                <c:pt idx="366">
                  <c:v>0.38095238095238093</c:v>
                </c:pt>
                <c:pt idx="367">
                  <c:v>0.49999999999999989</c:v>
                </c:pt>
                <c:pt idx="368">
                  <c:v>0.45833333333333326</c:v>
                </c:pt>
                <c:pt idx="369">
                  <c:v>0.49999999999999989</c:v>
                </c:pt>
                <c:pt idx="370">
                  <c:v>0.48809523809523803</c:v>
                </c:pt>
                <c:pt idx="371">
                  <c:v>0.4107142857142857</c:v>
                </c:pt>
                <c:pt idx="372">
                  <c:v>0.75595238095238093</c:v>
                </c:pt>
                <c:pt idx="373">
                  <c:v>0.27380952380952378</c:v>
                </c:pt>
                <c:pt idx="374">
                  <c:v>0.4642857142857143</c:v>
                </c:pt>
                <c:pt idx="375">
                  <c:v>0.54166666666666674</c:v>
                </c:pt>
                <c:pt idx="376">
                  <c:v>0.51190476190476197</c:v>
                </c:pt>
                <c:pt idx="377">
                  <c:v>0.65476190476190477</c:v>
                </c:pt>
                <c:pt idx="378">
                  <c:v>0.59523809523809523</c:v>
                </c:pt>
                <c:pt idx="379">
                  <c:v>0.21428571428571425</c:v>
                </c:pt>
                <c:pt idx="380">
                  <c:v>0.38690476190476186</c:v>
                </c:pt>
                <c:pt idx="381">
                  <c:v>0.29761904761904762</c:v>
                </c:pt>
                <c:pt idx="382">
                  <c:v>0.69047619047619058</c:v>
                </c:pt>
                <c:pt idx="383">
                  <c:v>0.63095238095238104</c:v>
                </c:pt>
                <c:pt idx="384">
                  <c:v>0.47619047619047616</c:v>
                </c:pt>
                <c:pt idx="385">
                  <c:v>0.48809523809523803</c:v>
                </c:pt>
                <c:pt idx="386">
                  <c:v>0.5535714285714286</c:v>
                </c:pt>
                <c:pt idx="387">
                  <c:v>0.59523809523809523</c:v>
                </c:pt>
                <c:pt idx="388">
                  <c:v>0.49999999999999989</c:v>
                </c:pt>
                <c:pt idx="389">
                  <c:v>0.45238095238095233</c:v>
                </c:pt>
                <c:pt idx="390">
                  <c:v>0.5535714285714286</c:v>
                </c:pt>
                <c:pt idx="391">
                  <c:v>0.67857142857142849</c:v>
                </c:pt>
                <c:pt idx="392">
                  <c:v>0.63095238095238104</c:v>
                </c:pt>
                <c:pt idx="393">
                  <c:v>0.39880952380952372</c:v>
                </c:pt>
                <c:pt idx="394">
                  <c:v>0.74404761904761907</c:v>
                </c:pt>
                <c:pt idx="395">
                  <c:v>0.39880952380952372</c:v>
                </c:pt>
                <c:pt idx="396">
                  <c:v>0.49999999999999989</c:v>
                </c:pt>
                <c:pt idx="397">
                  <c:v>0.5357142857142857</c:v>
                </c:pt>
              </c:numCache>
            </c:numRef>
          </c:yVal>
          <c:smooth val="0"/>
          <c:extLst>
            <c:ext xmlns:c16="http://schemas.microsoft.com/office/drawing/2014/chart" uri="{C3380CC4-5D6E-409C-BE32-E72D297353CC}">
              <c16:uniqueId val="{00000000-5684-41F7-9F82-E0ECFD319DBD}"/>
            </c:ext>
          </c:extLst>
        </c:ser>
        <c:dLbls>
          <c:showLegendKey val="0"/>
          <c:showVal val="0"/>
          <c:showCatName val="0"/>
          <c:showSerName val="0"/>
          <c:showPercent val="0"/>
          <c:showBubbleSize val="0"/>
        </c:dLbls>
        <c:axId val="209501760"/>
        <c:axId val="210137184"/>
      </c:scatterChart>
      <c:valAx>
        <c:axId val="209501760"/>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pt-BR"/>
                  <a:t>Record Point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pt-BR"/>
            </a:p>
          </c:txPr>
        </c:title>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pt-BR"/>
          </a:p>
        </c:txPr>
        <c:crossAx val="210137184"/>
        <c:crosses val="autoZero"/>
        <c:crossBetween val="midCat"/>
      </c:valAx>
      <c:valAx>
        <c:axId val="210137184"/>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pt-BR"/>
                  <a:t>Standardized Acceleratio</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crossAx val="209501760"/>
        <c:crosses val="autoZero"/>
        <c:crossBetween val="midCat"/>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pt-B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Weigh</a:t>
            </a:r>
            <a:r>
              <a:rPr lang="pt-BR" baseline="0"/>
              <a:t>t Vs MPG in Scatter</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scatterChart>
        <c:scatterStyle val="lineMarker"/>
        <c:varyColors val="0"/>
        <c:ser>
          <c:idx val="0"/>
          <c:order val="0"/>
          <c:tx>
            <c:strRef>
              <c:f>'Data Table'!$E$1</c:f>
              <c:strCache>
                <c:ptCount val="1"/>
                <c:pt idx="0">
                  <c:v>weight</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'Data Table'!$D$2:$D$399</c:f>
              <c:numCache>
                <c:formatCode>General</c:formatCode>
                <c:ptCount val="398"/>
                <c:pt idx="0">
                  <c:v>26</c:v>
                </c:pt>
                <c:pt idx="1">
                  <c:v>25</c:v>
                </c:pt>
                <c:pt idx="2">
                  <c:v>24</c:v>
                </c:pt>
                <c:pt idx="3">
                  <c:v>25</c:v>
                </c:pt>
                <c:pt idx="4">
                  <c:v>26</c:v>
                </c:pt>
                <c:pt idx="5">
                  <c:v>28</c:v>
                </c:pt>
                <c:pt idx="6">
                  <c:v>30</c:v>
                </c:pt>
                <c:pt idx="7">
                  <c:v>30</c:v>
                </c:pt>
                <c:pt idx="8">
                  <c:v>27</c:v>
                </c:pt>
                <c:pt idx="9">
                  <c:v>18</c:v>
                </c:pt>
                <c:pt idx="10">
                  <c:v>26</c:v>
                </c:pt>
                <c:pt idx="11">
                  <c:v>22</c:v>
                </c:pt>
                <c:pt idx="12">
                  <c:v>21</c:v>
                </c:pt>
                <c:pt idx="13">
                  <c:v>23</c:v>
                </c:pt>
                <c:pt idx="14">
                  <c:v>24</c:v>
                </c:pt>
                <c:pt idx="15">
                  <c:v>26</c:v>
                </c:pt>
                <c:pt idx="16">
                  <c:v>19</c:v>
                </c:pt>
                <c:pt idx="17">
                  <c:v>20</c:v>
                </c:pt>
                <c:pt idx="18">
                  <c:v>24</c:v>
                </c:pt>
                <c:pt idx="19">
                  <c:v>29</c:v>
                </c:pt>
                <c:pt idx="20">
                  <c:v>26</c:v>
                </c:pt>
                <c:pt idx="21">
                  <c:v>29</c:v>
                </c:pt>
                <c:pt idx="22">
                  <c:v>24</c:v>
                </c:pt>
                <c:pt idx="23">
                  <c:v>26</c:v>
                </c:pt>
                <c:pt idx="24">
                  <c:v>26</c:v>
                </c:pt>
                <c:pt idx="25">
                  <c:v>31</c:v>
                </c:pt>
                <c:pt idx="26">
                  <c:v>26</c:v>
                </c:pt>
                <c:pt idx="27">
                  <c:v>25</c:v>
                </c:pt>
                <c:pt idx="28">
                  <c:v>29</c:v>
                </c:pt>
                <c:pt idx="29">
                  <c:v>23</c:v>
                </c:pt>
                <c:pt idx="30">
                  <c:v>22</c:v>
                </c:pt>
                <c:pt idx="31">
                  <c:v>25</c:v>
                </c:pt>
                <c:pt idx="32">
                  <c:v>23</c:v>
                </c:pt>
                <c:pt idx="33">
                  <c:v>29.5</c:v>
                </c:pt>
                <c:pt idx="34">
                  <c:v>27</c:v>
                </c:pt>
                <c:pt idx="35">
                  <c:v>25</c:v>
                </c:pt>
                <c:pt idx="36">
                  <c:v>29</c:v>
                </c:pt>
                <c:pt idx="37">
                  <c:v>28</c:v>
                </c:pt>
                <c:pt idx="38">
                  <c:v>20</c:v>
                </c:pt>
                <c:pt idx="39">
                  <c:v>19</c:v>
                </c:pt>
                <c:pt idx="40">
                  <c:v>16.5</c:v>
                </c:pt>
                <c:pt idx="41">
                  <c:v>21.5</c:v>
                </c:pt>
                <c:pt idx="42">
                  <c:v>29</c:v>
                </c:pt>
                <c:pt idx="43">
                  <c:v>30.5</c:v>
                </c:pt>
                <c:pt idx="44">
                  <c:v>36</c:v>
                </c:pt>
                <c:pt idx="45">
                  <c:v>21.6</c:v>
                </c:pt>
                <c:pt idx="46">
                  <c:v>31.5</c:v>
                </c:pt>
                <c:pt idx="47">
                  <c:v>43.1</c:v>
                </c:pt>
                <c:pt idx="48">
                  <c:v>20.3</c:v>
                </c:pt>
                <c:pt idx="49">
                  <c:v>17</c:v>
                </c:pt>
                <c:pt idx="50">
                  <c:v>16.2</c:v>
                </c:pt>
                <c:pt idx="51">
                  <c:v>31.9</c:v>
                </c:pt>
                <c:pt idx="52">
                  <c:v>37.299999999999997</c:v>
                </c:pt>
                <c:pt idx="53">
                  <c:v>27.2</c:v>
                </c:pt>
                <c:pt idx="54">
                  <c:v>25.4</c:v>
                </c:pt>
                <c:pt idx="55">
                  <c:v>34.299999999999997</c:v>
                </c:pt>
                <c:pt idx="56">
                  <c:v>41.5</c:v>
                </c:pt>
                <c:pt idx="57">
                  <c:v>35</c:v>
                </c:pt>
                <c:pt idx="58">
                  <c:v>29.8</c:v>
                </c:pt>
                <c:pt idx="59">
                  <c:v>44.3</c:v>
                </c:pt>
                <c:pt idx="60">
                  <c:v>30</c:v>
                </c:pt>
                <c:pt idx="61">
                  <c:v>43.4</c:v>
                </c:pt>
                <c:pt idx="62">
                  <c:v>40.9</c:v>
                </c:pt>
                <c:pt idx="63">
                  <c:v>36.4</c:v>
                </c:pt>
                <c:pt idx="64">
                  <c:v>33</c:v>
                </c:pt>
                <c:pt idx="65">
                  <c:v>28.1</c:v>
                </c:pt>
                <c:pt idx="66">
                  <c:v>34.5</c:v>
                </c:pt>
                <c:pt idx="67">
                  <c:v>30.7</c:v>
                </c:pt>
                <c:pt idx="68">
                  <c:v>36</c:v>
                </c:pt>
                <c:pt idx="69">
                  <c:v>44</c:v>
                </c:pt>
                <c:pt idx="70">
                  <c:v>27</c:v>
                </c:pt>
                <c:pt idx="71">
                  <c:v>24</c:v>
                </c:pt>
                <c:pt idx="72">
                  <c:v>35</c:v>
                </c:pt>
                <c:pt idx="73">
                  <c:v>25</c:v>
                </c:pt>
                <c:pt idx="74">
                  <c:v>27</c:v>
                </c:pt>
                <c:pt idx="75">
                  <c:v>31</c:v>
                </c:pt>
                <c:pt idx="76">
                  <c:v>19</c:v>
                </c:pt>
                <c:pt idx="77">
                  <c:v>27</c:v>
                </c:pt>
                <c:pt idx="78">
                  <c:v>24</c:v>
                </c:pt>
                <c:pt idx="79">
                  <c:v>28</c:v>
                </c:pt>
                <c:pt idx="80">
                  <c:v>23</c:v>
                </c:pt>
                <c:pt idx="81">
                  <c:v>18</c:v>
                </c:pt>
                <c:pt idx="82">
                  <c:v>22</c:v>
                </c:pt>
                <c:pt idx="83">
                  <c:v>20</c:v>
                </c:pt>
                <c:pt idx="84">
                  <c:v>20</c:v>
                </c:pt>
                <c:pt idx="85">
                  <c:v>24</c:v>
                </c:pt>
                <c:pt idx="86">
                  <c:v>26</c:v>
                </c:pt>
                <c:pt idx="87">
                  <c:v>32</c:v>
                </c:pt>
                <c:pt idx="88">
                  <c:v>31</c:v>
                </c:pt>
                <c:pt idx="89">
                  <c:v>31</c:v>
                </c:pt>
                <c:pt idx="90">
                  <c:v>32</c:v>
                </c:pt>
                <c:pt idx="91">
                  <c:v>24</c:v>
                </c:pt>
                <c:pt idx="92">
                  <c:v>24</c:v>
                </c:pt>
                <c:pt idx="93">
                  <c:v>29</c:v>
                </c:pt>
                <c:pt idx="94">
                  <c:v>33</c:v>
                </c:pt>
                <c:pt idx="95">
                  <c:v>32</c:v>
                </c:pt>
                <c:pt idx="96">
                  <c:v>28</c:v>
                </c:pt>
                <c:pt idx="97">
                  <c:v>33</c:v>
                </c:pt>
                <c:pt idx="98">
                  <c:v>19</c:v>
                </c:pt>
                <c:pt idx="99">
                  <c:v>21.5</c:v>
                </c:pt>
                <c:pt idx="100">
                  <c:v>33.5</c:v>
                </c:pt>
                <c:pt idx="101">
                  <c:v>30</c:v>
                </c:pt>
                <c:pt idx="102">
                  <c:v>31.5</c:v>
                </c:pt>
                <c:pt idx="103">
                  <c:v>26</c:v>
                </c:pt>
                <c:pt idx="104">
                  <c:v>22</c:v>
                </c:pt>
                <c:pt idx="105">
                  <c:v>27.2</c:v>
                </c:pt>
                <c:pt idx="106">
                  <c:v>23.9</c:v>
                </c:pt>
                <c:pt idx="107">
                  <c:v>21.1</c:v>
                </c:pt>
                <c:pt idx="108">
                  <c:v>27.5</c:v>
                </c:pt>
                <c:pt idx="109">
                  <c:v>39.4</c:v>
                </c:pt>
                <c:pt idx="110">
                  <c:v>36.1</c:v>
                </c:pt>
                <c:pt idx="111">
                  <c:v>29.5</c:v>
                </c:pt>
                <c:pt idx="112">
                  <c:v>32.799999999999997</c:v>
                </c:pt>
                <c:pt idx="113">
                  <c:v>34.1</c:v>
                </c:pt>
                <c:pt idx="114">
                  <c:v>31.8</c:v>
                </c:pt>
                <c:pt idx="115">
                  <c:v>23.7</c:v>
                </c:pt>
                <c:pt idx="116">
                  <c:v>37</c:v>
                </c:pt>
                <c:pt idx="117">
                  <c:v>44.6</c:v>
                </c:pt>
                <c:pt idx="118">
                  <c:v>29.8</c:v>
                </c:pt>
                <c:pt idx="119">
                  <c:v>32.200000000000003</c:v>
                </c:pt>
                <c:pt idx="120">
                  <c:v>37.200000000000003</c:v>
                </c:pt>
                <c:pt idx="121">
                  <c:v>32.4</c:v>
                </c:pt>
                <c:pt idx="122">
                  <c:v>33.799999999999997</c:v>
                </c:pt>
                <c:pt idx="123">
                  <c:v>40.799999999999997</c:v>
                </c:pt>
                <c:pt idx="124">
                  <c:v>46.6</c:v>
                </c:pt>
                <c:pt idx="125">
                  <c:v>38.1</c:v>
                </c:pt>
                <c:pt idx="126">
                  <c:v>31.3</c:v>
                </c:pt>
                <c:pt idx="127">
                  <c:v>32.700000000000003</c:v>
                </c:pt>
                <c:pt idx="128">
                  <c:v>32.9</c:v>
                </c:pt>
                <c:pt idx="129">
                  <c:v>34.1</c:v>
                </c:pt>
                <c:pt idx="130">
                  <c:v>35.1</c:v>
                </c:pt>
                <c:pt idx="131">
                  <c:v>33.700000000000003</c:v>
                </c:pt>
                <c:pt idx="132">
                  <c:v>39.1</c:v>
                </c:pt>
                <c:pt idx="133">
                  <c:v>37</c:v>
                </c:pt>
                <c:pt idx="134">
                  <c:v>32.299999999999997</c:v>
                </c:pt>
                <c:pt idx="135">
                  <c:v>32.4</c:v>
                </c:pt>
                <c:pt idx="136">
                  <c:v>37.700000000000003</c:v>
                </c:pt>
                <c:pt idx="137">
                  <c:v>31.6</c:v>
                </c:pt>
                <c:pt idx="138">
                  <c:v>24.2</c:v>
                </c:pt>
                <c:pt idx="139">
                  <c:v>25.4</c:v>
                </c:pt>
                <c:pt idx="140">
                  <c:v>36</c:v>
                </c:pt>
                <c:pt idx="141">
                  <c:v>32</c:v>
                </c:pt>
                <c:pt idx="142">
                  <c:v>31</c:v>
                </c:pt>
                <c:pt idx="143">
                  <c:v>38</c:v>
                </c:pt>
                <c:pt idx="144">
                  <c:v>32</c:v>
                </c:pt>
                <c:pt idx="145">
                  <c:v>36</c:v>
                </c:pt>
                <c:pt idx="146">
                  <c:v>38</c:v>
                </c:pt>
                <c:pt idx="147">
                  <c:v>37</c:v>
                </c:pt>
                <c:pt idx="148">
                  <c:v>34</c:v>
                </c:pt>
                <c:pt idx="149">
                  <c:v>18</c:v>
                </c:pt>
                <c:pt idx="150">
                  <c:v>21</c:v>
                </c:pt>
                <c:pt idx="151">
                  <c:v>22</c:v>
                </c:pt>
                <c:pt idx="152">
                  <c:v>21</c:v>
                </c:pt>
                <c:pt idx="153">
                  <c:v>14</c:v>
                </c:pt>
                <c:pt idx="154">
                  <c:v>14</c:v>
                </c:pt>
                <c:pt idx="155">
                  <c:v>14</c:v>
                </c:pt>
                <c:pt idx="156">
                  <c:v>14</c:v>
                </c:pt>
                <c:pt idx="157">
                  <c:v>15</c:v>
                </c:pt>
                <c:pt idx="158">
                  <c:v>11</c:v>
                </c:pt>
                <c:pt idx="159">
                  <c:v>15</c:v>
                </c:pt>
                <c:pt idx="160">
                  <c:v>10</c:v>
                </c:pt>
                <c:pt idx="161">
                  <c:v>10</c:v>
                </c:pt>
                <c:pt idx="162">
                  <c:v>15</c:v>
                </c:pt>
                <c:pt idx="163">
                  <c:v>15</c:v>
                </c:pt>
                <c:pt idx="164">
                  <c:v>14</c:v>
                </c:pt>
                <c:pt idx="165">
                  <c:v>16</c:v>
                </c:pt>
                <c:pt idx="166">
                  <c:v>18</c:v>
                </c:pt>
                <c:pt idx="167">
                  <c:v>9</c:v>
                </c:pt>
                <c:pt idx="168">
                  <c:v>17</c:v>
                </c:pt>
                <c:pt idx="169">
                  <c:v>15</c:v>
                </c:pt>
                <c:pt idx="170">
                  <c:v>18</c:v>
                </c:pt>
                <c:pt idx="171">
                  <c:v>28</c:v>
                </c:pt>
                <c:pt idx="172">
                  <c:v>23</c:v>
                </c:pt>
                <c:pt idx="173">
                  <c:v>26</c:v>
                </c:pt>
                <c:pt idx="174">
                  <c:v>22</c:v>
                </c:pt>
                <c:pt idx="175">
                  <c:v>25</c:v>
                </c:pt>
                <c:pt idx="176">
                  <c:v>19</c:v>
                </c:pt>
                <c:pt idx="177">
                  <c:v>18</c:v>
                </c:pt>
                <c:pt idx="178">
                  <c:v>16</c:v>
                </c:pt>
                <c:pt idx="179">
                  <c:v>19</c:v>
                </c:pt>
                <c:pt idx="180">
                  <c:v>18</c:v>
                </c:pt>
                <c:pt idx="181">
                  <c:v>17</c:v>
                </c:pt>
                <c:pt idx="182">
                  <c:v>18</c:v>
                </c:pt>
                <c:pt idx="183">
                  <c:v>19</c:v>
                </c:pt>
                <c:pt idx="184">
                  <c:v>14</c:v>
                </c:pt>
                <c:pt idx="185">
                  <c:v>14</c:v>
                </c:pt>
                <c:pt idx="186">
                  <c:v>14</c:v>
                </c:pt>
                <c:pt idx="187">
                  <c:v>14</c:v>
                </c:pt>
                <c:pt idx="188">
                  <c:v>12</c:v>
                </c:pt>
                <c:pt idx="189">
                  <c:v>13</c:v>
                </c:pt>
                <c:pt idx="190">
                  <c:v>13</c:v>
                </c:pt>
                <c:pt idx="191">
                  <c:v>21</c:v>
                </c:pt>
                <c:pt idx="192">
                  <c:v>25</c:v>
                </c:pt>
                <c:pt idx="193">
                  <c:v>20</c:v>
                </c:pt>
                <c:pt idx="194">
                  <c:v>28</c:v>
                </c:pt>
                <c:pt idx="195">
                  <c:v>22</c:v>
                </c:pt>
                <c:pt idx="196">
                  <c:v>11</c:v>
                </c:pt>
                <c:pt idx="197">
                  <c:v>13</c:v>
                </c:pt>
                <c:pt idx="198">
                  <c:v>17</c:v>
                </c:pt>
                <c:pt idx="199">
                  <c:v>14</c:v>
                </c:pt>
                <c:pt idx="200">
                  <c:v>13</c:v>
                </c:pt>
                <c:pt idx="201">
                  <c:v>15</c:v>
                </c:pt>
                <c:pt idx="202">
                  <c:v>14</c:v>
                </c:pt>
                <c:pt idx="203">
                  <c:v>14</c:v>
                </c:pt>
                <c:pt idx="204">
                  <c:v>15</c:v>
                </c:pt>
                <c:pt idx="205">
                  <c:v>12</c:v>
                </c:pt>
                <c:pt idx="206">
                  <c:v>13</c:v>
                </c:pt>
                <c:pt idx="207">
                  <c:v>13</c:v>
                </c:pt>
                <c:pt idx="208">
                  <c:v>13</c:v>
                </c:pt>
                <c:pt idx="209">
                  <c:v>19</c:v>
                </c:pt>
                <c:pt idx="210">
                  <c:v>21</c:v>
                </c:pt>
                <c:pt idx="211">
                  <c:v>21</c:v>
                </c:pt>
                <c:pt idx="212">
                  <c:v>18</c:v>
                </c:pt>
                <c:pt idx="213">
                  <c:v>18</c:v>
                </c:pt>
                <c:pt idx="214">
                  <c:v>18</c:v>
                </c:pt>
                <c:pt idx="215">
                  <c:v>23</c:v>
                </c:pt>
                <c:pt idx="216">
                  <c:v>16</c:v>
                </c:pt>
                <c:pt idx="217">
                  <c:v>18</c:v>
                </c:pt>
                <c:pt idx="218">
                  <c:v>16</c:v>
                </c:pt>
                <c:pt idx="219">
                  <c:v>11</c:v>
                </c:pt>
                <c:pt idx="220">
                  <c:v>13</c:v>
                </c:pt>
                <c:pt idx="221">
                  <c:v>12</c:v>
                </c:pt>
                <c:pt idx="222">
                  <c:v>13</c:v>
                </c:pt>
                <c:pt idx="223">
                  <c:v>15</c:v>
                </c:pt>
                <c:pt idx="224">
                  <c:v>13</c:v>
                </c:pt>
                <c:pt idx="225">
                  <c:v>14</c:v>
                </c:pt>
                <c:pt idx="226">
                  <c:v>12</c:v>
                </c:pt>
                <c:pt idx="227">
                  <c:v>12</c:v>
                </c:pt>
                <c:pt idx="228">
                  <c:v>15</c:v>
                </c:pt>
                <c:pt idx="229">
                  <c:v>13</c:v>
                </c:pt>
                <c:pt idx="230">
                  <c:v>13</c:v>
                </c:pt>
                <c:pt idx="231">
                  <c:v>13</c:v>
                </c:pt>
                <c:pt idx="232">
                  <c:v>15</c:v>
                </c:pt>
                <c:pt idx="233">
                  <c:v>14</c:v>
                </c:pt>
                <c:pt idx="234">
                  <c:v>12</c:v>
                </c:pt>
                <c:pt idx="235">
                  <c:v>14</c:v>
                </c:pt>
                <c:pt idx="236">
                  <c:v>13</c:v>
                </c:pt>
                <c:pt idx="237">
                  <c:v>11</c:v>
                </c:pt>
                <c:pt idx="238">
                  <c:v>28</c:v>
                </c:pt>
                <c:pt idx="239">
                  <c:v>26</c:v>
                </c:pt>
                <c:pt idx="240">
                  <c:v>25</c:v>
                </c:pt>
                <c:pt idx="241">
                  <c:v>19</c:v>
                </c:pt>
                <c:pt idx="242">
                  <c:v>20</c:v>
                </c:pt>
                <c:pt idx="243">
                  <c:v>16</c:v>
                </c:pt>
                <c:pt idx="244">
                  <c:v>15</c:v>
                </c:pt>
                <c:pt idx="245">
                  <c:v>18</c:v>
                </c:pt>
                <c:pt idx="246">
                  <c:v>16</c:v>
                </c:pt>
                <c:pt idx="247">
                  <c:v>21</c:v>
                </c:pt>
                <c:pt idx="248">
                  <c:v>14</c:v>
                </c:pt>
                <c:pt idx="249">
                  <c:v>16</c:v>
                </c:pt>
                <c:pt idx="250">
                  <c:v>14</c:v>
                </c:pt>
                <c:pt idx="251">
                  <c:v>13</c:v>
                </c:pt>
                <c:pt idx="252">
                  <c:v>14</c:v>
                </c:pt>
                <c:pt idx="253">
                  <c:v>23</c:v>
                </c:pt>
                <c:pt idx="254">
                  <c:v>23</c:v>
                </c:pt>
                <c:pt idx="255">
                  <c:v>21</c:v>
                </c:pt>
                <c:pt idx="256">
                  <c:v>20</c:v>
                </c:pt>
                <c:pt idx="257">
                  <c:v>18</c:v>
                </c:pt>
                <c:pt idx="258">
                  <c:v>18</c:v>
                </c:pt>
                <c:pt idx="259">
                  <c:v>15</c:v>
                </c:pt>
                <c:pt idx="260">
                  <c:v>19</c:v>
                </c:pt>
                <c:pt idx="261">
                  <c:v>17</c:v>
                </c:pt>
                <c:pt idx="262">
                  <c:v>19</c:v>
                </c:pt>
                <c:pt idx="263">
                  <c:v>16</c:v>
                </c:pt>
                <c:pt idx="264">
                  <c:v>18</c:v>
                </c:pt>
                <c:pt idx="265">
                  <c:v>15</c:v>
                </c:pt>
                <c:pt idx="266">
                  <c:v>15</c:v>
                </c:pt>
                <c:pt idx="267">
                  <c:v>13</c:v>
                </c:pt>
                <c:pt idx="268">
                  <c:v>16</c:v>
                </c:pt>
                <c:pt idx="269">
                  <c:v>20</c:v>
                </c:pt>
                <c:pt idx="270">
                  <c:v>16</c:v>
                </c:pt>
                <c:pt idx="271">
                  <c:v>15</c:v>
                </c:pt>
                <c:pt idx="272">
                  <c:v>14</c:v>
                </c:pt>
                <c:pt idx="273">
                  <c:v>25</c:v>
                </c:pt>
                <c:pt idx="274">
                  <c:v>26</c:v>
                </c:pt>
                <c:pt idx="275">
                  <c:v>26.5</c:v>
                </c:pt>
                <c:pt idx="276">
                  <c:v>24.5</c:v>
                </c:pt>
                <c:pt idx="277">
                  <c:v>29</c:v>
                </c:pt>
                <c:pt idx="278">
                  <c:v>22</c:v>
                </c:pt>
                <c:pt idx="279">
                  <c:v>22</c:v>
                </c:pt>
                <c:pt idx="280">
                  <c:v>18.5</c:v>
                </c:pt>
                <c:pt idx="281">
                  <c:v>17.5</c:v>
                </c:pt>
                <c:pt idx="282">
                  <c:v>22.5</c:v>
                </c:pt>
                <c:pt idx="283">
                  <c:v>20</c:v>
                </c:pt>
                <c:pt idx="284">
                  <c:v>24</c:v>
                </c:pt>
                <c:pt idx="285">
                  <c:v>18</c:v>
                </c:pt>
                <c:pt idx="286">
                  <c:v>16.5</c:v>
                </c:pt>
                <c:pt idx="287">
                  <c:v>13</c:v>
                </c:pt>
                <c:pt idx="288">
                  <c:v>13</c:v>
                </c:pt>
                <c:pt idx="289">
                  <c:v>14.5</c:v>
                </c:pt>
                <c:pt idx="290">
                  <c:v>13</c:v>
                </c:pt>
                <c:pt idx="291">
                  <c:v>16</c:v>
                </c:pt>
                <c:pt idx="292">
                  <c:v>13</c:v>
                </c:pt>
                <c:pt idx="293">
                  <c:v>17.5</c:v>
                </c:pt>
                <c:pt idx="294">
                  <c:v>15.5</c:v>
                </c:pt>
                <c:pt idx="295">
                  <c:v>25.5</c:v>
                </c:pt>
                <c:pt idx="296">
                  <c:v>33.5</c:v>
                </c:pt>
                <c:pt idx="297">
                  <c:v>30</c:v>
                </c:pt>
                <c:pt idx="298">
                  <c:v>25.5</c:v>
                </c:pt>
                <c:pt idx="299">
                  <c:v>24.5</c:v>
                </c:pt>
                <c:pt idx="300">
                  <c:v>30.5</c:v>
                </c:pt>
                <c:pt idx="301">
                  <c:v>17.5</c:v>
                </c:pt>
                <c:pt idx="302">
                  <c:v>20.5</c:v>
                </c:pt>
                <c:pt idx="303">
                  <c:v>18.5</c:v>
                </c:pt>
                <c:pt idx="304">
                  <c:v>19</c:v>
                </c:pt>
                <c:pt idx="305">
                  <c:v>15.5</c:v>
                </c:pt>
                <c:pt idx="306">
                  <c:v>16</c:v>
                </c:pt>
                <c:pt idx="307">
                  <c:v>15.5</c:v>
                </c:pt>
                <c:pt idx="308">
                  <c:v>17.5</c:v>
                </c:pt>
                <c:pt idx="309">
                  <c:v>15.5</c:v>
                </c:pt>
                <c:pt idx="310">
                  <c:v>16</c:v>
                </c:pt>
                <c:pt idx="311">
                  <c:v>15</c:v>
                </c:pt>
                <c:pt idx="312">
                  <c:v>17</c:v>
                </c:pt>
                <c:pt idx="313">
                  <c:v>23.2</c:v>
                </c:pt>
                <c:pt idx="314">
                  <c:v>36.1</c:v>
                </c:pt>
                <c:pt idx="315">
                  <c:v>30.9</c:v>
                </c:pt>
                <c:pt idx="316">
                  <c:v>25.1</c:v>
                </c:pt>
                <c:pt idx="317">
                  <c:v>30</c:v>
                </c:pt>
                <c:pt idx="318">
                  <c:v>23.8</c:v>
                </c:pt>
                <c:pt idx="319">
                  <c:v>17.7</c:v>
                </c:pt>
                <c:pt idx="320">
                  <c:v>18.100000000000001</c:v>
                </c:pt>
                <c:pt idx="321">
                  <c:v>20.6</c:v>
                </c:pt>
                <c:pt idx="322">
                  <c:v>18.600000000000001</c:v>
                </c:pt>
                <c:pt idx="323">
                  <c:v>20.5</c:v>
                </c:pt>
                <c:pt idx="324">
                  <c:v>19.2</c:v>
                </c:pt>
                <c:pt idx="325">
                  <c:v>20.5</c:v>
                </c:pt>
                <c:pt idx="326">
                  <c:v>20.2</c:v>
                </c:pt>
                <c:pt idx="327">
                  <c:v>19.399999999999999</c:v>
                </c:pt>
                <c:pt idx="328">
                  <c:v>20.8</c:v>
                </c:pt>
                <c:pt idx="329">
                  <c:v>18.100000000000001</c:v>
                </c:pt>
                <c:pt idx="330">
                  <c:v>19.2</c:v>
                </c:pt>
                <c:pt idx="331">
                  <c:v>20.2</c:v>
                </c:pt>
                <c:pt idx="332">
                  <c:v>19.399999999999999</c:v>
                </c:pt>
                <c:pt idx="333">
                  <c:v>17.5</c:v>
                </c:pt>
                <c:pt idx="334">
                  <c:v>19.899999999999999</c:v>
                </c:pt>
                <c:pt idx="335">
                  <c:v>35.700000000000003</c:v>
                </c:pt>
                <c:pt idx="336">
                  <c:v>33.5</c:v>
                </c:pt>
                <c:pt idx="337">
                  <c:v>28.4</c:v>
                </c:pt>
                <c:pt idx="338">
                  <c:v>34.5</c:v>
                </c:pt>
                <c:pt idx="339">
                  <c:v>34.200000000000003</c:v>
                </c:pt>
                <c:pt idx="340">
                  <c:v>22.3</c:v>
                </c:pt>
                <c:pt idx="341">
                  <c:v>27.4</c:v>
                </c:pt>
                <c:pt idx="342">
                  <c:v>28.8</c:v>
                </c:pt>
                <c:pt idx="343">
                  <c:v>26.8</c:v>
                </c:pt>
                <c:pt idx="344">
                  <c:v>21.5</c:v>
                </c:pt>
                <c:pt idx="345">
                  <c:v>20.6</c:v>
                </c:pt>
                <c:pt idx="346">
                  <c:v>19.8</c:v>
                </c:pt>
                <c:pt idx="347">
                  <c:v>20.2</c:v>
                </c:pt>
                <c:pt idx="348">
                  <c:v>18.5</c:v>
                </c:pt>
                <c:pt idx="349">
                  <c:v>16.899999999999999</c:v>
                </c:pt>
                <c:pt idx="350">
                  <c:v>18.2</c:v>
                </c:pt>
                <c:pt idx="351">
                  <c:v>15.5</c:v>
                </c:pt>
                <c:pt idx="352">
                  <c:v>16.5</c:v>
                </c:pt>
                <c:pt idx="353">
                  <c:v>19.2</c:v>
                </c:pt>
                <c:pt idx="354">
                  <c:v>17.600000000000001</c:v>
                </c:pt>
                <c:pt idx="355">
                  <c:v>17</c:v>
                </c:pt>
                <c:pt idx="356">
                  <c:v>23</c:v>
                </c:pt>
                <c:pt idx="357">
                  <c:v>23.9</c:v>
                </c:pt>
                <c:pt idx="358">
                  <c:v>27.9</c:v>
                </c:pt>
                <c:pt idx="359">
                  <c:v>28</c:v>
                </c:pt>
                <c:pt idx="360">
                  <c:v>32.1</c:v>
                </c:pt>
                <c:pt idx="361">
                  <c:v>26.4</c:v>
                </c:pt>
                <c:pt idx="362">
                  <c:v>24.3</c:v>
                </c:pt>
                <c:pt idx="363">
                  <c:v>23.6</c:v>
                </c:pt>
                <c:pt idx="364">
                  <c:v>19.100000000000001</c:v>
                </c:pt>
                <c:pt idx="365">
                  <c:v>30</c:v>
                </c:pt>
                <c:pt idx="366">
                  <c:v>25.8</c:v>
                </c:pt>
                <c:pt idx="367">
                  <c:v>39</c:v>
                </c:pt>
                <c:pt idx="368">
                  <c:v>27.2</c:v>
                </c:pt>
                <c:pt idx="369">
                  <c:v>26.6</c:v>
                </c:pt>
                <c:pt idx="370">
                  <c:v>34.4</c:v>
                </c:pt>
                <c:pt idx="371">
                  <c:v>34.700000000000003</c:v>
                </c:pt>
                <c:pt idx="372">
                  <c:v>29.9</c:v>
                </c:pt>
                <c:pt idx="373">
                  <c:v>23.5</c:v>
                </c:pt>
                <c:pt idx="374">
                  <c:v>22.4</c:v>
                </c:pt>
                <c:pt idx="375">
                  <c:v>20.2</c:v>
                </c:pt>
                <c:pt idx="376">
                  <c:v>17.600000000000001</c:v>
                </c:pt>
                <c:pt idx="377">
                  <c:v>26.6</c:v>
                </c:pt>
                <c:pt idx="378">
                  <c:v>34</c:v>
                </c:pt>
                <c:pt idx="379">
                  <c:v>32</c:v>
                </c:pt>
                <c:pt idx="380">
                  <c:v>26</c:v>
                </c:pt>
                <c:pt idx="381">
                  <c:v>36</c:v>
                </c:pt>
                <c:pt idx="382">
                  <c:v>28</c:v>
                </c:pt>
                <c:pt idx="383">
                  <c:v>27</c:v>
                </c:pt>
                <c:pt idx="384">
                  <c:v>29</c:v>
                </c:pt>
                <c:pt idx="385">
                  <c:v>31</c:v>
                </c:pt>
                <c:pt idx="386">
                  <c:v>36</c:v>
                </c:pt>
                <c:pt idx="387">
                  <c:v>27</c:v>
                </c:pt>
                <c:pt idx="388">
                  <c:v>24</c:v>
                </c:pt>
                <c:pt idx="389">
                  <c:v>27</c:v>
                </c:pt>
                <c:pt idx="390">
                  <c:v>27</c:v>
                </c:pt>
                <c:pt idx="391">
                  <c:v>31</c:v>
                </c:pt>
                <c:pt idx="392">
                  <c:v>28</c:v>
                </c:pt>
                <c:pt idx="393">
                  <c:v>38</c:v>
                </c:pt>
                <c:pt idx="394">
                  <c:v>23</c:v>
                </c:pt>
                <c:pt idx="395">
                  <c:v>22</c:v>
                </c:pt>
                <c:pt idx="396">
                  <c:v>25</c:v>
                </c:pt>
                <c:pt idx="397">
                  <c:v>38</c:v>
                </c:pt>
              </c:numCache>
            </c:numRef>
          </c:xVal>
          <c:yVal>
            <c:numRef>
              <c:f>'Data Table'!$E$2:$E$399</c:f>
              <c:numCache>
                <c:formatCode>General</c:formatCode>
                <c:ptCount val="398"/>
                <c:pt idx="0">
                  <c:v>2234</c:v>
                </c:pt>
                <c:pt idx="1">
                  <c:v>2375</c:v>
                </c:pt>
                <c:pt idx="2">
                  <c:v>2430</c:v>
                </c:pt>
                <c:pt idx="3">
                  <c:v>2672</c:v>
                </c:pt>
                <c:pt idx="4">
                  <c:v>1835</c:v>
                </c:pt>
                <c:pt idx="5">
                  <c:v>2123</c:v>
                </c:pt>
                <c:pt idx="6">
                  <c:v>2065</c:v>
                </c:pt>
                <c:pt idx="7">
                  <c:v>2074</c:v>
                </c:pt>
                <c:pt idx="8">
                  <c:v>1834</c:v>
                </c:pt>
                <c:pt idx="9">
                  <c:v>2933</c:v>
                </c:pt>
                <c:pt idx="10">
                  <c:v>2189</c:v>
                </c:pt>
                <c:pt idx="11">
                  <c:v>2511</c:v>
                </c:pt>
                <c:pt idx="12">
                  <c:v>2979</c:v>
                </c:pt>
                <c:pt idx="13">
                  <c:v>2254</c:v>
                </c:pt>
                <c:pt idx="14">
                  <c:v>2660</c:v>
                </c:pt>
                <c:pt idx="15">
                  <c:v>2265</c:v>
                </c:pt>
                <c:pt idx="16">
                  <c:v>2868</c:v>
                </c:pt>
                <c:pt idx="17">
                  <c:v>2582</c:v>
                </c:pt>
                <c:pt idx="18">
                  <c:v>2158</c:v>
                </c:pt>
                <c:pt idx="19">
                  <c:v>1867</c:v>
                </c:pt>
                <c:pt idx="20">
                  <c:v>1950</c:v>
                </c:pt>
                <c:pt idx="21">
                  <c:v>2219</c:v>
                </c:pt>
                <c:pt idx="22">
                  <c:v>2108</c:v>
                </c:pt>
                <c:pt idx="23">
                  <c:v>1963</c:v>
                </c:pt>
                <c:pt idx="24">
                  <c:v>2300</c:v>
                </c:pt>
                <c:pt idx="25">
                  <c:v>2000</c:v>
                </c:pt>
                <c:pt idx="26">
                  <c:v>2246</c:v>
                </c:pt>
                <c:pt idx="27">
                  <c:v>2671</c:v>
                </c:pt>
                <c:pt idx="28">
                  <c:v>1937</c:v>
                </c:pt>
                <c:pt idx="29">
                  <c:v>2694</c:v>
                </c:pt>
                <c:pt idx="30">
                  <c:v>2945</c:v>
                </c:pt>
                <c:pt idx="31">
                  <c:v>2223</c:v>
                </c:pt>
                <c:pt idx="32">
                  <c:v>2957</c:v>
                </c:pt>
                <c:pt idx="33">
                  <c:v>1825</c:v>
                </c:pt>
                <c:pt idx="34">
                  <c:v>2202</c:v>
                </c:pt>
                <c:pt idx="35">
                  <c:v>2220</c:v>
                </c:pt>
                <c:pt idx="36">
                  <c:v>1937</c:v>
                </c:pt>
                <c:pt idx="37">
                  <c:v>2464</c:v>
                </c:pt>
                <c:pt idx="38">
                  <c:v>3150</c:v>
                </c:pt>
                <c:pt idx="39">
                  <c:v>3270</c:v>
                </c:pt>
                <c:pt idx="40">
                  <c:v>3820</c:v>
                </c:pt>
                <c:pt idx="41">
                  <c:v>2600</c:v>
                </c:pt>
                <c:pt idx="42">
                  <c:v>1940</c:v>
                </c:pt>
                <c:pt idx="43">
                  <c:v>2190</c:v>
                </c:pt>
                <c:pt idx="44">
                  <c:v>1825</c:v>
                </c:pt>
                <c:pt idx="45">
                  <c:v>2795</c:v>
                </c:pt>
                <c:pt idx="46">
                  <c:v>1990</c:v>
                </c:pt>
                <c:pt idx="47">
                  <c:v>1985</c:v>
                </c:pt>
                <c:pt idx="48">
                  <c:v>2830</c:v>
                </c:pt>
                <c:pt idx="49">
                  <c:v>3140</c:v>
                </c:pt>
                <c:pt idx="50">
                  <c:v>3410</c:v>
                </c:pt>
                <c:pt idx="51">
                  <c:v>1925</c:v>
                </c:pt>
                <c:pt idx="52">
                  <c:v>2130</c:v>
                </c:pt>
                <c:pt idx="53">
                  <c:v>3190</c:v>
                </c:pt>
                <c:pt idx="54">
                  <c:v>3530</c:v>
                </c:pt>
                <c:pt idx="55">
                  <c:v>2188</c:v>
                </c:pt>
                <c:pt idx="56">
                  <c:v>2144</c:v>
                </c:pt>
                <c:pt idx="57">
                  <c:v>2500</c:v>
                </c:pt>
                <c:pt idx="58">
                  <c:v>1845</c:v>
                </c:pt>
                <c:pt idx="59">
                  <c:v>2085</c:v>
                </c:pt>
                <c:pt idx="60">
                  <c:v>3250</c:v>
                </c:pt>
                <c:pt idx="61">
                  <c:v>2335</c:v>
                </c:pt>
                <c:pt idx="62">
                  <c:v>1835</c:v>
                </c:pt>
                <c:pt idx="63">
                  <c:v>2950</c:v>
                </c:pt>
                <c:pt idx="64">
                  <c:v>2190</c:v>
                </c:pt>
                <c:pt idx="65">
                  <c:v>3230</c:v>
                </c:pt>
                <c:pt idx="66">
                  <c:v>2320</c:v>
                </c:pt>
                <c:pt idx="67">
                  <c:v>3160</c:v>
                </c:pt>
                <c:pt idx="68">
                  <c:v>1980</c:v>
                </c:pt>
                <c:pt idx="69">
                  <c:v>2130</c:v>
                </c:pt>
                <c:pt idx="70">
                  <c:v>2130</c:v>
                </c:pt>
                <c:pt idx="71">
                  <c:v>2372</c:v>
                </c:pt>
                <c:pt idx="72">
                  <c:v>1613</c:v>
                </c:pt>
                <c:pt idx="73">
                  <c:v>2228</c:v>
                </c:pt>
                <c:pt idx="74">
                  <c:v>2130</c:v>
                </c:pt>
                <c:pt idx="75">
                  <c:v>1773</c:v>
                </c:pt>
                <c:pt idx="76">
                  <c:v>2330</c:v>
                </c:pt>
                <c:pt idx="77">
                  <c:v>2100</c:v>
                </c:pt>
                <c:pt idx="78">
                  <c:v>2278</c:v>
                </c:pt>
                <c:pt idx="79">
                  <c:v>2288</c:v>
                </c:pt>
                <c:pt idx="80">
                  <c:v>2506</c:v>
                </c:pt>
                <c:pt idx="81">
                  <c:v>2124</c:v>
                </c:pt>
                <c:pt idx="82">
                  <c:v>2379</c:v>
                </c:pt>
                <c:pt idx="83">
                  <c:v>2279</c:v>
                </c:pt>
                <c:pt idx="84">
                  <c:v>2807</c:v>
                </c:pt>
                <c:pt idx="85">
                  <c:v>2489</c:v>
                </c:pt>
                <c:pt idx="86">
                  <c:v>2391</c:v>
                </c:pt>
                <c:pt idx="87">
                  <c:v>1836</c:v>
                </c:pt>
                <c:pt idx="88">
                  <c:v>1950</c:v>
                </c:pt>
                <c:pt idx="89">
                  <c:v>1649</c:v>
                </c:pt>
                <c:pt idx="90">
                  <c:v>2003</c:v>
                </c:pt>
                <c:pt idx="91">
                  <c:v>2545</c:v>
                </c:pt>
                <c:pt idx="92">
                  <c:v>2702</c:v>
                </c:pt>
                <c:pt idx="93">
                  <c:v>2171</c:v>
                </c:pt>
                <c:pt idx="94">
                  <c:v>1795</c:v>
                </c:pt>
                <c:pt idx="95">
                  <c:v>1990</c:v>
                </c:pt>
                <c:pt idx="96">
                  <c:v>2155</c:v>
                </c:pt>
                <c:pt idx="97">
                  <c:v>1795</c:v>
                </c:pt>
                <c:pt idx="98">
                  <c:v>2930</c:v>
                </c:pt>
                <c:pt idx="99">
                  <c:v>2720</c:v>
                </c:pt>
                <c:pt idx="100">
                  <c:v>1945</c:v>
                </c:pt>
                <c:pt idx="101">
                  <c:v>1985</c:v>
                </c:pt>
                <c:pt idx="102">
                  <c:v>2045</c:v>
                </c:pt>
                <c:pt idx="103">
                  <c:v>2265</c:v>
                </c:pt>
                <c:pt idx="104">
                  <c:v>2815</c:v>
                </c:pt>
                <c:pt idx="105">
                  <c:v>2300</c:v>
                </c:pt>
                <c:pt idx="106">
                  <c:v>2405</c:v>
                </c:pt>
                <c:pt idx="107">
                  <c:v>2515</c:v>
                </c:pt>
                <c:pt idx="108">
                  <c:v>2560</c:v>
                </c:pt>
                <c:pt idx="109">
                  <c:v>2070</c:v>
                </c:pt>
                <c:pt idx="110">
                  <c:v>1800</c:v>
                </c:pt>
                <c:pt idx="111">
                  <c:v>2135</c:v>
                </c:pt>
                <c:pt idx="112">
                  <c:v>1985</c:v>
                </c:pt>
                <c:pt idx="113">
                  <c:v>1975</c:v>
                </c:pt>
                <c:pt idx="114">
                  <c:v>2020</c:v>
                </c:pt>
                <c:pt idx="115">
                  <c:v>2420</c:v>
                </c:pt>
                <c:pt idx="116">
                  <c:v>2434</c:v>
                </c:pt>
                <c:pt idx="117">
                  <c:v>1850</c:v>
                </c:pt>
                <c:pt idx="118">
                  <c:v>2711</c:v>
                </c:pt>
                <c:pt idx="119">
                  <c:v>2265</c:v>
                </c:pt>
                <c:pt idx="120">
                  <c:v>2019</c:v>
                </c:pt>
                <c:pt idx="121">
                  <c:v>2290</c:v>
                </c:pt>
                <c:pt idx="122">
                  <c:v>2145</c:v>
                </c:pt>
                <c:pt idx="123">
                  <c:v>2110</c:v>
                </c:pt>
                <c:pt idx="124">
                  <c:v>2110</c:v>
                </c:pt>
                <c:pt idx="125">
                  <c:v>1968</c:v>
                </c:pt>
                <c:pt idx="126">
                  <c:v>2542</c:v>
                </c:pt>
                <c:pt idx="127">
                  <c:v>2910</c:v>
                </c:pt>
                <c:pt idx="128">
                  <c:v>2615</c:v>
                </c:pt>
                <c:pt idx="129">
                  <c:v>1985</c:v>
                </c:pt>
                <c:pt idx="130">
                  <c:v>1760</c:v>
                </c:pt>
                <c:pt idx="131">
                  <c:v>2210</c:v>
                </c:pt>
                <c:pt idx="132">
                  <c:v>1755</c:v>
                </c:pt>
                <c:pt idx="133">
                  <c:v>1975</c:v>
                </c:pt>
                <c:pt idx="134">
                  <c:v>2065</c:v>
                </c:pt>
                <c:pt idx="135">
                  <c:v>2350</c:v>
                </c:pt>
                <c:pt idx="136">
                  <c:v>2050</c:v>
                </c:pt>
                <c:pt idx="137">
                  <c:v>2635</c:v>
                </c:pt>
                <c:pt idx="138">
                  <c:v>2930</c:v>
                </c:pt>
                <c:pt idx="139">
                  <c:v>2900</c:v>
                </c:pt>
                <c:pt idx="140">
                  <c:v>2160</c:v>
                </c:pt>
                <c:pt idx="141">
                  <c:v>2665</c:v>
                </c:pt>
                <c:pt idx="142">
                  <c:v>1970</c:v>
                </c:pt>
                <c:pt idx="143">
                  <c:v>1965</c:v>
                </c:pt>
                <c:pt idx="144">
                  <c:v>1965</c:v>
                </c:pt>
                <c:pt idx="145">
                  <c:v>2205</c:v>
                </c:pt>
                <c:pt idx="146">
                  <c:v>1995</c:v>
                </c:pt>
                <c:pt idx="147">
                  <c:v>2025</c:v>
                </c:pt>
                <c:pt idx="148">
                  <c:v>2245</c:v>
                </c:pt>
                <c:pt idx="149">
                  <c:v>2774</c:v>
                </c:pt>
                <c:pt idx="150">
                  <c:v>2648</c:v>
                </c:pt>
                <c:pt idx="151">
                  <c:v>2833</c:v>
                </c:pt>
                <c:pt idx="152">
                  <c:v>2587</c:v>
                </c:pt>
                <c:pt idx="153">
                  <c:v>3086</c:v>
                </c:pt>
                <c:pt idx="154">
                  <c:v>4425</c:v>
                </c:pt>
                <c:pt idx="155">
                  <c:v>4354</c:v>
                </c:pt>
                <c:pt idx="156">
                  <c:v>4312</c:v>
                </c:pt>
                <c:pt idx="157">
                  <c:v>3850</c:v>
                </c:pt>
                <c:pt idx="158">
                  <c:v>4382</c:v>
                </c:pt>
                <c:pt idx="159">
                  <c:v>3563</c:v>
                </c:pt>
                <c:pt idx="160">
                  <c:v>4615</c:v>
                </c:pt>
                <c:pt idx="161">
                  <c:v>4376</c:v>
                </c:pt>
                <c:pt idx="162">
                  <c:v>4341</c:v>
                </c:pt>
                <c:pt idx="163">
                  <c:v>3693</c:v>
                </c:pt>
                <c:pt idx="164">
                  <c:v>3609</c:v>
                </c:pt>
                <c:pt idx="165">
                  <c:v>3433</c:v>
                </c:pt>
                <c:pt idx="166">
                  <c:v>3436</c:v>
                </c:pt>
                <c:pt idx="167">
                  <c:v>4732</c:v>
                </c:pt>
                <c:pt idx="168">
                  <c:v>3449</c:v>
                </c:pt>
                <c:pt idx="169">
                  <c:v>3761</c:v>
                </c:pt>
                <c:pt idx="170">
                  <c:v>3504</c:v>
                </c:pt>
                <c:pt idx="171">
                  <c:v>2264</c:v>
                </c:pt>
                <c:pt idx="172">
                  <c:v>2220</c:v>
                </c:pt>
                <c:pt idx="173">
                  <c:v>1955</c:v>
                </c:pt>
                <c:pt idx="174">
                  <c:v>2408</c:v>
                </c:pt>
                <c:pt idx="175">
                  <c:v>2046</c:v>
                </c:pt>
                <c:pt idx="176">
                  <c:v>2634</c:v>
                </c:pt>
                <c:pt idx="177">
                  <c:v>2962</c:v>
                </c:pt>
                <c:pt idx="178">
                  <c:v>3439</c:v>
                </c:pt>
                <c:pt idx="179">
                  <c:v>3282</c:v>
                </c:pt>
                <c:pt idx="180">
                  <c:v>3288</c:v>
                </c:pt>
                <c:pt idx="181">
                  <c:v>3329</c:v>
                </c:pt>
                <c:pt idx="182">
                  <c:v>3139</c:v>
                </c:pt>
                <c:pt idx="183">
                  <c:v>3302</c:v>
                </c:pt>
                <c:pt idx="184">
                  <c:v>4209</c:v>
                </c:pt>
                <c:pt idx="185">
                  <c:v>4464</c:v>
                </c:pt>
                <c:pt idx="186">
                  <c:v>4154</c:v>
                </c:pt>
                <c:pt idx="187">
                  <c:v>4096</c:v>
                </c:pt>
                <c:pt idx="188">
                  <c:v>4955</c:v>
                </c:pt>
                <c:pt idx="189">
                  <c:v>4746</c:v>
                </c:pt>
                <c:pt idx="190">
                  <c:v>5140</c:v>
                </c:pt>
                <c:pt idx="191">
                  <c:v>2226</c:v>
                </c:pt>
                <c:pt idx="192">
                  <c:v>2126</c:v>
                </c:pt>
                <c:pt idx="193">
                  <c:v>2408</c:v>
                </c:pt>
                <c:pt idx="194">
                  <c:v>2164</c:v>
                </c:pt>
                <c:pt idx="195">
                  <c:v>2395</c:v>
                </c:pt>
                <c:pt idx="196">
                  <c:v>4633</c:v>
                </c:pt>
                <c:pt idx="197">
                  <c:v>4422</c:v>
                </c:pt>
                <c:pt idx="198">
                  <c:v>3672</c:v>
                </c:pt>
                <c:pt idx="199">
                  <c:v>4385</c:v>
                </c:pt>
                <c:pt idx="200">
                  <c:v>4274</c:v>
                </c:pt>
                <c:pt idx="201">
                  <c:v>3892</c:v>
                </c:pt>
                <c:pt idx="202">
                  <c:v>4129</c:v>
                </c:pt>
                <c:pt idx="203">
                  <c:v>4077</c:v>
                </c:pt>
                <c:pt idx="204">
                  <c:v>4135</c:v>
                </c:pt>
                <c:pt idx="205">
                  <c:v>4456</c:v>
                </c:pt>
                <c:pt idx="206">
                  <c:v>4502</c:v>
                </c:pt>
                <c:pt idx="207">
                  <c:v>4294</c:v>
                </c:pt>
                <c:pt idx="208">
                  <c:v>4098</c:v>
                </c:pt>
                <c:pt idx="209">
                  <c:v>2310</c:v>
                </c:pt>
                <c:pt idx="210">
                  <c:v>2401</c:v>
                </c:pt>
                <c:pt idx="211">
                  <c:v>2472</c:v>
                </c:pt>
                <c:pt idx="212">
                  <c:v>2789</c:v>
                </c:pt>
                <c:pt idx="213">
                  <c:v>2945</c:v>
                </c:pt>
                <c:pt idx="214">
                  <c:v>3121</c:v>
                </c:pt>
                <c:pt idx="215">
                  <c:v>2904</c:v>
                </c:pt>
                <c:pt idx="216">
                  <c:v>3278</c:v>
                </c:pt>
                <c:pt idx="217">
                  <c:v>3021</c:v>
                </c:pt>
                <c:pt idx="218">
                  <c:v>4278</c:v>
                </c:pt>
                <c:pt idx="219">
                  <c:v>3664</c:v>
                </c:pt>
                <c:pt idx="220">
                  <c:v>3821</c:v>
                </c:pt>
                <c:pt idx="221">
                  <c:v>4951</c:v>
                </c:pt>
                <c:pt idx="222">
                  <c:v>4735</c:v>
                </c:pt>
                <c:pt idx="223">
                  <c:v>3399</c:v>
                </c:pt>
                <c:pt idx="224">
                  <c:v>4100</c:v>
                </c:pt>
                <c:pt idx="225">
                  <c:v>3672</c:v>
                </c:pt>
                <c:pt idx="226">
                  <c:v>4952</c:v>
                </c:pt>
                <c:pt idx="227">
                  <c:v>4499</c:v>
                </c:pt>
                <c:pt idx="228">
                  <c:v>3777</c:v>
                </c:pt>
                <c:pt idx="229">
                  <c:v>4654</c:v>
                </c:pt>
                <c:pt idx="230">
                  <c:v>3988</c:v>
                </c:pt>
                <c:pt idx="231">
                  <c:v>4363</c:v>
                </c:pt>
                <c:pt idx="232">
                  <c:v>4082</c:v>
                </c:pt>
                <c:pt idx="233">
                  <c:v>4237</c:v>
                </c:pt>
                <c:pt idx="234">
                  <c:v>4906</c:v>
                </c:pt>
                <c:pt idx="235">
                  <c:v>4042</c:v>
                </c:pt>
                <c:pt idx="236">
                  <c:v>4464</c:v>
                </c:pt>
                <c:pt idx="237">
                  <c:v>4997</c:v>
                </c:pt>
                <c:pt idx="238">
                  <c:v>2125</c:v>
                </c:pt>
                <c:pt idx="239">
                  <c:v>2451</c:v>
                </c:pt>
                <c:pt idx="240">
                  <c:v>2542</c:v>
                </c:pt>
                <c:pt idx="241">
                  <c:v>2901</c:v>
                </c:pt>
                <c:pt idx="242">
                  <c:v>3102</c:v>
                </c:pt>
                <c:pt idx="243">
                  <c:v>3632</c:v>
                </c:pt>
                <c:pt idx="244">
                  <c:v>3336</c:v>
                </c:pt>
                <c:pt idx="245">
                  <c:v>3613</c:v>
                </c:pt>
                <c:pt idx="246">
                  <c:v>3781</c:v>
                </c:pt>
                <c:pt idx="247">
                  <c:v>2875</c:v>
                </c:pt>
                <c:pt idx="248">
                  <c:v>4257</c:v>
                </c:pt>
                <c:pt idx="249">
                  <c:v>4141</c:v>
                </c:pt>
                <c:pt idx="250">
                  <c:v>4457</c:v>
                </c:pt>
                <c:pt idx="251">
                  <c:v>4699</c:v>
                </c:pt>
                <c:pt idx="252">
                  <c:v>4638</c:v>
                </c:pt>
                <c:pt idx="253">
                  <c:v>2639</c:v>
                </c:pt>
                <c:pt idx="254">
                  <c:v>2592</c:v>
                </c:pt>
                <c:pt idx="255">
                  <c:v>3039</c:v>
                </c:pt>
                <c:pt idx="256">
                  <c:v>2914</c:v>
                </c:pt>
                <c:pt idx="257">
                  <c:v>2984</c:v>
                </c:pt>
                <c:pt idx="258">
                  <c:v>3459</c:v>
                </c:pt>
                <c:pt idx="259">
                  <c:v>3730</c:v>
                </c:pt>
                <c:pt idx="260">
                  <c:v>3264</c:v>
                </c:pt>
                <c:pt idx="261">
                  <c:v>3907</c:v>
                </c:pt>
                <c:pt idx="262">
                  <c:v>3211</c:v>
                </c:pt>
                <c:pt idx="263">
                  <c:v>3897</c:v>
                </c:pt>
                <c:pt idx="264">
                  <c:v>3785</c:v>
                </c:pt>
                <c:pt idx="265">
                  <c:v>3158</c:v>
                </c:pt>
                <c:pt idx="266">
                  <c:v>3432</c:v>
                </c:pt>
                <c:pt idx="267">
                  <c:v>3169</c:v>
                </c:pt>
                <c:pt idx="268">
                  <c:v>4668</c:v>
                </c:pt>
                <c:pt idx="269">
                  <c:v>3221</c:v>
                </c:pt>
                <c:pt idx="270">
                  <c:v>4498</c:v>
                </c:pt>
                <c:pt idx="271">
                  <c:v>4440</c:v>
                </c:pt>
                <c:pt idx="272">
                  <c:v>4657</c:v>
                </c:pt>
                <c:pt idx="273">
                  <c:v>2572</c:v>
                </c:pt>
                <c:pt idx="274">
                  <c:v>2255</c:v>
                </c:pt>
                <c:pt idx="275">
                  <c:v>2565</c:v>
                </c:pt>
                <c:pt idx="276">
                  <c:v>2164</c:v>
                </c:pt>
                <c:pt idx="277">
                  <c:v>2035</c:v>
                </c:pt>
                <c:pt idx="278">
                  <c:v>3353</c:v>
                </c:pt>
                <c:pt idx="279">
                  <c:v>3233</c:v>
                </c:pt>
                <c:pt idx="280">
                  <c:v>3645</c:v>
                </c:pt>
                <c:pt idx="281">
                  <c:v>3193</c:v>
                </c:pt>
                <c:pt idx="282">
                  <c:v>3085</c:v>
                </c:pt>
                <c:pt idx="283">
                  <c:v>3651</c:v>
                </c:pt>
                <c:pt idx="284">
                  <c:v>3012</c:v>
                </c:pt>
                <c:pt idx="285">
                  <c:v>3574</c:v>
                </c:pt>
                <c:pt idx="286">
                  <c:v>4380</c:v>
                </c:pt>
                <c:pt idx="287">
                  <c:v>3755</c:v>
                </c:pt>
                <c:pt idx="288">
                  <c:v>3940</c:v>
                </c:pt>
                <c:pt idx="289">
                  <c:v>4215</c:v>
                </c:pt>
                <c:pt idx="290">
                  <c:v>4055</c:v>
                </c:pt>
                <c:pt idx="291">
                  <c:v>4190</c:v>
                </c:pt>
                <c:pt idx="292">
                  <c:v>3870</c:v>
                </c:pt>
                <c:pt idx="293">
                  <c:v>4215</c:v>
                </c:pt>
                <c:pt idx="294">
                  <c:v>3962</c:v>
                </c:pt>
                <c:pt idx="295">
                  <c:v>2300</c:v>
                </c:pt>
                <c:pt idx="296">
                  <c:v>2075</c:v>
                </c:pt>
                <c:pt idx="297">
                  <c:v>2155</c:v>
                </c:pt>
                <c:pt idx="298">
                  <c:v>2755</c:v>
                </c:pt>
                <c:pt idx="299">
                  <c:v>2740</c:v>
                </c:pt>
                <c:pt idx="300">
                  <c:v>2051</c:v>
                </c:pt>
                <c:pt idx="301">
                  <c:v>3520</c:v>
                </c:pt>
                <c:pt idx="302">
                  <c:v>3425</c:v>
                </c:pt>
                <c:pt idx="303">
                  <c:v>3525</c:v>
                </c:pt>
                <c:pt idx="304">
                  <c:v>3630</c:v>
                </c:pt>
                <c:pt idx="305">
                  <c:v>4325</c:v>
                </c:pt>
                <c:pt idx="306">
                  <c:v>4220</c:v>
                </c:pt>
                <c:pt idx="307">
                  <c:v>4165</c:v>
                </c:pt>
                <c:pt idx="308">
                  <c:v>3880</c:v>
                </c:pt>
                <c:pt idx="309">
                  <c:v>4140</c:v>
                </c:pt>
                <c:pt idx="310">
                  <c:v>4335</c:v>
                </c:pt>
                <c:pt idx="311">
                  <c:v>4295</c:v>
                </c:pt>
                <c:pt idx="312">
                  <c:v>4060</c:v>
                </c:pt>
                <c:pt idx="313">
                  <c:v>2745</c:v>
                </c:pt>
                <c:pt idx="314">
                  <c:v>1800</c:v>
                </c:pt>
                <c:pt idx="315">
                  <c:v>2230</c:v>
                </c:pt>
                <c:pt idx="316">
                  <c:v>2720</c:v>
                </c:pt>
                <c:pt idx="317">
                  <c:v>2155</c:v>
                </c:pt>
                <c:pt idx="318">
                  <c:v>2855</c:v>
                </c:pt>
                <c:pt idx="319">
                  <c:v>3445</c:v>
                </c:pt>
                <c:pt idx="320">
                  <c:v>3410</c:v>
                </c:pt>
                <c:pt idx="321">
                  <c:v>3380</c:v>
                </c:pt>
                <c:pt idx="322">
                  <c:v>3620</c:v>
                </c:pt>
                <c:pt idx="323">
                  <c:v>3155</c:v>
                </c:pt>
                <c:pt idx="324">
                  <c:v>3535</c:v>
                </c:pt>
                <c:pt idx="325">
                  <c:v>3430</c:v>
                </c:pt>
                <c:pt idx="326">
                  <c:v>2965</c:v>
                </c:pt>
                <c:pt idx="327">
                  <c:v>3210</c:v>
                </c:pt>
                <c:pt idx="328">
                  <c:v>3070</c:v>
                </c:pt>
                <c:pt idx="329">
                  <c:v>3205</c:v>
                </c:pt>
                <c:pt idx="330">
                  <c:v>3425</c:v>
                </c:pt>
                <c:pt idx="331">
                  <c:v>3570</c:v>
                </c:pt>
                <c:pt idx="332">
                  <c:v>3735</c:v>
                </c:pt>
                <c:pt idx="333">
                  <c:v>4080</c:v>
                </c:pt>
                <c:pt idx="334">
                  <c:v>3365</c:v>
                </c:pt>
                <c:pt idx="335">
                  <c:v>1915</c:v>
                </c:pt>
                <c:pt idx="336">
                  <c:v>2556</c:v>
                </c:pt>
                <c:pt idx="337">
                  <c:v>2670</c:v>
                </c:pt>
                <c:pt idx="338">
                  <c:v>2150</c:v>
                </c:pt>
                <c:pt idx="339">
                  <c:v>2200</c:v>
                </c:pt>
                <c:pt idx="340">
                  <c:v>2890</c:v>
                </c:pt>
                <c:pt idx="341">
                  <c:v>2670</c:v>
                </c:pt>
                <c:pt idx="342">
                  <c:v>2595</c:v>
                </c:pt>
                <c:pt idx="343">
                  <c:v>2700</c:v>
                </c:pt>
                <c:pt idx="344">
                  <c:v>3245</c:v>
                </c:pt>
                <c:pt idx="345">
                  <c:v>3360</c:v>
                </c:pt>
                <c:pt idx="346">
                  <c:v>2990</c:v>
                </c:pt>
                <c:pt idx="347">
                  <c:v>3265</c:v>
                </c:pt>
                <c:pt idx="348">
                  <c:v>3940</c:v>
                </c:pt>
                <c:pt idx="349">
                  <c:v>4360</c:v>
                </c:pt>
                <c:pt idx="350">
                  <c:v>3830</c:v>
                </c:pt>
                <c:pt idx="351">
                  <c:v>4054</c:v>
                </c:pt>
                <c:pt idx="352">
                  <c:v>3955</c:v>
                </c:pt>
                <c:pt idx="353">
                  <c:v>3605</c:v>
                </c:pt>
                <c:pt idx="354">
                  <c:v>3725</c:v>
                </c:pt>
                <c:pt idx="355">
                  <c:v>3840</c:v>
                </c:pt>
                <c:pt idx="356">
                  <c:v>3900</c:v>
                </c:pt>
                <c:pt idx="357">
                  <c:v>3420</c:v>
                </c:pt>
                <c:pt idx="358">
                  <c:v>2800</c:v>
                </c:pt>
                <c:pt idx="359">
                  <c:v>2678</c:v>
                </c:pt>
                <c:pt idx="360">
                  <c:v>2120</c:v>
                </c:pt>
                <c:pt idx="361">
                  <c:v>2870</c:v>
                </c:pt>
                <c:pt idx="362">
                  <c:v>3003</c:v>
                </c:pt>
                <c:pt idx="363">
                  <c:v>2905</c:v>
                </c:pt>
                <c:pt idx="364">
                  <c:v>3381</c:v>
                </c:pt>
                <c:pt idx="365">
                  <c:v>2385</c:v>
                </c:pt>
                <c:pt idx="366">
                  <c:v>2620</c:v>
                </c:pt>
                <c:pt idx="367">
                  <c:v>1875</c:v>
                </c:pt>
                <c:pt idx="368">
                  <c:v>2490</c:v>
                </c:pt>
                <c:pt idx="369">
                  <c:v>2635</c:v>
                </c:pt>
                <c:pt idx="370">
                  <c:v>2045</c:v>
                </c:pt>
                <c:pt idx="371">
                  <c:v>2215</c:v>
                </c:pt>
                <c:pt idx="372">
                  <c:v>2380</c:v>
                </c:pt>
                <c:pt idx="373">
                  <c:v>2725</c:v>
                </c:pt>
                <c:pt idx="374">
                  <c:v>3415</c:v>
                </c:pt>
                <c:pt idx="375">
                  <c:v>3060</c:v>
                </c:pt>
                <c:pt idx="376">
                  <c:v>3465</c:v>
                </c:pt>
                <c:pt idx="377">
                  <c:v>3725</c:v>
                </c:pt>
                <c:pt idx="378">
                  <c:v>2395</c:v>
                </c:pt>
                <c:pt idx="379">
                  <c:v>2295</c:v>
                </c:pt>
                <c:pt idx="380">
                  <c:v>2585</c:v>
                </c:pt>
                <c:pt idx="381">
                  <c:v>2370</c:v>
                </c:pt>
                <c:pt idx="382">
                  <c:v>2605</c:v>
                </c:pt>
                <c:pt idx="383">
                  <c:v>2640</c:v>
                </c:pt>
                <c:pt idx="384">
                  <c:v>2525</c:v>
                </c:pt>
                <c:pt idx="385">
                  <c:v>2575</c:v>
                </c:pt>
                <c:pt idx="386">
                  <c:v>2125</c:v>
                </c:pt>
                <c:pt idx="387">
                  <c:v>2735</c:v>
                </c:pt>
                <c:pt idx="388">
                  <c:v>2865</c:v>
                </c:pt>
                <c:pt idx="389">
                  <c:v>2790</c:v>
                </c:pt>
                <c:pt idx="390">
                  <c:v>2950</c:v>
                </c:pt>
                <c:pt idx="391">
                  <c:v>2720</c:v>
                </c:pt>
                <c:pt idx="392">
                  <c:v>2625</c:v>
                </c:pt>
                <c:pt idx="393">
                  <c:v>2125</c:v>
                </c:pt>
                <c:pt idx="394">
                  <c:v>3035</c:v>
                </c:pt>
                <c:pt idx="395">
                  <c:v>2835</c:v>
                </c:pt>
                <c:pt idx="396">
                  <c:v>2945</c:v>
                </c:pt>
                <c:pt idx="397">
                  <c:v>3015</c:v>
                </c:pt>
              </c:numCache>
            </c:numRef>
          </c:yVal>
          <c:smooth val="0"/>
          <c:extLst>
            <c:ext xmlns:c16="http://schemas.microsoft.com/office/drawing/2014/chart" uri="{C3380CC4-5D6E-409C-BE32-E72D297353CC}">
              <c16:uniqueId val="{00000001-C394-4EB6-97AE-D6A668B3134A}"/>
            </c:ext>
          </c:extLst>
        </c:ser>
        <c:dLbls>
          <c:showLegendKey val="0"/>
          <c:showVal val="0"/>
          <c:showCatName val="0"/>
          <c:showSerName val="0"/>
          <c:showPercent val="0"/>
          <c:showBubbleSize val="0"/>
        </c:dLbls>
        <c:axId val="609107536"/>
        <c:axId val="609108016"/>
      </c:scatterChart>
      <c:valAx>
        <c:axId val="6091075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mpg</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09108016"/>
        <c:crosses val="autoZero"/>
        <c:crossBetween val="midCat"/>
      </c:valAx>
      <c:valAx>
        <c:axId val="609108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Weight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0910753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Averages of MPG</a:t>
            </a:r>
            <a:r>
              <a:rPr lang="en-US" baseline="0"/>
              <a:t> by origin &amp; model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'Fuel Efficiency Trends'!$C$2</c:f>
              <c:strCache>
                <c:ptCount val="1"/>
                <c:pt idx="0">
                  <c:v>Total</c:v>
                </c:pt>
              </c:strCache>
            </c:strRef>
          </c:tx>
          <c:spPr>
            <a:ln w="28575" cap="rnd">
              <a:solidFill>
                <a:schemeClr val="accent1"/>
              </a:solidFill>
              <a:round/>
            </a:ln>
            <a:effectLst/>
          </c:spPr>
          <c:marker>
            <c:symbol val="none"/>
          </c:marker>
          <c:cat>
            <c:multiLvlStrRef>
              <c:f>'Fuel Efficiency Trends'!$B$3:$B$45</c:f>
              <c:multiLvlStrCache>
                <c:ptCount val="39"/>
                <c:lvl>
                  <c:pt idx="0">
                    <c:v>70</c:v>
                  </c:pt>
                  <c:pt idx="1">
                    <c:v>71</c:v>
                  </c:pt>
                  <c:pt idx="2">
                    <c:v>72</c:v>
                  </c:pt>
                  <c:pt idx="3">
                    <c:v>73</c:v>
                  </c:pt>
                  <c:pt idx="4">
                    <c:v>74</c:v>
                  </c:pt>
                  <c:pt idx="5">
                    <c:v>75</c:v>
                  </c:pt>
                  <c:pt idx="6">
                    <c:v>76</c:v>
                  </c:pt>
                  <c:pt idx="7">
                    <c:v>77</c:v>
                  </c:pt>
                  <c:pt idx="8">
                    <c:v>78</c:v>
                  </c:pt>
                  <c:pt idx="9">
                    <c:v>79</c:v>
                  </c:pt>
                  <c:pt idx="10">
                    <c:v>80</c:v>
                  </c:pt>
                  <c:pt idx="11">
                    <c:v>81</c:v>
                  </c:pt>
                  <c:pt idx="12">
                    <c:v>82</c:v>
                  </c:pt>
                  <c:pt idx="13">
                    <c:v>70</c:v>
                  </c:pt>
                  <c:pt idx="14">
                    <c:v>71</c:v>
                  </c:pt>
                  <c:pt idx="15">
                    <c:v>72</c:v>
                  </c:pt>
                  <c:pt idx="16">
                    <c:v>73</c:v>
                  </c:pt>
                  <c:pt idx="17">
                    <c:v>74</c:v>
                  </c:pt>
                  <c:pt idx="18">
                    <c:v>75</c:v>
                  </c:pt>
                  <c:pt idx="19">
                    <c:v>76</c:v>
                  </c:pt>
                  <c:pt idx="20">
                    <c:v>77</c:v>
                  </c:pt>
                  <c:pt idx="21">
                    <c:v>78</c:v>
                  </c:pt>
                  <c:pt idx="22">
                    <c:v>79</c:v>
                  </c:pt>
                  <c:pt idx="23">
                    <c:v>80</c:v>
                  </c:pt>
                  <c:pt idx="24">
                    <c:v>81</c:v>
                  </c:pt>
                  <c:pt idx="25">
                    <c:v>82</c:v>
                  </c:pt>
                  <c:pt idx="26">
                    <c:v>70</c:v>
                  </c:pt>
                  <c:pt idx="27">
                    <c:v>71</c:v>
                  </c:pt>
                  <c:pt idx="28">
                    <c:v>72</c:v>
                  </c:pt>
                  <c:pt idx="29">
                    <c:v>73</c:v>
                  </c:pt>
                  <c:pt idx="30">
                    <c:v>74</c:v>
                  </c:pt>
                  <c:pt idx="31">
                    <c:v>75</c:v>
                  </c:pt>
                  <c:pt idx="32">
                    <c:v>76</c:v>
                  </c:pt>
                  <c:pt idx="33">
                    <c:v>77</c:v>
                  </c:pt>
                  <c:pt idx="34">
                    <c:v>78</c:v>
                  </c:pt>
                  <c:pt idx="35">
                    <c:v>79</c:v>
                  </c:pt>
                  <c:pt idx="36">
                    <c:v>80</c:v>
                  </c:pt>
                  <c:pt idx="37">
                    <c:v>81</c:v>
                  </c:pt>
                  <c:pt idx="38">
                    <c:v>82</c:v>
                  </c:pt>
                </c:lvl>
                <c:lvl>
                  <c:pt idx="0">
                    <c:v>europe</c:v>
                  </c:pt>
                  <c:pt idx="13">
                    <c:v>japan</c:v>
                  </c:pt>
                  <c:pt idx="26">
                    <c:v>usa</c:v>
                  </c:pt>
                </c:lvl>
              </c:multiLvlStrCache>
            </c:multiLvlStrRef>
          </c:cat>
          <c:val>
            <c:numRef>
              <c:f>'Fuel Efficiency Trends'!$C$3:$C$45</c:f>
              <c:numCache>
                <c:formatCode>General</c:formatCode>
                <c:ptCount val="39"/>
                <c:pt idx="0">
                  <c:v>25.2</c:v>
                </c:pt>
                <c:pt idx="1">
                  <c:v>28.75</c:v>
                </c:pt>
                <c:pt idx="2">
                  <c:v>22</c:v>
                </c:pt>
                <c:pt idx="3">
                  <c:v>24</c:v>
                </c:pt>
                <c:pt idx="4">
                  <c:v>27</c:v>
                </c:pt>
                <c:pt idx="5">
                  <c:v>24.5</c:v>
                </c:pt>
                <c:pt idx="6">
                  <c:v>24.25</c:v>
                </c:pt>
                <c:pt idx="7">
                  <c:v>29.25</c:v>
                </c:pt>
                <c:pt idx="8">
                  <c:v>24.95</c:v>
                </c:pt>
                <c:pt idx="9">
                  <c:v>30.449999999999996</c:v>
                </c:pt>
                <c:pt idx="10">
                  <c:v>37.288888888888877</c:v>
                </c:pt>
                <c:pt idx="11">
                  <c:v>31.574999999999999</c:v>
                </c:pt>
                <c:pt idx="12">
                  <c:v>40</c:v>
                </c:pt>
                <c:pt idx="13">
                  <c:v>25.5</c:v>
                </c:pt>
                <c:pt idx="14">
                  <c:v>29.5</c:v>
                </c:pt>
                <c:pt idx="15">
                  <c:v>24.2</c:v>
                </c:pt>
                <c:pt idx="16">
                  <c:v>20</c:v>
                </c:pt>
                <c:pt idx="17">
                  <c:v>29.333333333333332</c:v>
                </c:pt>
                <c:pt idx="18">
                  <c:v>27.5</c:v>
                </c:pt>
                <c:pt idx="19">
                  <c:v>28</c:v>
                </c:pt>
                <c:pt idx="20">
                  <c:v>27.416666666666668</c:v>
                </c:pt>
                <c:pt idx="21">
                  <c:v>29.6875</c:v>
                </c:pt>
                <c:pt idx="22">
                  <c:v>32.950000000000003</c:v>
                </c:pt>
                <c:pt idx="23">
                  <c:v>35.400000000000006</c:v>
                </c:pt>
                <c:pt idx="24">
                  <c:v>32.958333333333329</c:v>
                </c:pt>
                <c:pt idx="25">
                  <c:v>34.888888888888886</c:v>
                </c:pt>
                <c:pt idx="26">
                  <c:v>15.272727272727273</c:v>
                </c:pt>
                <c:pt idx="27">
                  <c:v>18.100000000000001</c:v>
                </c:pt>
                <c:pt idx="28">
                  <c:v>16.277777777777779</c:v>
                </c:pt>
                <c:pt idx="29">
                  <c:v>15.03448275862069</c:v>
                </c:pt>
                <c:pt idx="30">
                  <c:v>18.333333333333332</c:v>
                </c:pt>
                <c:pt idx="31">
                  <c:v>17.55</c:v>
                </c:pt>
                <c:pt idx="32">
                  <c:v>19.431818181818183</c:v>
                </c:pt>
                <c:pt idx="33">
                  <c:v>20.722222222222221</c:v>
                </c:pt>
                <c:pt idx="34">
                  <c:v>21.772727272727266</c:v>
                </c:pt>
                <c:pt idx="35">
                  <c:v>23.478260869565219</c:v>
                </c:pt>
                <c:pt idx="36">
                  <c:v>25.914285714285715</c:v>
                </c:pt>
                <c:pt idx="37">
                  <c:v>27.530769230769234</c:v>
                </c:pt>
                <c:pt idx="38">
                  <c:v>29.45</c:v>
                </c:pt>
              </c:numCache>
            </c:numRef>
          </c:val>
          <c:smooth val="0"/>
          <c:extLst>
            <c:ext xmlns:c16="http://schemas.microsoft.com/office/drawing/2014/chart" uri="{C3380CC4-5D6E-409C-BE32-E72D297353CC}">
              <c16:uniqueId val="{00000000-4AFA-47D4-B106-4DEFEC042217}"/>
            </c:ext>
          </c:extLst>
        </c:ser>
        <c:dLbls>
          <c:showLegendKey val="0"/>
          <c:showVal val="0"/>
          <c:showCatName val="0"/>
          <c:showSerName val="0"/>
          <c:showPercent val="0"/>
          <c:showBubbleSize val="0"/>
        </c:dLbls>
        <c:smooth val="0"/>
        <c:axId val="725342672"/>
        <c:axId val="725341712"/>
      </c:lineChart>
      <c:catAx>
        <c:axId val="725342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25341712"/>
        <c:crosses val="autoZero"/>
        <c:auto val="1"/>
        <c:lblAlgn val="ctr"/>
        <c:lblOffset val="100"/>
        <c:noMultiLvlLbl val="0"/>
      </c:catAx>
      <c:valAx>
        <c:axId val="72534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25342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Average</a:t>
            </a:r>
            <a:r>
              <a:rPr lang="pt-BR" baseline="0"/>
              <a:t> Horsepower by Cylinders</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'Fuel Efficiency Trends'!$L$2</c:f>
              <c:strCache>
                <c:ptCount val="1"/>
                <c:pt idx="0">
                  <c:v>Total</c:v>
                </c:pt>
              </c:strCache>
            </c:strRef>
          </c:tx>
          <c:spPr>
            <a:solidFill>
              <a:schemeClr val="accent1"/>
            </a:solidFill>
            <a:ln>
              <a:noFill/>
            </a:ln>
            <a:effectLst/>
          </c:spPr>
          <c:invertIfNegative val="0"/>
          <c:cat>
            <c:strRef>
              <c:f>'Fuel Efficiency Trends'!$K$3:$K$8</c:f>
              <c:strCache>
                <c:ptCount val="5"/>
                <c:pt idx="0">
                  <c:v>3</c:v>
                </c:pt>
                <c:pt idx="1">
                  <c:v>4</c:v>
                </c:pt>
                <c:pt idx="2">
                  <c:v>5</c:v>
                </c:pt>
                <c:pt idx="3">
                  <c:v>6</c:v>
                </c:pt>
                <c:pt idx="4">
                  <c:v>8</c:v>
                </c:pt>
              </c:strCache>
            </c:strRef>
          </c:cat>
          <c:val>
            <c:numRef>
              <c:f>'Fuel Efficiency Trends'!$L$3:$L$8</c:f>
              <c:numCache>
                <c:formatCode>General</c:formatCode>
                <c:ptCount val="5"/>
                <c:pt idx="0">
                  <c:v>99.25</c:v>
                </c:pt>
                <c:pt idx="1">
                  <c:v>78.281407035175874</c:v>
                </c:pt>
                <c:pt idx="2">
                  <c:v>82.333333333333329</c:v>
                </c:pt>
                <c:pt idx="3">
                  <c:v>101.50602409638554</c:v>
                </c:pt>
                <c:pt idx="4">
                  <c:v>158.30097087378641</c:v>
                </c:pt>
              </c:numCache>
            </c:numRef>
          </c:val>
          <c:extLst>
            <c:ext xmlns:c16="http://schemas.microsoft.com/office/drawing/2014/chart" uri="{C3380CC4-5D6E-409C-BE32-E72D297353CC}">
              <c16:uniqueId val="{00000000-6809-4DF6-B513-8DAC64255230}"/>
            </c:ext>
          </c:extLst>
        </c:ser>
        <c:dLbls>
          <c:showLegendKey val="0"/>
          <c:showVal val="0"/>
          <c:showCatName val="0"/>
          <c:showSerName val="0"/>
          <c:showPercent val="0"/>
          <c:showBubbleSize val="0"/>
        </c:dLbls>
        <c:gapWidth val="182"/>
        <c:axId val="621402576"/>
        <c:axId val="612456464"/>
      </c:barChart>
      <c:catAx>
        <c:axId val="62140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12456464"/>
        <c:crosses val="autoZero"/>
        <c:auto val="1"/>
        <c:lblAlgn val="ctr"/>
        <c:lblOffset val="100"/>
        <c:noMultiLvlLbl val="0"/>
      </c:catAx>
      <c:valAx>
        <c:axId val="612456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21402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Vehicle</a:t>
            </a:r>
            <a:r>
              <a:rPr lang="pt-BR" baseline="0"/>
              <a:t> Distribution by Origin</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6.7820925793366682E-2"/>
              <c:y val="-1.239173228346456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3805058458601824E-2"/>
              <c:y val="0.1155231116943715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7.193041199068223E-2"/>
              <c:y val="-7.85659084281131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'Fuel Efficiency Trends'!$V$2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594C-461A-9DC4-E9F79895F40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594C-461A-9DC4-E9F79895F40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594C-461A-9DC4-E9F79895F40C}"/>
              </c:ext>
            </c:extLst>
          </c:dPt>
          <c:dLbls>
            <c:dLbl>
              <c:idx val="0"/>
              <c:layout>
                <c:manualLayout>
                  <c:x val="-4.3805058458601824E-2"/>
                  <c:y val="0.1155231116943715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4C-461A-9DC4-E9F79895F40C}"/>
                </c:ext>
              </c:extLst>
            </c:dLbl>
            <c:dLbl>
              <c:idx val="1"/>
              <c:layout>
                <c:manualLayout>
                  <c:x val="-6.7820925793366682E-2"/>
                  <c:y val="-1.239173228346456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94C-461A-9DC4-E9F79895F40C}"/>
                </c:ext>
              </c:extLst>
            </c:dLbl>
            <c:dLbl>
              <c:idx val="2"/>
              <c:layout>
                <c:manualLayout>
                  <c:x val="7.193041199068223E-2"/>
                  <c:y val="-7.856590842811314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94C-461A-9DC4-E9F79895F4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'Fuel Efficiency Trends'!$U$3:$U$6</c:f>
              <c:strCache>
                <c:ptCount val="3"/>
                <c:pt idx="0">
                  <c:v>europe</c:v>
                </c:pt>
                <c:pt idx="1">
                  <c:v>japan</c:v>
                </c:pt>
                <c:pt idx="2">
                  <c:v>usa</c:v>
                </c:pt>
              </c:strCache>
            </c:strRef>
          </c:cat>
          <c:val>
            <c:numRef>
              <c:f>'Fuel Efficiency Trends'!$V$3:$V$6</c:f>
              <c:numCache>
                <c:formatCode>General</c:formatCode>
                <c:ptCount val="3"/>
                <c:pt idx="0">
                  <c:v>70</c:v>
                </c:pt>
                <c:pt idx="1">
                  <c:v>79</c:v>
                </c:pt>
                <c:pt idx="2">
                  <c:v>249</c:v>
                </c:pt>
              </c:numCache>
            </c:numRef>
          </c:val>
          <c:extLst>
            <c:ext xmlns:c16="http://schemas.microsoft.com/office/drawing/2014/chart" uri="{C3380CC4-5D6E-409C-BE32-E72D297353CC}">
              <c16:uniqueId val="{00000000-594C-461A-9DC4-E9F79895F40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Count</a:t>
            </a:r>
            <a:r>
              <a:rPr lang="pt-BR" baseline="0"/>
              <a:t> of Vehicles by origin and cylinders</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'Fuel Efficiency Trends'!$AF$2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multiLvlStrRef>
              <c:f>'Fuel Efficiency Trends'!$AE$3:$AE$15</c:f>
              <c:multiLvlStrCache>
                <c:ptCount val="9"/>
                <c:lvl>
                  <c:pt idx="0">
                    <c:v>4</c:v>
                  </c:pt>
                  <c:pt idx="1">
                    <c:v>5</c:v>
                  </c:pt>
                  <c:pt idx="2">
                    <c:v>6</c:v>
                  </c:pt>
                  <c:pt idx="3">
                    <c:v>3</c:v>
                  </c:pt>
                  <c:pt idx="4">
                    <c:v>4</c:v>
                  </c:pt>
                  <c:pt idx="5">
                    <c:v>6</c:v>
                  </c:pt>
                  <c:pt idx="6">
                    <c:v>4</c:v>
                  </c:pt>
                  <c:pt idx="7">
                    <c:v>6</c:v>
                  </c:pt>
                  <c:pt idx="8">
                    <c:v>8</c:v>
                  </c:pt>
                </c:lvl>
                <c:lvl>
                  <c:pt idx="0">
                    <c:v>europe</c:v>
                  </c:pt>
                  <c:pt idx="3">
                    <c:v>japan</c:v>
                  </c:pt>
                  <c:pt idx="6">
                    <c:v>usa</c:v>
                  </c:pt>
                </c:lvl>
              </c:multiLvlStrCache>
            </c:multiLvlStrRef>
          </c:cat>
          <c:val>
            <c:numRef>
              <c:f>'Fuel Efficiency Trends'!$AF$3:$AF$15</c:f>
              <c:numCache>
                <c:formatCode>General</c:formatCode>
                <c:ptCount val="9"/>
                <c:pt idx="0">
                  <c:v>63</c:v>
                </c:pt>
                <c:pt idx="1">
                  <c:v>3</c:v>
                </c:pt>
                <c:pt idx="2">
                  <c:v>4</c:v>
                </c:pt>
                <c:pt idx="3">
                  <c:v>4</c:v>
                </c:pt>
                <c:pt idx="4">
                  <c:v>69</c:v>
                </c:pt>
                <c:pt idx="5">
                  <c:v>6</c:v>
                </c:pt>
                <c:pt idx="6">
                  <c:v>72</c:v>
                </c:pt>
                <c:pt idx="7">
                  <c:v>74</c:v>
                </c:pt>
                <c:pt idx="8">
                  <c:v>103</c:v>
                </c:pt>
              </c:numCache>
            </c:numRef>
          </c:val>
          <c:extLst>
            <c:ext xmlns:c16="http://schemas.microsoft.com/office/drawing/2014/chart" uri="{C3380CC4-5D6E-409C-BE32-E72D297353CC}">
              <c16:uniqueId val="{00000000-26DE-492A-B5A5-924074D12504}"/>
            </c:ext>
          </c:extLst>
        </c:ser>
        <c:dLbls>
          <c:dLblPos val="outEnd"/>
          <c:showLegendKey val="0"/>
          <c:showVal val="1"/>
          <c:showCatName val="0"/>
          <c:showSerName val="0"/>
          <c:showPercent val="0"/>
          <c:showBubbleSize val="0"/>
        </c:dLbls>
        <c:gapWidth val="219"/>
        <c:overlap val="-27"/>
        <c:axId val="2118126496"/>
        <c:axId val="2118127456"/>
      </c:barChart>
      <c:catAx>
        <c:axId val="2118126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18127456"/>
        <c:crosses val="autoZero"/>
        <c:auto val="1"/>
        <c:lblAlgn val="ctr"/>
        <c:lblOffset val="100"/>
        <c:noMultiLvlLbl val="0"/>
      </c:catAx>
      <c:valAx>
        <c:axId val="2118127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181264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Average</a:t>
            </a:r>
            <a:r>
              <a:rPr lang="pt-BR" baseline="0"/>
              <a:t> MPG by Origin and Model Year </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cmpd="sng">
            <a:solidFill>
              <a:srgbClr val="0070C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cmpd="sng">
            <a:solidFill>
              <a:srgbClr val="0070C0"/>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'Fuel Efficiency Trends'!$C$2</c:f>
              <c:strCache>
                <c:ptCount val="1"/>
                <c:pt idx="0">
                  <c:v>Total</c:v>
                </c:pt>
              </c:strCache>
            </c:strRef>
          </c:tx>
          <c:spPr>
            <a:ln w="28575" cap="rnd" cmpd="sng">
              <a:solidFill>
                <a:srgbClr val="0070C0"/>
              </a:solidFill>
              <a:round/>
            </a:ln>
            <a:effectLst/>
          </c:spPr>
          <c:marker>
            <c:symbol val="circle"/>
            <c:size val="5"/>
            <c:spPr>
              <a:solidFill>
                <a:schemeClr val="accent1"/>
              </a:solidFill>
              <a:ln w="9525">
                <a:solidFill>
                  <a:schemeClr val="accent1"/>
                </a:solidFill>
              </a:ln>
              <a:effectLst/>
            </c:spPr>
          </c:marker>
          <c:trendline>
            <c:spPr>
              <a:ln w="19050" cap="rnd">
                <a:solidFill>
                  <a:srgbClr val="00B0F0">
                    <a:alpha val="79000"/>
                  </a:srgbClr>
                </a:solidFill>
                <a:prstDash val="sysDash"/>
              </a:ln>
              <a:effectLst/>
            </c:spPr>
            <c:trendlineType val="linear"/>
            <c:dispRSqr val="0"/>
            <c:dispEq val="0"/>
          </c:trendline>
          <c:cat>
            <c:multiLvlStrRef>
              <c:f>'Fuel Efficiency Trends'!$B$3:$B$45</c:f>
              <c:multiLvlStrCache>
                <c:ptCount val="39"/>
                <c:lvl>
                  <c:pt idx="0">
                    <c:v>70</c:v>
                  </c:pt>
                  <c:pt idx="1">
                    <c:v>71</c:v>
                  </c:pt>
                  <c:pt idx="2">
                    <c:v>72</c:v>
                  </c:pt>
                  <c:pt idx="3">
                    <c:v>73</c:v>
                  </c:pt>
                  <c:pt idx="4">
                    <c:v>74</c:v>
                  </c:pt>
                  <c:pt idx="5">
                    <c:v>75</c:v>
                  </c:pt>
                  <c:pt idx="6">
                    <c:v>76</c:v>
                  </c:pt>
                  <c:pt idx="7">
                    <c:v>77</c:v>
                  </c:pt>
                  <c:pt idx="8">
                    <c:v>78</c:v>
                  </c:pt>
                  <c:pt idx="9">
                    <c:v>79</c:v>
                  </c:pt>
                  <c:pt idx="10">
                    <c:v>80</c:v>
                  </c:pt>
                  <c:pt idx="11">
                    <c:v>81</c:v>
                  </c:pt>
                  <c:pt idx="12">
                    <c:v>82</c:v>
                  </c:pt>
                  <c:pt idx="13">
                    <c:v>70</c:v>
                  </c:pt>
                  <c:pt idx="14">
                    <c:v>71</c:v>
                  </c:pt>
                  <c:pt idx="15">
                    <c:v>72</c:v>
                  </c:pt>
                  <c:pt idx="16">
                    <c:v>73</c:v>
                  </c:pt>
                  <c:pt idx="17">
                    <c:v>74</c:v>
                  </c:pt>
                  <c:pt idx="18">
                    <c:v>75</c:v>
                  </c:pt>
                  <c:pt idx="19">
                    <c:v>76</c:v>
                  </c:pt>
                  <c:pt idx="20">
                    <c:v>77</c:v>
                  </c:pt>
                  <c:pt idx="21">
                    <c:v>78</c:v>
                  </c:pt>
                  <c:pt idx="22">
                    <c:v>79</c:v>
                  </c:pt>
                  <c:pt idx="23">
                    <c:v>80</c:v>
                  </c:pt>
                  <c:pt idx="24">
                    <c:v>81</c:v>
                  </c:pt>
                  <c:pt idx="25">
                    <c:v>82</c:v>
                  </c:pt>
                  <c:pt idx="26">
                    <c:v>70</c:v>
                  </c:pt>
                  <c:pt idx="27">
                    <c:v>71</c:v>
                  </c:pt>
                  <c:pt idx="28">
                    <c:v>72</c:v>
                  </c:pt>
                  <c:pt idx="29">
                    <c:v>73</c:v>
                  </c:pt>
                  <c:pt idx="30">
                    <c:v>74</c:v>
                  </c:pt>
                  <c:pt idx="31">
                    <c:v>75</c:v>
                  </c:pt>
                  <c:pt idx="32">
                    <c:v>76</c:v>
                  </c:pt>
                  <c:pt idx="33">
                    <c:v>77</c:v>
                  </c:pt>
                  <c:pt idx="34">
                    <c:v>78</c:v>
                  </c:pt>
                  <c:pt idx="35">
                    <c:v>79</c:v>
                  </c:pt>
                  <c:pt idx="36">
                    <c:v>80</c:v>
                  </c:pt>
                  <c:pt idx="37">
                    <c:v>81</c:v>
                  </c:pt>
                  <c:pt idx="38">
                    <c:v>82</c:v>
                  </c:pt>
                </c:lvl>
                <c:lvl>
                  <c:pt idx="0">
                    <c:v>europe</c:v>
                  </c:pt>
                  <c:pt idx="13">
                    <c:v>japan</c:v>
                  </c:pt>
                  <c:pt idx="26">
                    <c:v>usa</c:v>
                  </c:pt>
                </c:lvl>
              </c:multiLvlStrCache>
            </c:multiLvlStrRef>
          </c:cat>
          <c:val>
            <c:numRef>
              <c:f>'Fuel Efficiency Trends'!$C$3:$C$45</c:f>
              <c:numCache>
                <c:formatCode>General</c:formatCode>
                <c:ptCount val="39"/>
                <c:pt idx="0">
                  <c:v>25.2</c:v>
                </c:pt>
                <c:pt idx="1">
                  <c:v>28.75</c:v>
                </c:pt>
                <c:pt idx="2">
                  <c:v>22</c:v>
                </c:pt>
                <c:pt idx="3">
                  <c:v>24</c:v>
                </c:pt>
                <c:pt idx="4">
                  <c:v>27</c:v>
                </c:pt>
                <c:pt idx="5">
                  <c:v>24.5</c:v>
                </c:pt>
                <c:pt idx="6">
                  <c:v>24.25</c:v>
                </c:pt>
                <c:pt idx="7">
                  <c:v>29.25</c:v>
                </c:pt>
                <c:pt idx="8">
                  <c:v>24.95</c:v>
                </c:pt>
                <c:pt idx="9">
                  <c:v>30.449999999999996</c:v>
                </c:pt>
                <c:pt idx="10">
                  <c:v>37.288888888888877</c:v>
                </c:pt>
                <c:pt idx="11">
                  <c:v>31.574999999999999</c:v>
                </c:pt>
                <c:pt idx="12">
                  <c:v>40</c:v>
                </c:pt>
                <c:pt idx="13">
                  <c:v>25.5</c:v>
                </c:pt>
                <c:pt idx="14">
                  <c:v>29.5</c:v>
                </c:pt>
                <c:pt idx="15">
                  <c:v>24.2</c:v>
                </c:pt>
                <c:pt idx="16">
                  <c:v>20</c:v>
                </c:pt>
                <c:pt idx="17">
                  <c:v>29.333333333333332</c:v>
                </c:pt>
                <c:pt idx="18">
                  <c:v>27.5</c:v>
                </c:pt>
                <c:pt idx="19">
                  <c:v>28</c:v>
                </c:pt>
                <c:pt idx="20">
                  <c:v>27.416666666666668</c:v>
                </c:pt>
                <c:pt idx="21">
                  <c:v>29.6875</c:v>
                </c:pt>
                <c:pt idx="22">
                  <c:v>32.950000000000003</c:v>
                </c:pt>
                <c:pt idx="23">
                  <c:v>35.400000000000006</c:v>
                </c:pt>
                <c:pt idx="24">
                  <c:v>32.958333333333329</c:v>
                </c:pt>
                <c:pt idx="25">
                  <c:v>34.888888888888886</c:v>
                </c:pt>
                <c:pt idx="26">
                  <c:v>15.272727272727273</c:v>
                </c:pt>
                <c:pt idx="27">
                  <c:v>18.100000000000001</c:v>
                </c:pt>
                <c:pt idx="28">
                  <c:v>16.277777777777779</c:v>
                </c:pt>
                <c:pt idx="29">
                  <c:v>15.03448275862069</c:v>
                </c:pt>
                <c:pt idx="30">
                  <c:v>18.333333333333332</c:v>
                </c:pt>
                <c:pt idx="31">
                  <c:v>17.55</c:v>
                </c:pt>
                <c:pt idx="32">
                  <c:v>19.431818181818183</c:v>
                </c:pt>
                <c:pt idx="33">
                  <c:v>20.722222222222221</c:v>
                </c:pt>
                <c:pt idx="34">
                  <c:v>21.772727272727266</c:v>
                </c:pt>
                <c:pt idx="35">
                  <c:v>23.478260869565219</c:v>
                </c:pt>
                <c:pt idx="36">
                  <c:v>25.914285714285715</c:v>
                </c:pt>
                <c:pt idx="37">
                  <c:v>27.530769230769234</c:v>
                </c:pt>
                <c:pt idx="38">
                  <c:v>29.45</c:v>
                </c:pt>
              </c:numCache>
            </c:numRef>
          </c:val>
          <c:smooth val="0"/>
          <c:extLst>
            <c:ext xmlns:c16="http://schemas.microsoft.com/office/drawing/2014/chart" uri="{C3380CC4-5D6E-409C-BE32-E72D297353CC}">
              <c16:uniqueId val="{00000000-4B2E-4555-B405-7DCCDC452E28}"/>
            </c:ext>
          </c:extLst>
        </c:ser>
        <c:dLbls>
          <c:showLegendKey val="0"/>
          <c:showVal val="0"/>
          <c:showCatName val="0"/>
          <c:showSerName val="0"/>
          <c:showPercent val="0"/>
          <c:showBubbleSize val="0"/>
        </c:dLbls>
        <c:marker val="1"/>
        <c:smooth val="0"/>
        <c:axId val="725342672"/>
        <c:axId val="725341712"/>
      </c:lineChart>
      <c:catAx>
        <c:axId val="725342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25341712"/>
        <c:crosses val="autoZero"/>
        <c:auto val="1"/>
        <c:lblAlgn val="ctr"/>
        <c:lblOffset val="100"/>
        <c:noMultiLvlLbl val="0"/>
      </c:catAx>
      <c:valAx>
        <c:axId val="72534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25342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[Automobile.xlsx]Fuel Efficiency Trends!PivotTable1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Average</a:t>
            </a:r>
            <a:r>
              <a:rPr lang="pt-BR" baseline="0"/>
              <a:t> Horsepower by Cylinders</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c:spPr>
      </c:pivotFmt>
    </c:pivotFmts>
    <c:plotArea>
      <c:layout/>
      <c:barChart>
        <c:barDir val="bar"/>
        <c:grouping val="clustered"/>
        <c:varyColors val="0"/>
        <c:ser>
          <c:idx val="0"/>
          <c:order val="0"/>
          <c:tx>
            <c:strRef>
              <c:f>'Fuel Efficiency Trends'!$L$2</c:f>
              <c:strCache>
                <c:ptCount val="1"/>
                <c:pt idx="0">
                  <c:v>Total</c:v>
                </c:pt>
              </c:strCache>
            </c:strRef>
          </c:tx>
          <c:spPr>
            <a:solidFill>
              <a:srgbClr val="0070C0"/>
            </a:solidFill>
            <a:ln>
              <a:noFill/>
            </a:ln>
            <a:effectLst/>
          </c:spPr>
          <c:invertIfNegative val="0"/>
          <c:trendline>
            <c:spPr>
              <a:ln w="19050" cap="rnd">
                <a:solidFill>
                  <a:srgbClr val="00B0F0"/>
                </a:solidFill>
                <a:prstDash val="sysDot"/>
              </a:ln>
              <a:effectLst/>
            </c:spPr>
            <c:trendlineType val="linear"/>
            <c:dispRSqr val="0"/>
            <c:dispEq val="0"/>
          </c:trendline>
          <c:cat>
            <c:strRef>
              <c:f>'Fuel Efficiency Trends'!$K$3:$K$8</c:f>
              <c:strCache>
                <c:ptCount val="5"/>
                <c:pt idx="0">
                  <c:v>3</c:v>
                </c:pt>
                <c:pt idx="1">
                  <c:v>4</c:v>
                </c:pt>
                <c:pt idx="2">
                  <c:v>5</c:v>
                </c:pt>
                <c:pt idx="3">
                  <c:v>6</c:v>
                </c:pt>
                <c:pt idx="4">
                  <c:v>8</c:v>
                </c:pt>
              </c:strCache>
            </c:strRef>
          </c:cat>
          <c:val>
            <c:numRef>
              <c:f>'Fuel Efficiency Trends'!$L$3:$L$8</c:f>
              <c:numCache>
                <c:formatCode>General</c:formatCode>
                <c:ptCount val="5"/>
                <c:pt idx="0">
                  <c:v>99.25</c:v>
                </c:pt>
                <c:pt idx="1">
                  <c:v>78.281407035175874</c:v>
                </c:pt>
                <c:pt idx="2">
                  <c:v>82.333333333333329</c:v>
                </c:pt>
                <c:pt idx="3">
                  <c:v>101.50602409638554</c:v>
                </c:pt>
                <c:pt idx="4">
                  <c:v>158.30097087378641</c:v>
                </c:pt>
              </c:numCache>
            </c:numRef>
          </c:val>
          <c:extLst>
            <c:ext xmlns:c16="http://schemas.microsoft.com/office/drawing/2014/chart" uri="{C3380CC4-5D6E-409C-BE32-E72D297353CC}">
              <c16:uniqueId val="{00000000-A749-4D12-84B1-83B592DF3A80}"/>
            </c:ext>
          </c:extLst>
        </c:ser>
        <c:dLbls>
          <c:dLblPos val="outEnd"/>
          <c:showLegendKey val="0"/>
          <c:showVal val="0"/>
          <c:showCatName val="0"/>
          <c:showSerName val="0"/>
          <c:showPercent val="0"/>
          <c:showBubbleSize val="0"/>
        </c:dLbls>
        <c:gapWidth val="182"/>
        <c:axId val="621402576"/>
        <c:axId val="612456464"/>
      </c:barChart>
      <c:catAx>
        <c:axId val="6214025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12456464"/>
        <c:crosses val="autoZero"/>
        <c:auto val="1"/>
        <c:lblAlgn val="ctr"/>
        <c:lblOffset val="100"/>
        <c:noMultiLvlLbl val="0"/>
      </c:catAx>
      <c:valAx>
        <c:axId val="612456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2140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
        <cx:txData>
          <cx:v>Outliers in MPG</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panose="020F0502020204030204"/>
            </a:rPr>
            <a:t>Outliers in MPG</a:t>
          </a:r>
        </a:p>
      </cx:txPr>
    </cx:title>
    <cx:plotArea>
      <cx:plotAreaRegion>
        <cx:series layoutId="boxWhisker" uniqueId="{F3118C8C-B1E6-466E-B9BE-2C37039D5A0D}">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data id="1">
      <cx:numDim type="val">
        <cx:f>_xlchart.v1.5</cx:f>
      </cx:numDim>
    </cx:data>
    <cx:data id="2">
      <cx:numDim type="val">
        <cx:f>_xlchart.v1.7</cx:f>
      </cx:numDim>
    </cx:data>
  </cx:chartData>
  <cx:chart>
    <cx:title pos="t" align="ctr" overlay="0">
      <cx:tx>
        <cx:txData>
          <cx:v>Statistics in a Scatter Chart</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panose="020F0502020204030204"/>
            </a:rPr>
            <a:t>Statistics in a Scatter Chart</a:t>
          </a:r>
        </a:p>
      </cx:txPr>
    </cx:title>
    <cx:plotArea>
      <cx:plotAreaRegion>
        <cx:series layoutId="boxWhisker" uniqueId="{4BB9D8A5-F170-4E82-A703-090184DC4264}">
          <cx:tx>
            <cx:txData>
              <cx:f>_xlchart.v1.2</cx:f>
              <cx:v>mpg</cx:v>
            </cx:txData>
          </cx:tx>
          <cx:dataId val="0"/>
          <cx:layoutPr>
            <cx:visibility meanLine="0" meanMarker="1" nonoutliers="0" outliers="1"/>
            <cx:statistics quartileMethod="exclusive"/>
          </cx:layoutPr>
        </cx:series>
        <cx:series layoutId="boxWhisker" uniqueId="{1604927E-8E57-48A2-9E11-20C7BD91EE86}">
          <cx:tx>
            <cx:txData>
              <cx:f>_xlchart.v1.4</cx:f>
              <cx:v>horsepower</cx:v>
            </cx:txData>
          </cx:tx>
          <cx:dataId val="1"/>
          <cx:layoutPr>
            <cx:visibility meanLine="0" meanMarker="1" nonoutliers="0" outliers="1"/>
            <cx:statistics quartileMethod="exclusive"/>
          </cx:layoutPr>
        </cx:series>
        <cx:series layoutId="boxWhisker" uniqueId="{2A1EC6C2-E242-4505-9D69-6F831246D825}">
          <cx:tx>
            <cx:txData>
              <cx:f>_xlchart.v1.6</cx:f>
              <cx:v>acceleration</cx:v>
            </cx:txData>
          </cx:tx>
          <cx:dataId val="2"/>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t"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mpg</cx:v>
        </cx:txData>
      </cx:tx>
      <cx:txPr>
        <a:bodyPr rot="0" spcFirstLastPara="1" vertOverflow="ellipsis" vert="horz" wrap="square" lIns="38100" tIns="19050" rIns="38100" bIns="19050" anchor="ctr" anchorCtr="1" compatLnSpc="0"/>
        <a:lstStyle/>
        <a:p>
          <a:pPr algn="ctr" rtl="0">
            <a:defRPr sz="1400" b="0" i="0" u="none" strike="noStrike" kern="1200" spc="0" baseline="0">
              <a:solidFill>
                <a:sysClr val="windowText" lastClr="000000">
                  <a:lumMod val="65000"/>
                  <a:lumOff val="35000"/>
                </a:sysClr>
              </a:solidFill>
              <a:latin typeface="+mn-lt"/>
              <a:ea typeface="+mn-ea"/>
              <a:cs typeface="+mn-cs"/>
            </a:defRPr>
          </a:pPr>
          <a:r>
            <a:rPr kumimoji="0" lang="en-US"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mpg</a:t>
          </a:r>
        </a:p>
      </cx:txPr>
    </cx:title>
    <cx:plotArea>
      <cx:plotAreaRegion>
        <cx:series layoutId="clusteredColumn" uniqueId="{BE65AF9B-74BF-46E7-833C-9006C1BFF150}">
          <cx:tx>
            <cx:txData>
              <cx:f>_xlchart.v1.8</cx:f>
              <cx:v>mpg</cx:v>
            </cx:txData>
          </cx:tx>
          <cx:dataId val="0"/>
          <cx:layoutPr>
            <cx:binning intervalClosed="r"/>
          </cx:layoutPr>
        </cx:series>
      </cx:plotAreaRegion>
      <cx:axis id="0">
        <cx:catScaling/>
        <cx:title>
          <cx:tx>
            <cx:txData>
              <cx:v>MPG Values</cx:v>
            </cx:txData>
          </cx:tx>
          <cx:txPr>
            <a:bodyPr spcFirstLastPara="1" vertOverflow="ellipsis" horzOverflow="overflow" wrap="square" lIns="0" tIns="0" rIns="0" bIns="0" anchor="ctr" anchorCtr="1"/>
            <a:lstStyle/>
            <a:p>
              <a:pPr algn="ctr" rtl="0">
                <a:defRPr/>
              </a:pPr>
              <a:r>
                <a:rPr lang="en-GB" sz="1000" b="0" i="0" u="none" strike="noStrike" kern="1200" baseline="0">
                  <a:solidFill>
                    <a:sysClr val="windowText" lastClr="000000">
                      <a:lumMod val="65000"/>
                      <a:lumOff val="35000"/>
                    </a:sysClr>
                  </a:solidFill>
                  <a:latin typeface="Calibri" panose="020F0502020204030204"/>
                </a:rPr>
                <a:t>MPG Values</a:t>
              </a:r>
            </a:p>
          </cx:txPr>
        </cx:title>
        <cx:majorGridlines/>
        <cx:tickLabels/>
      </cx:axis>
      <cx:axis id="1">
        <cx:valScaling/>
        <cx:title>
          <cx:tx>
            <cx:txData>
              <cx:v>Record Ranges</cx:v>
            </cx:txData>
          </cx:tx>
          <cx:txPr>
            <a:bodyPr spcFirstLastPara="1" vertOverflow="ellipsis" horzOverflow="overflow" wrap="square" lIns="0" tIns="0" rIns="0" bIns="0" anchor="ctr" anchorCtr="1"/>
            <a:lstStyle/>
            <a:p>
              <a:pPr algn="ctr" rtl="0">
                <a:defRPr/>
              </a:pPr>
              <a:r>
                <a:rPr lang="en-GB" sz="1000" b="0" i="0" u="none" strike="noStrike" kern="1200" baseline="0">
                  <a:solidFill>
                    <a:sysClr val="windowText" lastClr="000000">
                      <a:lumMod val="65000"/>
                      <a:lumOff val="35000"/>
                    </a:sysClr>
                  </a:solidFill>
                  <a:latin typeface="Calibri" panose="020F0502020204030204"/>
                </a:rPr>
                <a:t>Record Ranges</a:t>
              </a:r>
            </a:p>
          </cx:txPr>
        </cx:title>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horsepower</cx:v>
        </cx:txData>
      </cx:tx>
      <cx:txPr>
        <a:bodyPr rot="0" spcFirstLastPara="1" vertOverflow="ellipsis" vert="horz" wrap="square" lIns="38100" tIns="19050" rIns="38100" bIns="19050" anchor="ctr" anchorCtr="1" compatLnSpc="0"/>
        <a:lstStyle/>
        <a:p>
          <a:pPr algn="ctr" rtl="0">
            <a:defRPr sz="1400" b="0" i="0" u="none" strike="noStrike" kern="1200" spc="0" baseline="0">
              <a:solidFill>
                <a:sysClr val="windowText" lastClr="000000">
                  <a:lumMod val="65000"/>
                  <a:lumOff val="35000"/>
                </a:sysClr>
              </a:solidFill>
              <a:latin typeface="+mn-lt"/>
              <a:ea typeface="+mn-ea"/>
              <a:cs typeface="+mn-cs"/>
            </a:defRPr>
          </a:pPr>
          <a:r>
            <a:rPr kumimoji="0" lang="en-US"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horsepower</a:t>
          </a:r>
        </a:p>
      </cx:txPr>
    </cx:title>
    <cx:plotArea>
      <cx:plotAreaRegion>
        <cx:series layoutId="clusteredColumn" uniqueId="{70061BC2-AB74-4870-8A9E-47027284AA5C}">
          <cx:tx>
            <cx:txData>
              <cx:f>_xlchart.v1.10</cx:f>
              <cx:v>horsepower</cx:v>
            </cx:txData>
          </cx:tx>
          <cx:dataId val="0"/>
          <cx:layoutPr>
            <cx:binning intervalClosed="r"/>
          </cx:layoutPr>
        </cx:series>
      </cx:plotAreaRegion>
      <cx:axis id="0">
        <cx:catScaling gapWidth="0.330000013"/>
        <cx:title>
          <cx:tx>
            <cx:txData>
              <cx:v/>
            </cx:txData>
          </cx:tx>
          <cx:txPr>
            <a:bodyPr spcFirstLastPara="1" vertOverflow="ellipsis" horzOverflow="overflow" wrap="square" lIns="0" tIns="0" rIns="0" bIns="0" anchor="ctr" anchorCtr="1"/>
            <a:lstStyle/>
            <a:p>
              <a:pPr algn="ctr" rtl="0">
                <a:defRPr/>
              </a:pPr>
              <a:endParaRPr lang="en-GB" sz="1000" b="0" i="0" u="none" strike="noStrike" kern="1200" baseline="0">
                <a:solidFill>
                  <a:sysClr val="windowText" lastClr="000000">
                    <a:lumMod val="65000"/>
                    <a:lumOff val="35000"/>
                  </a:sysClr>
                </a:solidFill>
                <a:latin typeface="Calibri" panose="020F0502020204030204"/>
              </a:endParaRPr>
            </a:p>
          </cx:txPr>
        </cx:title>
        <cx:majorGridlines/>
        <cx:tickLabels/>
      </cx:axis>
      <cx:axis id="1">
        <cx:valScaling/>
        <cx:title>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GB" sz="1000" b="0" i="0" u="none" strike="noStrike" kern="1200"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Record Ranges</a:t>
                </a:r>
                <a:endParaRPr lang="pt-BR">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n-GB" sz="1000" b="0" i="0" u="none" strike="noStrike" kern="1200" baseline="0">
                  <a:solidFill>
                    <a:sysClr val="windowText" lastClr="000000">
                      <a:lumMod val="65000"/>
                      <a:lumOff val="35000"/>
                    </a:sysClr>
                  </a:solidFill>
                  <a:latin typeface="Calibri" panose="020F0502020204030204"/>
                </a:endParaRPr>
              </a:p>
            </cx:rich>
          </cx:tx>
        </cx:title>
        <cx:majorGridlines/>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txData>
          <cx:v>acceleration</cx:v>
        </cx:txData>
      </cx:tx>
      <cx:txPr>
        <a:bodyPr rot="0" spcFirstLastPara="1" vertOverflow="ellipsis" vert="horz" wrap="square" lIns="38100" tIns="19050" rIns="38100" bIns="19050" anchor="ctr" anchorCtr="1" compatLnSpc="0"/>
        <a:lstStyle/>
        <a:p>
          <a:pPr algn="ctr" rtl="0">
            <a:defRPr sz="1400" b="0" i="0" u="none" strike="noStrike" kern="1200" spc="0" baseline="0">
              <a:solidFill>
                <a:sysClr val="windowText" lastClr="000000">
                  <a:lumMod val="65000"/>
                  <a:lumOff val="35000"/>
                </a:sysClr>
              </a:solidFill>
              <a:latin typeface="+mn-lt"/>
              <a:ea typeface="+mn-ea"/>
              <a:cs typeface="+mn-cs"/>
            </a:defRPr>
          </a:pPr>
          <a:r>
            <a:rPr kumimoji="0" lang="en-US" sz="1400" b="0" i="0" u="none" strike="noStrike" kern="1200" cap="none" spc="0" normalizeH="0" baseline="0" noProof="0">
              <a:ln>
                <a:noFill/>
              </a:ln>
              <a:solidFill>
                <a:sysClr val="windowText" lastClr="000000">
                  <a:lumMod val="65000"/>
                  <a:lumOff val="35000"/>
                </a:sysClr>
              </a:solidFill>
              <a:effectLst/>
              <a:uLnTx/>
              <a:uFillTx/>
              <a:latin typeface="Calibri" panose="020F0502020204030204"/>
            </a:rPr>
            <a:t>acceleration</a:t>
          </a:r>
        </a:p>
      </cx:txPr>
    </cx:title>
    <cx:plotArea>
      <cx:plotAreaRegion>
        <cx:series layoutId="clusteredColumn" uniqueId="{05851A5C-3AC8-45E8-8E35-06B22B7D38ED}">
          <cx:tx>
            <cx:txData>
              <cx:f>_xlchart.v1.12</cx:f>
              <cx:v>acceleration</cx:v>
            </cx:txData>
          </cx:tx>
          <cx:dataId val="0"/>
          <cx:layoutPr>
            <cx:binning intervalClosed="r"/>
          </cx:layoutPr>
        </cx:series>
      </cx:plotAreaRegion>
      <cx:axis id="0">
        <cx:catScaling/>
        <cx:title>
          <cx:tx>
            <cx:txData>
              <cx:v>Acceleration Ranges</cx:v>
            </cx:txData>
          </cx:tx>
          <cx:txPr>
            <a:bodyPr spcFirstLastPara="1" vertOverflow="ellipsis" horzOverflow="overflow" wrap="square" lIns="0" tIns="0" rIns="0" bIns="0" anchor="ctr" anchorCtr="1"/>
            <a:lstStyle/>
            <a:p>
              <a:pPr algn="ctr" rtl="0">
                <a:defRPr/>
              </a:pPr>
              <a:r>
                <a:rPr lang="en-GB" sz="1000" b="0" i="0" u="none" strike="noStrike" kern="1200" baseline="0">
                  <a:solidFill>
                    <a:sysClr val="windowText" lastClr="000000">
                      <a:lumMod val="65000"/>
                      <a:lumOff val="35000"/>
                    </a:sysClr>
                  </a:solidFill>
                  <a:latin typeface="Calibri" panose="020F0502020204030204"/>
                </a:rPr>
                <a:t>Acceleration Ranges</a:t>
              </a:r>
            </a:p>
          </cx:txPr>
        </cx:title>
        <cx:majorGridlines/>
        <cx:tickLabels/>
      </cx:axis>
      <cx:axis id="1">
        <cx:valScaling/>
        <cx:title>
          <cx:tx>
            <cx:txData>
              <cx:v>frequency</cx:v>
            </cx:txData>
          </cx:tx>
          <cx:txPr>
            <a:bodyPr spcFirstLastPara="1" vertOverflow="ellipsis" horzOverflow="overflow" wrap="square" lIns="0" tIns="0" rIns="0" bIns="0" anchor="ctr" anchorCtr="1"/>
            <a:lstStyle/>
            <a:p>
              <a:pPr algn="ctr" rtl="0">
                <a:defRPr/>
              </a:pPr>
              <a:r>
                <a:rPr lang="en-GB" sz="1000" b="0" i="0" u="none" strike="noStrike" kern="1200" baseline="0">
                  <a:solidFill>
                    <a:sysClr val="windowText" lastClr="000000">
                      <a:lumMod val="65000"/>
                      <a:lumOff val="35000"/>
                    </a:sysClr>
                  </a:solidFill>
                  <a:latin typeface="Calibri" panose="020F0502020204030204"/>
                </a:rPr>
                <a:t>frequency</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0">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tx1"/>
    </cs:fontRef>
    <cs:spPr>
      <a:ln w="9525" cap="rnd">
        <a:solidFill>
          <a:schemeClr val="phClr">
            <a:alpha val="50000"/>
          </a:scheme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15000"/>
            <a:lumOff val="8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microsoft.com/office/2014/relationships/chartEx" Target="../charts/chartEx4.xml"/><Relationship Id="rId2" Type="http://schemas.microsoft.com/office/2014/relationships/chartEx" Target="../charts/chartEx3.xml"/><Relationship Id="rId1" Type="http://schemas.microsoft.com/office/2014/relationships/chartEx" Target="../charts/chartEx2.xml"/><Relationship Id="rId5" Type="http://schemas.openxmlformats.org/officeDocument/2006/relationships/image" Target="../media/image1.png"/><Relationship Id="rId4" Type="http://schemas.microsoft.com/office/2014/relationships/chartEx" Target="../charts/chartEx5.xml"/></Relationships>
</file>

<file path=xl/drawings/_rels/drawing7.xml.rels><?xml version="1.0" encoding="UTF-8" standalone="yes"?>
<Relationships xmlns="http://schemas.openxmlformats.org/package/2006/relationships"><Relationship Id="rId3" Type="http://schemas.openxmlformats.org/officeDocument/2006/relationships/hyperlink" Target="#'Fuel Efficiency Trends'!A1"/><Relationship Id="rId2" Type="http://schemas.openxmlformats.org/officeDocument/2006/relationships/hyperlink" Target="#'Data Table'!A1"/><Relationship Id="rId1" Type="http://schemas.openxmlformats.org/officeDocument/2006/relationships/hyperlink" Target="#Dashboard!A1"/><Relationship Id="rId5" Type="http://schemas.openxmlformats.org/officeDocument/2006/relationships/hyperlink" Target="https://www.pngall.com/convertible-car-png/" TargetMode="External"/><Relationship Id="rId4" Type="http://schemas.openxmlformats.org/officeDocument/2006/relationships/image" Target="../media/image2.png"/></Relationships>
</file>

<file path=xl/drawings/_rels/drawing8.xml.rels><?xml version="1.0" encoding="UTF-8" standalone="yes"?>
<Relationships xmlns="http://schemas.openxmlformats.org/package/2006/relationships"><Relationship Id="rId8" Type="http://schemas.openxmlformats.org/officeDocument/2006/relationships/hyperlink" Target="#'Fuel Efficiency Trends'!A1"/><Relationship Id="rId3" Type="http://schemas.openxmlformats.org/officeDocument/2006/relationships/chart" Target="../charts/chart7.xml"/><Relationship Id="rId7" Type="http://schemas.openxmlformats.org/officeDocument/2006/relationships/hyperlink" Target="#'Data Table'!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hyperlink" Target="#Dashboard!A1"/><Relationship Id="rId5" Type="http://schemas.openxmlformats.org/officeDocument/2006/relationships/chart" Target="../charts/chart9.xml"/><Relationship Id="rId10" Type="http://schemas.openxmlformats.org/officeDocument/2006/relationships/hyperlink" Target="https://www.pngall.com/convertible-car-png/" TargetMode="External"/><Relationship Id="rId4" Type="http://schemas.openxmlformats.org/officeDocument/2006/relationships/chart" Target="../charts/chart8.xml"/><Relationship Id="rId9" Type="http://schemas.openxmlformats.org/officeDocument/2006/relationships/image" Target="../media/image3.png"/></Relationships>
</file>

<file path=xl/drawings/_rels/drawing9.xml.rels><?xml version="1.0" encoding="UTF-8" standalone="yes"?>
<Relationships xmlns="http://schemas.openxmlformats.org/package/2006/relationships"><Relationship Id="rId3" Type="http://schemas.openxmlformats.org/officeDocument/2006/relationships/hyperlink" Target="#'Fuel Efficiency Trends'!A1"/><Relationship Id="rId7" Type="http://schemas.openxmlformats.org/officeDocument/2006/relationships/chart" Target="../charts/chart11.xml"/><Relationship Id="rId2" Type="http://schemas.openxmlformats.org/officeDocument/2006/relationships/hyperlink" Target="#'Data Table'!A1"/><Relationship Id="rId1" Type="http://schemas.openxmlformats.org/officeDocument/2006/relationships/hyperlink" Target="#Dashboard!A1"/><Relationship Id="rId6" Type="http://schemas.openxmlformats.org/officeDocument/2006/relationships/chart" Target="../charts/chart10.xml"/><Relationship Id="rId5" Type="http://schemas.openxmlformats.org/officeDocument/2006/relationships/hyperlink" Target="https://www.pngall.com/convertible-car-png/" TargetMode="Externa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11</xdr:col>
      <xdr:colOff>44824</xdr:colOff>
      <xdr:row>1</xdr:row>
      <xdr:rowOff>26894</xdr:rowOff>
    </xdr:from>
    <xdr:to>
      <xdr:col>18</xdr:col>
      <xdr:colOff>349624</xdr:colOff>
      <xdr:row>16</xdr:row>
      <xdr:rowOff>80682</xdr:rowOff>
    </xdr:to>
    <xdr:graphicFrame macro="">
      <xdr:nvGraphicFramePr>
        <xdr:cNvPr id="6" name="Chart 5">
          <a:extLst>
            <a:ext uri="{FF2B5EF4-FFF2-40B4-BE49-F238E27FC236}">
              <a16:creationId xmlns:a16="http://schemas.microsoft.com/office/drawing/2014/main" id="{5BB7C651-7A3B-4D45-80B3-43608555D2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39688</xdr:colOff>
      <xdr:row>4</xdr:row>
      <xdr:rowOff>158750</xdr:rowOff>
    </xdr:from>
    <xdr:to>
      <xdr:col>11</xdr:col>
      <xdr:colOff>15875</xdr:colOff>
      <xdr:row>24</xdr:row>
      <xdr:rowOff>182561</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31E7E72E-5810-D332-7176-8C703342CF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308668" y="1256030"/>
              <a:ext cx="5881687" cy="3681411"/>
            </a:xfrm>
            <a:prstGeom prst="rect">
              <a:avLst/>
            </a:prstGeom>
            <a:solidFill>
              <a:prstClr val="white"/>
            </a:solidFill>
            <a:ln w="1">
              <a:solidFill>
                <a:prstClr val="green"/>
              </a:solidFill>
            </a:ln>
          </xdr:spPr>
          <xdr:txBody>
            <a:bodyPr vertOverflow="clip" horzOverflow="clip"/>
            <a:lstStyle/>
            <a:p>
              <a:r>
                <a:rPr lang="pt-B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99060</xdr:colOff>
      <xdr:row>1</xdr:row>
      <xdr:rowOff>102870</xdr:rowOff>
    </xdr:from>
    <xdr:to>
      <xdr:col>14</xdr:col>
      <xdr:colOff>320040</xdr:colOff>
      <xdr:row>27</xdr:row>
      <xdr:rowOff>60960</xdr:rowOff>
    </xdr:to>
    <xdr:graphicFrame macro="">
      <xdr:nvGraphicFramePr>
        <xdr:cNvPr id="2" name="Chart 1">
          <a:extLst>
            <a:ext uri="{FF2B5EF4-FFF2-40B4-BE49-F238E27FC236}">
              <a16:creationId xmlns:a16="http://schemas.microsoft.com/office/drawing/2014/main" id="{BB5CE59F-6F02-A844-3399-44AD2235E1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518160</xdr:colOff>
      <xdr:row>10</xdr:row>
      <xdr:rowOff>171450</xdr:rowOff>
    </xdr:from>
    <xdr:to>
      <xdr:col>9</xdr:col>
      <xdr:colOff>647700</xdr:colOff>
      <xdr:row>27</xdr:row>
      <xdr:rowOff>99060</xdr:rowOff>
    </xdr:to>
    <xdr:graphicFrame macro="">
      <xdr:nvGraphicFramePr>
        <xdr:cNvPr id="2" name="Chart 1">
          <a:extLst>
            <a:ext uri="{FF2B5EF4-FFF2-40B4-BE49-F238E27FC236}">
              <a16:creationId xmlns:a16="http://schemas.microsoft.com/office/drawing/2014/main" id="{E7EB63ED-9FC4-43B0-289D-459B700D32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548640</xdr:colOff>
      <xdr:row>3</xdr:row>
      <xdr:rowOff>156210</xdr:rowOff>
    </xdr:from>
    <xdr:to>
      <xdr:col>11</xdr:col>
      <xdr:colOff>198120</xdr:colOff>
      <xdr:row>25</xdr:row>
      <xdr:rowOff>7620</xdr:rowOff>
    </xdr:to>
    <xdr:graphicFrame macro="">
      <xdr:nvGraphicFramePr>
        <xdr:cNvPr id="3" name="Chart 2">
          <a:extLst>
            <a:ext uri="{FF2B5EF4-FFF2-40B4-BE49-F238E27FC236}">
              <a16:creationId xmlns:a16="http://schemas.microsoft.com/office/drawing/2014/main" id="{0808DCAD-9269-7638-4605-A4BC05B4AD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15</xdr:col>
      <xdr:colOff>205835</xdr:colOff>
      <xdr:row>1</xdr:row>
      <xdr:rowOff>34399</xdr:rowOff>
    </xdr:from>
    <xdr:to>
      <xdr:col>24</xdr:col>
      <xdr:colOff>207863</xdr:colOff>
      <xdr:row>17</xdr:row>
      <xdr:rowOff>161039</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C137D439-E848-1EC9-D96D-A20DB6E85C7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4615255" y="407779"/>
              <a:ext cx="8955528" cy="3060340"/>
            </a:xfrm>
            <a:prstGeom prst="rect">
              <a:avLst/>
            </a:prstGeom>
            <a:solidFill>
              <a:prstClr val="white"/>
            </a:solidFill>
            <a:ln w="1">
              <a:solidFill>
                <a:prstClr val="green"/>
              </a:solidFill>
            </a:ln>
          </xdr:spPr>
          <xdr:txBody>
            <a:bodyPr vertOverflow="clip" horzOverflow="clip"/>
            <a:lstStyle/>
            <a:p>
              <a:r>
                <a:rPr lang="pt-B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82122</xdr:colOff>
      <xdr:row>1</xdr:row>
      <xdr:rowOff>24372</xdr:rowOff>
    </xdr:from>
    <xdr:to>
      <xdr:col>14</xdr:col>
      <xdr:colOff>708998</xdr:colOff>
      <xdr:row>15</xdr:row>
      <xdr:rowOff>143453</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C271500C-F1B6-51E9-E935-BB7ED931DD3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21422" y="397752"/>
              <a:ext cx="4574036" cy="2679401"/>
            </a:xfrm>
            <a:prstGeom prst="rect">
              <a:avLst/>
            </a:prstGeom>
            <a:solidFill>
              <a:prstClr val="white"/>
            </a:solidFill>
            <a:ln w="1">
              <a:solidFill>
                <a:prstClr val="green"/>
              </a:solidFill>
            </a:ln>
          </xdr:spPr>
          <xdr:txBody>
            <a:bodyPr vertOverflow="clip" horzOverflow="clip"/>
            <a:lstStyle/>
            <a:p>
              <a:r>
                <a:rPr lang="pt-B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107674</xdr:colOff>
      <xdr:row>19</xdr:row>
      <xdr:rowOff>36443</xdr:rowOff>
    </xdr:from>
    <xdr:to>
      <xdr:col>14</xdr:col>
      <xdr:colOff>728869</xdr:colOff>
      <xdr:row>34</xdr:row>
      <xdr:rowOff>38100</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89E7C1C0-20C0-AE40-7D13-A6724479577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46974" y="3716903"/>
              <a:ext cx="4568355" cy="2752477"/>
            </a:xfrm>
            <a:prstGeom prst="rect">
              <a:avLst/>
            </a:prstGeom>
            <a:solidFill>
              <a:prstClr val="white"/>
            </a:solidFill>
            <a:ln w="1">
              <a:solidFill>
                <a:prstClr val="green"/>
              </a:solidFill>
            </a:ln>
          </xdr:spPr>
          <xdr:txBody>
            <a:bodyPr vertOverflow="clip" horzOverflow="clip"/>
            <a:lstStyle/>
            <a:p>
              <a:r>
                <a:rPr lang="pt-B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91108</xdr:colOff>
      <xdr:row>37</xdr:row>
      <xdr:rowOff>36443</xdr:rowOff>
    </xdr:from>
    <xdr:to>
      <xdr:col>14</xdr:col>
      <xdr:colOff>712303</xdr:colOff>
      <xdr:row>52</xdr:row>
      <xdr:rowOff>38100</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0B0EB450-5EFF-44FB-BB3C-0CBF753993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9730408" y="7023983"/>
              <a:ext cx="4568355" cy="2752477"/>
            </a:xfrm>
            <a:prstGeom prst="rect">
              <a:avLst/>
            </a:prstGeom>
            <a:solidFill>
              <a:prstClr val="white"/>
            </a:solidFill>
            <a:ln w="1">
              <a:solidFill>
                <a:prstClr val="green"/>
              </a:solidFill>
            </a:ln>
          </xdr:spPr>
          <xdr:txBody>
            <a:bodyPr vertOverflow="clip" horzOverflow="clip"/>
            <a:lstStyle/>
            <a:p>
              <a:r>
                <a:rPr lang="pt-BR"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12</xdr:col>
      <xdr:colOff>164732</xdr:colOff>
      <xdr:row>32</xdr:row>
      <xdr:rowOff>97537</xdr:rowOff>
    </xdr:from>
    <xdr:to>
      <xdr:col>13</xdr:col>
      <xdr:colOff>131401</xdr:colOff>
      <xdr:row>34</xdr:row>
      <xdr:rowOff>6747</xdr:rowOff>
    </xdr:to>
    <xdr:pic>
      <xdr:nvPicPr>
        <xdr:cNvPr id="11" name="Picture 10">
          <a:extLst>
            <a:ext uri="{FF2B5EF4-FFF2-40B4-BE49-F238E27FC236}">
              <a16:creationId xmlns:a16="http://schemas.microsoft.com/office/drawing/2014/main" id="{1638BF1D-6A69-42F4-B6AE-2B458E4110BA}"/>
            </a:ext>
          </a:extLst>
        </xdr:cNvPr>
        <xdr:cNvPicPr>
          <a:picLocks noChangeAspect="1"/>
        </xdr:cNvPicPr>
      </xdr:nvPicPr>
      <xdr:blipFill>
        <a:blip xmlns:r="http://schemas.openxmlformats.org/officeDocument/2006/relationships" r:embed="rId5"/>
        <a:stretch>
          <a:fillRect/>
        </a:stretch>
      </xdr:blipFill>
      <xdr:spPr>
        <a:xfrm>
          <a:off x="11015091" y="6134922"/>
          <a:ext cx="774259" cy="28044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121920</xdr:colOff>
      <xdr:row>5</xdr:row>
      <xdr:rowOff>68580</xdr:rowOff>
    </xdr:from>
    <xdr:to>
      <xdr:col>0</xdr:col>
      <xdr:colOff>1303020</xdr:colOff>
      <xdr:row>8</xdr:row>
      <xdr:rowOff>7620</xdr:rowOff>
    </xdr:to>
    <xdr:grpSp>
      <xdr:nvGrpSpPr>
        <xdr:cNvPr id="32" name="Group 31">
          <a:hlinkClick xmlns:r="http://schemas.openxmlformats.org/officeDocument/2006/relationships" r:id="rId1"/>
          <a:extLst>
            <a:ext uri="{FF2B5EF4-FFF2-40B4-BE49-F238E27FC236}">
              <a16:creationId xmlns:a16="http://schemas.microsoft.com/office/drawing/2014/main" id="{34969194-B753-4295-91A4-BE7D1E19AFA1}"/>
            </a:ext>
          </a:extLst>
        </xdr:cNvPr>
        <xdr:cNvGrpSpPr/>
      </xdr:nvGrpSpPr>
      <xdr:grpSpPr>
        <a:xfrm>
          <a:off x="121920" y="1165860"/>
          <a:ext cx="1181100" cy="487680"/>
          <a:chOff x="121920" y="3162300"/>
          <a:chExt cx="1173480" cy="487680"/>
        </a:xfrm>
      </xdr:grpSpPr>
      <xdr:sp macro="" textlink="">
        <xdr:nvSpPr>
          <xdr:cNvPr id="33" name="Rectangle: Rounded Corners 32">
            <a:extLst>
              <a:ext uri="{FF2B5EF4-FFF2-40B4-BE49-F238E27FC236}">
                <a16:creationId xmlns:a16="http://schemas.microsoft.com/office/drawing/2014/main" id="{8EA436B2-4D9F-9318-FBCE-367BC0399992}"/>
              </a:ext>
            </a:extLst>
          </xdr:cNvPr>
          <xdr:cNvSpPr/>
        </xdr:nvSpPr>
        <xdr:spPr>
          <a:xfrm>
            <a:off x="121920" y="316230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4" name="TextBox 33">
            <a:extLst>
              <a:ext uri="{FF2B5EF4-FFF2-40B4-BE49-F238E27FC236}">
                <a16:creationId xmlns:a16="http://schemas.microsoft.com/office/drawing/2014/main" id="{C50908AB-562D-576A-9705-F6DB318572E0}"/>
              </a:ext>
            </a:extLst>
          </xdr:cNvPr>
          <xdr:cNvSpPr txBox="1"/>
        </xdr:nvSpPr>
        <xdr:spPr>
          <a:xfrm>
            <a:off x="144780" y="325374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Dashboard</a:t>
            </a:r>
          </a:p>
        </xdr:txBody>
      </xdr:sp>
    </xdr:grpSp>
    <xdr:clientData/>
  </xdr:twoCellAnchor>
  <xdr:twoCellAnchor>
    <xdr:from>
      <xdr:col>0</xdr:col>
      <xdr:colOff>121920</xdr:colOff>
      <xdr:row>9</xdr:row>
      <xdr:rowOff>148590</xdr:rowOff>
    </xdr:from>
    <xdr:to>
      <xdr:col>0</xdr:col>
      <xdr:colOff>1303020</xdr:colOff>
      <xdr:row>12</xdr:row>
      <xdr:rowOff>87630</xdr:rowOff>
    </xdr:to>
    <xdr:grpSp>
      <xdr:nvGrpSpPr>
        <xdr:cNvPr id="35" name="Group 34">
          <a:extLst>
            <a:ext uri="{FF2B5EF4-FFF2-40B4-BE49-F238E27FC236}">
              <a16:creationId xmlns:a16="http://schemas.microsoft.com/office/drawing/2014/main" id="{F07B2E6C-835E-4965-86C7-31787AE380B0}"/>
            </a:ext>
          </a:extLst>
        </xdr:cNvPr>
        <xdr:cNvGrpSpPr/>
      </xdr:nvGrpSpPr>
      <xdr:grpSpPr>
        <a:xfrm>
          <a:off x="121920" y="1977390"/>
          <a:ext cx="1181100" cy="487680"/>
          <a:chOff x="121920" y="3973830"/>
          <a:chExt cx="1173480" cy="487680"/>
        </a:xfrm>
      </xdr:grpSpPr>
      <xdr:sp macro="" textlink="">
        <xdr:nvSpPr>
          <xdr:cNvPr id="36" name="Rectangle: Rounded Corners 35">
            <a:hlinkClick xmlns:r="http://schemas.openxmlformats.org/officeDocument/2006/relationships" r:id="rId2"/>
            <a:extLst>
              <a:ext uri="{FF2B5EF4-FFF2-40B4-BE49-F238E27FC236}">
                <a16:creationId xmlns:a16="http://schemas.microsoft.com/office/drawing/2014/main" id="{576867D0-F0BC-6673-DF17-979E54C89A90}"/>
              </a:ext>
            </a:extLst>
          </xdr:cNvPr>
          <xdr:cNvSpPr/>
        </xdr:nvSpPr>
        <xdr:spPr>
          <a:xfrm>
            <a:off x="121920" y="397383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37" name="TextBox 36">
            <a:hlinkClick xmlns:r="http://schemas.openxmlformats.org/officeDocument/2006/relationships" r:id="rId2"/>
            <a:extLst>
              <a:ext uri="{FF2B5EF4-FFF2-40B4-BE49-F238E27FC236}">
                <a16:creationId xmlns:a16="http://schemas.microsoft.com/office/drawing/2014/main" id="{54F07117-B01B-EC19-2DCA-597C55EF2471}"/>
              </a:ext>
            </a:extLst>
          </xdr:cNvPr>
          <xdr:cNvSpPr txBox="1"/>
        </xdr:nvSpPr>
        <xdr:spPr>
          <a:xfrm>
            <a:off x="144780" y="407670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Dataset</a:t>
            </a:r>
          </a:p>
        </xdr:txBody>
      </xdr:sp>
    </xdr:grpSp>
    <xdr:clientData/>
  </xdr:twoCellAnchor>
  <xdr:twoCellAnchor>
    <xdr:from>
      <xdr:col>0</xdr:col>
      <xdr:colOff>121920</xdr:colOff>
      <xdr:row>14</xdr:row>
      <xdr:rowOff>45720</xdr:rowOff>
    </xdr:from>
    <xdr:to>
      <xdr:col>0</xdr:col>
      <xdr:colOff>1303020</xdr:colOff>
      <xdr:row>16</xdr:row>
      <xdr:rowOff>167640</xdr:rowOff>
    </xdr:to>
    <xdr:grpSp>
      <xdr:nvGrpSpPr>
        <xdr:cNvPr id="38" name="Group 37">
          <a:extLst>
            <a:ext uri="{FF2B5EF4-FFF2-40B4-BE49-F238E27FC236}">
              <a16:creationId xmlns:a16="http://schemas.microsoft.com/office/drawing/2014/main" id="{34BD4A5F-C3E8-4879-92B5-3F332AAC02D1}"/>
            </a:ext>
          </a:extLst>
        </xdr:cNvPr>
        <xdr:cNvGrpSpPr/>
      </xdr:nvGrpSpPr>
      <xdr:grpSpPr>
        <a:xfrm>
          <a:off x="121920" y="2788920"/>
          <a:ext cx="1181100" cy="487680"/>
          <a:chOff x="121920" y="4785360"/>
          <a:chExt cx="1173480" cy="487680"/>
        </a:xfrm>
      </xdr:grpSpPr>
      <xdr:sp macro="" textlink="">
        <xdr:nvSpPr>
          <xdr:cNvPr id="39" name="Rectangle: Rounded Corners 38">
            <a:extLst>
              <a:ext uri="{FF2B5EF4-FFF2-40B4-BE49-F238E27FC236}">
                <a16:creationId xmlns:a16="http://schemas.microsoft.com/office/drawing/2014/main" id="{52BEE86E-B2FE-C9F8-A1F3-AD7E6BDBA14F}"/>
              </a:ext>
            </a:extLst>
          </xdr:cNvPr>
          <xdr:cNvSpPr/>
        </xdr:nvSpPr>
        <xdr:spPr>
          <a:xfrm>
            <a:off x="121920" y="478536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40" name="TextBox 39">
            <a:hlinkClick xmlns:r="http://schemas.openxmlformats.org/officeDocument/2006/relationships" r:id="rId3"/>
            <a:extLst>
              <a:ext uri="{FF2B5EF4-FFF2-40B4-BE49-F238E27FC236}">
                <a16:creationId xmlns:a16="http://schemas.microsoft.com/office/drawing/2014/main" id="{08AB6788-9121-3A5F-438A-BA7E78131C3D}"/>
              </a:ext>
            </a:extLst>
          </xdr:cNvPr>
          <xdr:cNvSpPr txBox="1"/>
        </xdr:nvSpPr>
        <xdr:spPr>
          <a:xfrm>
            <a:off x="144780" y="488442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Analysis</a:t>
            </a:r>
          </a:p>
        </xdr:txBody>
      </xdr:sp>
    </xdr:grpSp>
    <xdr:clientData/>
  </xdr:twoCellAnchor>
  <xdr:twoCellAnchor editAs="oneCell">
    <xdr:from>
      <xdr:col>0</xdr:col>
      <xdr:colOff>15273</xdr:colOff>
      <xdr:row>0</xdr:row>
      <xdr:rowOff>220980</xdr:rowOff>
    </xdr:from>
    <xdr:to>
      <xdr:col>0</xdr:col>
      <xdr:colOff>1386840</xdr:colOff>
      <xdr:row>4</xdr:row>
      <xdr:rowOff>60960</xdr:rowOff>
    </xdr:to>
    <xdr:pic>
      <xdr:nvPicPr>
        <xdr:cNvPr id="41" name="Picture 40">
          <a:extLst>
            <a:ext uri="{FF2B5EF4-FFF2-40B4-BE49-F238E27FC236}">
              <a16:creationId xmlns:a16="http://schemas.microsoft.com/office/drawing/2014/main" id="{16DF0946-282E-49E4-B718-695ADDFA8A1C}"/>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837473B0-CC2E-450A-ABE3-18F120FF3D39}">
              <a1611:picAttrSrcUrl xmlns:a1611="http://schemas.microsoft.com/office/drawing/2016/11/main" r:id="rId5"/>
            </a:ext>
          </a:extLst>
        </a:blip>
        <a:stretch>
          <a:fillRect/>
        </a:stretch>
      </xdr:blipFill>
      <xdr:spPr>
        <a:xfrm>
          <a:off x="15273" y="220980"/>
          <a:ext cx="1371567" cy="75438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13</xdr:col>
      <xdr:colOff>259080</xdr:colOff>
      <xdr:row>28</xdr:row>
      <xdr:rowOff>99060</xdr:rowOff>
    </xdr:from>
    <xdr:to>
      <xdr:col>19</xdr:col>
      <xdr:colOff>1051560</xdr:colOff>
      <xdr:row>43</xdr:row>
      <xdr:rowOff>99060</xdr:rowOff>
    </xdr:to>
    <xdr:graphicFrame macro="">
      <xdr:nvGraphicFramePr>
        <xdr:cNvPr id="2" name="Chart 1">
          <a:extLst>
            <a:ext uri="{FF2B5EF4-FFF2-40B4-BE49-F238E27FC236}">
              <a16:creationId xmlns:a16="http://schemas.microsoft.com/office/drawing/2014/main" id="{9D6D1A1F-C1B1-4F97-820D-EF484D1192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685800</xdr:colOff>
      <xdr:row>1</xdr:row>
      <xdr:rowOff>41910</xdr:rowOff>
    </xdr:from>
    <xdr:to>
      <xdr:col>8</xdr:col>
      <xdr:colOff>670560</xdr:colOff>
      <xdr:row>16</xdr:row>
      <xdr:rowOff>41910</xdr:rowOff>
    </xdr:to>
    <xdr:graphicFrame macro="">
      <xdr:nvGraphicFramePr>
        <xdr:cNvPr id="3" name="Chart 2">
          <a:extLst>
            <a:ext uri="{FF2B5EF4-FFF2-40B4-BE49-F238E27FC236}">
              <a16:creationId xmlns:a16="http://schemas.microsoft.com/office/drawing/2014/main" id="{DE752417-361F-3504-8DCA-BBE57C7E4B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655320</xdr:colOff>
      <xdr:row>9</xdr:row>
      <xdr:rowOff>49530</xdr:rowOff>
    </xdr:from>
    <xdr:to>
      <xdr:col>15</xdr:col>
      <xdr:colOff>777240</xdr:colOff>
      <xdr:row>24</xdr:row>
      <xdr:rowOff>49530</xdr:rowOff>
    </xdr:to>
    <xdr:graphicFrame macro="">
      <xdr:nvGraphicFramePr>
        <xdr:cNvPr id="4" name="Chart 3">
          <a:extLst>
            <a:ext uri="{FF2B5EF4-FFF2-40B4-BE49-F238E27FC236}">
              <a16:creationId xmlns:a16="http://schemas.microsoft.com/office/drawing/2014/main" id="{93CB8AC5-3CF5-5EA4-901E-8B6618CA78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601980</xdr:colOff>
      <xdr:row>7</xdr:row>
      <xdr:rowOff>49530</xdr:rowOff>
    </xdr:from>
    <xdr:to>
      <xdr:col>27</xdr:col>
      <xdr:colOff>449580</xdr:colOff>
      <xdr:row>22</xdr:row>
      <xdr:rowOff>49530</xdr:rowOff>
    </xdr:to>
    <xdr:graphicFrame macro="">
      <xdr:nvGraphicFramePr>
        <xdr:cNvPr id="6" name="Chart 5">
          <a:extLst>
            <a:ext uri="{FF2B5EF4-FFF2-40B4-BE49-F238E27FC236}">
              <a16:creationId xmlns:a16="http://schemas.microsoft.com/office/drawing/2014/main" id="{2FE920EA-D2C8-1227-C57D-4A0764828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487680</xdr:colOff>
      <xdr:row>17</xdr:row>
      <xdr:rowOff>7621</xdr:rowOff>
    </xdr:from>
    <xdr:to>
      <xdr:col>5</xdr:col>
      <xdr:colOff>464820</xdr:colOff>
      <xdr:row>26</xdr:row>
      <xdr:rowOff>45721</xdr:rowOff>
    </xdr:to>
    <mc:AlternateContent xmlns:mc="http://schemas.openxmlformats.org/markup-compatibility/2006" xmlns:a14="http://schemas.microsoft.com/office/drawing/2010/main">
      <mc:Choice Requires="a14">
        <xdr:graphicFrame macro="">
          <xdr:nvGraphicFramePr>
            <xdr:cNvPr id="13" name="cylinders">
              <a:extLst>
                <a:ext uri="{FF2B5EF4-FFF2-40B4-BE49-F238E27FC236}">
                  <a16:creationId xmlns:a16="http://schemas.microsoft.com/office/drawing/2014/main" id="{1FEFC1F6-0E99-61C9-0B96-5E250A40923D}"/>
                </a:ext>
              </a:extLst>
            </xdr:cNvPr>
            <xdr:cNvGraphicFramePr/>
          </xdr:nvGraphicFramePr>
          <xdr:xfrm>
            <a:off x="0" y="0"/>
            <a:ext cx="0" cy="0"/>
          </xdr:xfrm>
          <a:graphic>
            <a:graphicData uri="http://schemas.microsoft.com/office/drawing/2010/slicer">
              <sle:slicer xmlns:sle="http://schemas.microsoft.com/office/drawing/2010/slicer" name="cylinders"/>
            </a:graphicData>
          </a:graphic>
        </xdr:graphicFrame>
      </mc:Choice>
      <mc:Fallback xmlns="">
        <xdr:sp macro="" textlink="">
          <xdr:nvSpPr>
            <xdr:cNvPr id="0" name=""/>
            <xdr:cNvSpPr>
              <a:spLocks noTextEdit="1"/>
            </xdr:cNvSpPr>
          </xdr:nvSpPr>
          <xdr:spPr>
            <a:xfrm>
              <a:off x="2339340" y="3116581"/>
              <a:ext cx="1828800" cy="168402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541020</xdr:colOff>
      <xdr:row>17</xdr:row>
      <xdr:rowOff>0</xdr:rowOff>
    </xdr:from>
    <xdr:to>
      <xdr:col>7</xdr:col>
      <xdr:colOff>495300</xdr:colOff>
      <xdr:row>38</xdr:row>
      <xdr:rowOff>45720</xdr:rowOff>
    </xdr:to>
    <mc:AlternateContent xmlns:mc="http://schemas.openxmlformats.org/markup-compatibility/2006" xmlns:a14="http://schemas.microsoft.com/office/drawing/2010/main">
      <mc:Choice Requires="a14">
        <xdr:graphicFrame macro="">
          <xdr:nvGraphicFramePr>
            <xdr:cNvPr id="14" name="model_year">
              <a:extLst>
                <a:ext uri="{FF2B5EF4-FFF2-40B4-BE49-F238E27FC236}">
                  <a16:creationId xmlns:a16="http://schemas.microsoft.com/office/drawing/2014/main" id="{0DA24B0D-FF7F-B823-8031-85B6CEAF028B}"/>
                </a:ext>
              </a:extLst>
            </xdr:cNvPr>
            <xdr:cNvGraphicFramePr/>
          </xdr:nvGraphicFramePr>
          <xdr:xfrm>
            <a:off x="0" y="0"/>
            <a:ext cx="0" cy="0"/>
          </xdr:xfrm>
          <a:graphic>
            <a:graphicData uri="http://schemas.microsoft.com/office/drawing/2010/slicer">
              <sle:slicer xmlns:sle="http://schemas.microsoft.com/office/drawing/2010/slicer" name="model_year"/>
            </a:graphicData>
          </a:graphic>
        </xdr:graphicFrame>
      </mc:Choice>
      <mc:Fallback xmlns="">
        <xdr:sp macro="" textlink="">
          <xdr:nvSpPr>
            <xdr:cNvPr id="0" name=""/>
            <xdr:cNvSpPr>
              <a:spLocks noTextEdit="1"/>
            </xdr:cNvSpPr>
          </xdr:nvSpPr>
          <xdr:spPr>
            <a:xfrm>
              <a:off x="4244340" y="3108960"/>
              <a:ext cx="1828800" cy="388620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662940</xdr:colOff>
      <xdr:row>17</xdr:row>
      <xdr:rowOff>15241</xdr:rowOff>
    </xdr:from>
    <xdr:to>
      <xdr:col>9</xdr:col>
      <xdr:colOff>693420</xdr:colOff>
      <xdr:row>23</xdr:row>
      <xdr:rowOff>83821</xdr:rowOff>
    </xdr:to>
    <mc:AlternateContent xmlns:mc="http://schemas.openxmlformats.org/markup-compatibility/2006" xmlns:a14="http://schemas.microsoft.com/office/drawing/2010/main">
      <mc:Choice Requires="a14">
        <xdr:graphicFrame macro="">
          <xdr:nvGraphicFramePr>
            <xdr:cNvPr id="15" name="origin">
              <a:extLst>
                <a:ext uri="{FF2B5EF4-FFF2-40B4-BE49-F238E27FC236}">
                  <a16:creationId xmlns:a16="http://schemas.microsoft.com/office/drawing/2014/main" id="{1744F93F-96ED-B3EF-DCFD-87AC5600D29F}"/>
                </a:ext>
              </a:extLst>
            </xdr:cNvPr>
            <xdr:cNvGraphicFramePr/>
          </xdr:nvGraphicFramePr>
          <xdr:xfrm>
            <a:off x="0" y="0"/>
            <a:ext cx="0" cy="0"/>
          </xdr:xfrm>
          <a:graphic>
            <a:graphicData uri="http://schemas.microsoft.com/office/drawing/2010/slicer">
              <sle:slicer xmlns:sle="http://schemas.microsoft.com/office/drawing/2010/slicer" name="origin"/>
            </a:graphicData>
          </a:graphic>
        </xdr:graphicFrame>
      </mc:Choice>
      <mc:Fallback xmlns="">
        <xdr:sp macro="" textlink="">
          <xdr:nvSpPr>
            <xdr:cNvPr id="0" name=""/>
            <xdr:cNvSpPr>
              <a:spLocks noTextEdit="1"/>
            </xdr:cNvSpPr>
          </xdr:nvSpPr>
          <xdr:spPr>
            <a:xfrm>
              <a:off x="6240780" y="3124201"/>
              <a:ext cx="1828800" cy="116586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22860</xdr:colOff>
      <xdr:row>0</xdr:row>
      <xdr:rowOff>68580</xdr:rowOff>
    </xdr:from>
    <xdr:to>
      <xdr:col>17</xdr:col>
      <xdr:colOff>784860</xdr:colOff>
      <xdr:row>9</xdr:row>
      <xdr:rowOff>106680</xdr:rowOff>
    </xdr:to>
    <mc:AlternateContent xmlns:mc="http://schemas.openxmlformats.org/markup-compatibility/2006" xmlns:a14="http://schemas.microsoft.com/office/drawing/2010/main">
      <mc:Choice Requires="a14">
        <xdr:graphicFrame macro="">
          <xdr:nvGraphicFramePr>
            <xdr:cNvPr id="16" name="cylinders 1">
              <a:extLst>
                <a:ext uri="{FF2B5EF4-FFF2-40B4-BE49-F238E27FC236}">
                  <a16:creationId xmlns:a16="http://schemas.microsoft.com/office/drawing/2014/main" id="{1E18F58E-7DEC-3233-69B7-FAFD9E1D1D4A}"/>
                </a:ext>
              </a:extLst>
            </xdr:cNvPr>
            <xdr:cNvGraphicFramePr/>
          </xdr:nvGraphicFramePr>
          <xdr:xfrm>
            <a:off x="0" y="0"/>
            <a:ext cx="0" cy="0"/>
          </xdr:xfrm>
          <a:graphic>
            <a:graphicData uri="http://schemas.microsoft.com/office/drawing/2010/slicer">
              <sle:slicer xmlns:sle="http://schemas.microsoft.com/office/drawing/2010/slicer" name="cylinders 1"/>
            </a:graphicData>
          </a:graphic>
        </xdr:graphicFrame>
      </mc:Choice>
      <mc:Fallback xmlns="">
        <xdr:sp macro="" textlink="">
          <xdr:nvSpPr>
            <xdr:cNvPr id="0" name=""/>
            <xdr:cNvSpPr>
              <a:spLocks noTextEdit="1"/>
            </xdr:cNvSpPr>
          </xdr:nvSpPr>
          <xdr:spPr>
            <a:xfrm>
              <a:off x="13792200" y="68580"/>
              <a:ext cx="1828800" cy="168402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38100</xdr:colOff>
      <xdr:row>10</xdr:row>
      <xdr:rowOff>53340</xdr:rowOff>
    </xdr:from>
    <xdr:to>
      <xdr:col>17</xdr:col>
      <xdr:colOff>800100</xdr:colOff>
      <xdr:row>23</xdr:row>
      <xdr:rowOff>142875</xdr:rowOff>
    </xdr:to>
    <mc:AlternateContent xmlns:mc="http://schemas.openxmlformats.org/markup-compatibility/2006" xmlns:a14="http://schemas.microsoft.com/office/drawing/2010/main">
      <mc:Choice Requires="a14">
        <xdr:graphicFrame macro="">
          <xdr:nvGraphicFramePr>
            <xdr:cNvPr id="17" name="model_year 1">
              <a:extLst>
                <a:ext uri="{FF2B5EF4-FFF2-40B4-BE49-F238E27FC236}">
                  <a16:creationId xmlns:a16="http://schemas.microsoft.com/office/drawing/2014/main" id="{50CD5250-CEDA-F227-1D06-93A96651DBBD}"/>
                </a:ext>
              </a:extLst>
            </xdr:cNvPr>
            <xdr:cNvGraphicFramePr/>
          </xdr:nvGraphicFramePr>
          <xdr:xfrm>
            <a:off x="0" y="0"/>
            <a:ext cx="0" cy="0"/>
          </xdr:xfrm>
          <a:graphic>
            <a:graphicData uri="http://schemas.microsoft.com/office/drawing/2010/slicer">
              <sle:slicer xmlns:sle="http://schemas.microsoft.com/office/drawing/2010/slicer" name="model_year 1"/>
            </a:graphicData>
          </a:graphic>
        </xdr:graphicFrame>
      </mc:Choice>
      <mc:Fallback xmlns="">
        <xdr:sp macro="" textlink="">
          <xdr:nvSpPr>
            <xdr:cNvPr id="0" name=""/>
            <xdr:cNvSpPr>
              <a:spLocks noTextEdit="1"/>
            </xdr:cNvSpPr>
          </xdr:nvSpPr>
          <xdr:spPr>
            <a:xfrm>
              <a:off x="13807440" y="1882140"/>
              <a:ext cx="1828800" cy="2466975"/>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594360</xdr:colOff>
      <xdr:row>1</xdr:row>
      <xdr:rowOff>45720</xdr:rowOff>
    </xdr:from>
    <xdr:to>
      <xdr:col>14</xdr:col>
      <xdr:colOff>289560</xdr:colOff>
      <xdr:row>7</xdr:row>
      <xdr:rowOff>114301</xdr:rowOff>
    </xdr:to>
    <mc:AlternateContent xmlns:mc="http://schemas.openxmlformats.org/markup-compatibility/2006" xmlns:a14="http://schemas.microsoft.com/office/drawing/2010/main">
      <mc:Choice Requires="a14">
        <xdr:graphicFrame macro="">
          <xdr:nvGraphicFramePr>
            <xdr:cNvPr id="18" name="origin 1">
              <a:extLst>
                <a:ext uri="{FF2B5EF4-FFF2-40B4-BE49-F238E27FC236}">
                  <a16:creationId xmlns:a16="http://schemas.microsoft.com/office/drawing/2014/main" id="{ABDD3CA7-F99B-7747-E7D4-E7170417971E}"/>
                </a:ext>
              </a:extLst>
            </xdr:cNvPr>
            <xdr:cNvGraphicFramePr/>
          </xdr:nvGraphicFramePr>
          <xdr:xfrm>
            <a:off x="0" y="0"/>
            <a:ext cx="0" cy="0"/>
          </xdr:xfrm>
          <a:graphic>
            <a:graphicData uri="http://schemas.microsoft.com/office/drawing/2010/slicer">
              <sle:slicer xmlns:sle="http://schemas.microsoft.com/office/drawing/2010/slicer" name="origin 1"/>
            </a:graphicData>
          </a:graphic>
        </xdr:graphicFrame>
      </mc:Choice>
      <mc:Fallback xmlns="">
        <xdr:sp macro="" textlink="">
          <xdr:nvSpPr>
            <xdr:cNvPr id="0" name=""/>
            <xdr:cNvSpPr>
              <a:spLocks noTextEdit="1"/>
            </xdr:cNvSpPr>
          </xdr:nvSpPr>
          <xdr:spPr>
            <a:xfrm>
              <a:off x="11513820" y="228600"/>
              <a:ext cx="1828800" cy="1165861"/>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281940</xdr:colOff>
      <xdr:row>16</xdr:row>
      <xdr:rowOff>11430</xdr:rowOff>
    </xdr:from>
    <xdr:to>
      <xdr:col>36</xdr:col>
      <xdr:colOff>15240</xdr:colOff>
      <xdr:row>31</xdr:row>
      <xdr:rowOff>11430</xdr:rowOff>
    </xdr:to>
    <xdr:graphicFrame macro="">
      <xdr:nvGraphicFramePr>
        <xdr:cNvPr id="19" name="Chart 18">
          <a:extLst>
            <a:ext uri="{FF2B5EF4-FFF2-40B4-BE49-F238E27FC236}">
              <a16:creationId xmlns:a16="http://schemas.microsoft.com/office/drawing/2014/main" id="{CB80F654-0A2D-485E-C55C-13B15CB939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358140</xdr:colOff>
      <xdr:row>0</xdr:row>
      <xdr:rowOff>99060</xdr:rowOff>
    </xdr:from>
    <xdr:to>
      <xdr:col>38</xdr:col>
      <xdr:colOff>53340</xdr:colOff>
      <xdr:row>9</xdr:row>
      <xdr:rowOff>144779</xdr:rowOff>
    </xdr:to>
    <mc:AlternateContent xmlns:mc="http://schemas.openxmlformats.org/markup-compatibility/2006" xmlns:a14="http://schemas.microsoft.com/office/drawing/2010/main">
      <mc:Choice Requires="a14">
        <xdr:graphicFrame macro="">
          <xdr:nvGraphicFramePr>
            <xdr:cNvPr id="20" name="cylinders 2">
              <a:extLst>
                <a:ext uri="{FF2B5EF4-FFF2-40B4-BE49-F238E27FC236}">
                  <a16:creationId xmlns:a16="http://schemas.microsoft.com/office/drawing/2014/main" id="{F39BC17D-0327-6903-7EF3-9150D3E39000}"/>
                </a:ext>
              </a:extLst>
            </xdr:cNvPr>
            <xdr:cNvGraphicFramePr/>
          </xdr:nvGraphicFramePr>
          <xdr:xfrm>
            <a:off x="0" y="0"/>
            <a:ext cx="0" cy="0"/>
          </xdr:xfrm>
          <a:graphic>
            <a:graphicData uri="http://schemas.microsoft.com/office/drawing/2010/slicer">
              <sle:slicer xmlns:sle="http://schemas.microsoft.com/office/drawing/2010/slicer" name="cylinders 2"/>
            </a:graphicData>
          </a:graphic>
        </xdr:graphicFrame>
      </mc:Choice>
      <mc:Fallback xmlns="">
        <xdr:sp macro="" textlink="">
          <xdr:nvSpPr>
            <xdr:cNvPr id="0" name=""/>
            <xdr:cNvSpPr>
              <a:spLocks noTextEdit="1"/>
            </xdr:cNvSpPr>
          </xdr:nvSpPr>
          <xdr:spPr>
            <a:xfrm>
              <a:off x="35303460" y="99060"/>
              <a:ext cx="1828800" cy="1691639"/>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358140</xdr:colOff>
      <xdr:row>11</xdr:row>
      <xdr:rowOff>0</xdr:rowOff>
    </xdr:from>
    <xdr:to>
      <xdr:col>38</xdr:col>
      <xdr:colOff>53340</xdr:colOff>
      <xdr:row>24</xdr:row>
      <xdr:rowOff>89535</xdr:rowOff>
    </xdr:to>
    <mc:AlternateContent xmlns:mc="http://schemas.openxmlformats.org/markup-compatibility/2006" xmlns:a14="http://schemas.microsoft.com/office/drawing/2010/main">
      <mc:Choice Requires="a14">
        <xdr:graphicFrame macro="">
          <xdr:nvGraphicFramePr>
            <xdr:cNvPr id="21" name="model_year 2">
              <a:extLst>
                <a:ext uri="{FF2B5EF4-FFF2-40B4-BE49-F238E27FC236}">
                  <a16:creationId xmlns:a16="http://schemas.microsoft.com/office/drawing/2014/main" id="{4CB41233-3D12-DB51-098C-E412B15CDC18}"/>
                </a:ext>
              </a:extLst>
            </xdr:cNvPr>
            <xdr:cNvGraphicFramePr/>
          </xdr:nvGraphicFramePr>
          <xdr:xfrm>
            <a:off x="0" y="0"/>
            <a:ext cx="0" cy="0"/>
          </xdr:xfrm>
          <a:graphic>
            <a:graphicData uri="http://schemas.microsoft.com/office/drawing/2010/slicer">
              <sle:slicer xmlns:sle="http://schemas.microsoft.com/office/drawing/2010/slicer" name="model_year 2"/>
            </a:graphicData>
          </a:graphic>
        </xdr:graphicFrame>
      </mc:Choice>
      <mc:Fallback xmlns="">
        <xdr:sp macro="" textlink="">
          <xdr:nvSpPr>
            <xdr:cNvPr id="0" name=""/>
            <xdr:cNvSpPr>
              <a:spLocks noTextEdit="1"/>
            </xdr:cNvSpPr>
          </xdr:nvSpPr>
          <xdr:spPr>
            <a:xfrm>
              <a:off x="35303460" y="2011680"/>
              <a:ext cx="1828800" cy="2466975"/>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342900</xdr:colOff>
      <xdr:row>25</xdr:row>
      <xdr:rowOff>144780</xdr:rowOff>
    </xdr:from>
    <xdr:to>
      <xdr:col>38</xdr:col>
      <xdr:colOff>38100</xdr:colOff>
      <xdr:row>32</xdr:row>
      <xdr:rowOff>22859</xdr:rowOff>
    </xdr:to>
    <mc:AlternateContent xmlns:mc="http://schemas.openxmlformats.org/markup-compatibility/2006" xmlns:a14="http://schemas.microsoft.com/office/drawing/2010/main">
      <mc:Choice Requires="a14">
        <xdr:graphicFrame macro="">
          <xdr:nvGraphicFramePr>
            <xdr:cNvPr id="22" name="origin 2">
              <a:extLst>
                <a:ext uri="{FF2B5EF4-FFF2-40B4-BE49-F238E27FC236}">
                  <a16:creationId xmlns:a16="http://schemas.microsoft.com/office/drawing/2014/main" id="{9A0F4443-5F51-AAA9-AFEA-5D70D164CF81}"/>
                </a:ext>
              </a:extLst>
            </xdr:cNvPr>
            <xdr:cNvGraphicFramePr/>
          </xdr:nvGraphicFramePr>
          <xdr:xfrm>
            <a:off x="0" y="0"/>
            <a:ext cx="0" cy="0"/>
          </xdr:xfrm>
          <a:graphic>
            <a:graphicData uri="http://schemas.microsoft.com/office/drawing/2010/slicer">
              <sle:slicer xmlns:sle="http://schemas.microsoft.com/office/drawing/2010/slicer" name="origin 2"/>
            </a:graphicData>
          </a:graphic>
        </xdr:graphicFrame>
      </mc:Choice>
      <mc:Fallback xmlns="">
        <xdr:sp macro="" textlink="">
          <xdr:nvSpPr>
            <xdr:cNvPr id="0" name=""/>
            <xdr:cNvSpPr>
              <a:spLocks noTextEdit="1"/>
            </xdr:cNvSpPr>
          </xdr:nvSpPr>
          <xdr:spPr>
            <a:xfrm>
              <a:off x="35288220" y="4716780"/>
              <a:ext cx="1828800" cy="1158239"/>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121920</xdr:colOff>
      <xdr:row>6</xdr:row>
      <xdr:rowOff>53340</xdr:rowOff>
    </xdr:from>
    <xdr:to>
      <xdr:col>0</xdr:col>
      <xdr:colOff>1310640</xdr:colOff>
      <xdr:row>8</xdr:row>
      <xdr:rowOff>175260</xdr:rowOff>
    </xdr:to>
    <xdr:grpSp>
      <xdr:nvGrpSpPr>
        <xdr:cNvPr id="5" name="Group 4">
          <a:hlinkClick xmlns:r="http://schemas.openxmlformats.org/officeDocument/2006/relationships" r:id="rId6"/>
          <a:extLst>
            <a:ext uri="{FF2B5EF4-FFF2-40B4-BE49-F238E27FC236}">
              <a16:creationId xmlns:a16="http://schemas.microsoft.com/office/drawing/2014/main" id="{FAB6BE79-E58A-476B-AA0E-5401D18B8454}"/>
            </a:ext>
          </a:extLst>
        </xdr:cNvPr>
        <xdr:cNvGrpSpPr/>
      </xdr:nvGrpSpPr>
      <xdr:grpSpPr>
        <a:xfrm>
          <a:off x="121920" y="1150620"/>
          <a:ext cx="1188720" cy="487680"/>
          <a:chOff x="121920" y="3162300"/>
          <a:chExt cx="1173480" cy="487680"/>
        </a:xfrm>
      </xdr:grpSpPr>
      <xdr:sp macro="" textlink="">
        <xdr:nvSpPr>
          <xdr:cNvPr id="7" name="Rectangle: Rounded Corners 6">
            <a:extLst>
              <a:ext uri="{FF2B5EF4-FFF2-40B4-BE49-F238E27FC236}">
                <a16:creationId xmlns:a16="http://schemas.microsoft.com/office/drawing/2014/main" id="{83D65529-DCB5-DDDC-A4E2-DCBB4DCF5A0A}"/>
              </a:ext>
            </a:extLst>
          </xdr:cNvPr>
          <xdr:cNvSpPr/>
        </xdr:nvSpPr>
        <xdr:spPr>
          <a:xfrm>
            <a:off x="121920" y="316230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8" name="TextBox 7">
            <a:extLst>
              <a:ext uri="{FF2B5EF4-FFF2-40B4-BE49-F238E27FC236}">
                <a16:creationId xmlns:a16="http://schemas.microsoft.com/office/drawing/2014/main" id="{78F1482B-D055-F0E8-CBAD-59178289555A}"/>
              </a:ext>
            </a:extLst>
          </xdr:cNvPr>
          <xdr:cNvSpPr txBox="1"/>
        </xdr:nvSpPr>
        <xdr:spPr>
          <a:xfrm>
            <a:off x="144780" y="325374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Dashboard</a:t>
            </a:r>
          </a:p>
        </xdr:txBody>
      </xdr:sp>
    </xdr:grpSp>
    <xdr:clientData/>
  </xdr:twoCellAnchor>
  <xdr:twoCellAnchor>
    <xdr:from>
      <xdr:col>0</xdr:col>
      <xdr:colOff>121920</xdr:colOff>
      <xdr:row>10</xdr:row>
      <xdr:rowOff>133350</xdr:rowOff>
    </xdr:from>
    <xdr:to>
      <xdr:col>0</xdr:col>
      <xdr:colOff>1303020</xdr:colOff>
      <xdr:row>13</xdr:row>
      <xdr:rowOff>72390</xdr:rowOff>
    </xdr:to>
    <xdr:grpSp>
      <xdr:nvGrpSpPr>
        <xdr:cNvPr id="9" name="Group 8">
          <a:extLst>
            <a:ext uri="{FF2B5EF4-FFF2-40B4-BE49-F238E27FC236}">
              <a16:creationId xmlns:a16="http://schemas.microsoft.com/office/drawing/2014/main" id="{6632849F-CBF5-49F7-BF20-3C1C99D3F253}"/>
            </a:ext>
          </a:extLst>
        </xdr:cNvPr>
        <xdr:cNvGrpSpPr/>
      </xdr:nvGrpSpPr>
      <xdr:grpSpPr>
        <a:xfrm>
          <a:off x="121920" y="1962150"/>
          <a:ext cx="1181100" cy="487680"/>
          <a:chOff x="121920" y="3973830"/>
          <a:chExt cx="1173480" cy="487680"/>
        </a:xfrm>
      </xdr:grpSpPr>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6EB7A4CB-131D-3168-B504-472E87D3C945}"/>
              </a:ext>
            </a:extLst>
          </xdr:cNvPr>
          <xdr:cNvSpPr/>
        </xdr:nvSpPr>
        <xdr:spPr>
          <a:xfrm>
            <a:off x="121920" y="397383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1" name="TextBox 10">
            <a:hlinkClick xmlns:r="http://schemas.openxmlformats.org/officeDocument/2006/relationships" r:id="rId7"/>
            <a:extLst>
              <a:ext uri="{FF2B5EF4-FFF2-40B4-BE49-F238E27FC236}">
                <a16:creationId xmlns:a16="http://schemas.microsoft.com/office/drawing/2014/main" id="{779C40D5-5692-132A-184D-3921D474B399}"/>
              </a:ext>
            </a:extLst>
          </xdr:cNvPr>
          <xdr:cNvSpPr txBox="1"/>
        </xdr:nvSpPr>
        <xdr:spPr>
          <a:xfrm>
            <a:off x="144780" y="407670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Dataset</a:t>
            </a:r>
          </a:p>
        </xdr:txBody>
      </xdr:sp>
    </xdr:grpSp>
    <xdr:clientData/>
  </xdr:twoCellAnchor>
  <xdr:twoCellAnchor>
    <xdr:from>
      <xdr:col>0</xdr:col>
      <xdr:colOff>137160</xdr:colOff>
      <xdr:row>15</xdr:row>
      <xdr:rowOff>30480</xdr:rowOff>
    </xdr:from>
    <xdr:to>
      <xdr:col>0</xdr:col>
      <xdr:colOff>1310640</xdr:colOff>
      <xdr:row>17</xdr:row>
      <xdr:rowOff>152400</xdr:rowOff>
    </xdr:to>
    <xdr:grpSp>
      <xdr:nvGrpSpPr>
        <xdr:cNvPr id="12" name="Group 11">
          <a:extLst>
            <a:ext uri="{FF2B5EF4-FFF2-40B4-BE49-F238E27FC236}">
              <a16:creationId xmlns:a16="http://schemas.microsoft.com/office/drawing/2014/main" id="{18724712-169C-400B-8B0A-655395FEDA72}"/>
            </a:ext>
          </a:extLst>
        </xdr:cNvPr>
        <xdr:cNvGrpSpPr/>
      </xdr:nvGrpSpPr>
      <xdr:grpSpPr>
        <a:xfrm>
          <a:off x="137160" y="2773680"/>
          <a:ext cx="1173480" cy="487680"/>
          <a:chOff x="121920" y="4785360"/>
          <a:chExt cx="1173480" cy="487680"/>
        </a:xfrm>
      </xdr:grpSpPr>
      <xdr:sp macro="" textlink="">
        <xdr:nvSpPr>
          <xdr:cNvPr id="23" name="Rectangle: Rounded Corners 22">
            <a:extLst>
              <a:ext uri="{FF2B5EF4-FFF2-40B4-BE49-F238E27FC236}">
                <a16:creationId xmlns:a16="http://schemas.microsoft.com/office/drawing/2014/main" id="{5C1E35AF-023C-7A0A-2C75-516DB8AF33FB}"/>
              </a:ext>
            </a:extLst>
          </xdr:cNvPr>
          <xdr:cNvSpPr/>
        </xdr:nvSpPr>
        <xdr:spPr>
          <a:xfrm>
            <a:off x="121920" y="478536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24" name="TextBox 23">
            <a:hlinkClick xmlns:r="http://schemas.openxmlformats.org/officeDocument/2006/relationships" r:id="rId8"/>
            <a:extLst>
              <a:ext uri="{FF2B5EF4-FFF2-40B4-BE49-F238E27FC236}">
                <a16:creationId xmlns:a16="http://schemas.microsoft.com/office/drawing/2014/main" id="{2FE47779-BCB8-9768-1192-0B71EFBC565B}"/>
              </a:ext>
            </a:extLst>
          </xdr:cNvPr>
          <xdr:cNvSpPr txBox="1"/>
        </xdr:nvSpPr>
        <xdr:spPr>
          <a:xfrm>
            <a:off x="144780" y="488442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Analysis</a:t>
            </a:r>
          </a:p>
        </xdr:txBody>
      </xdr:sp>
    </xdr:grpSp>
    <xdr:clientData/>
  </xdr:twoCellAnchor>
  <xdr:twoCellAnchor editAs="oneCell">
    <xdr:from>
      <xdr:col>0</xdr:col>
      <xdr:colOff>0</xdr:colOff>
      <xdr:row>1</xdr:row>
      <xdr:rowOff>15240</xdr:rowOff>
    </xdr:from>
    <xdr:to>
      <xdr:col>0</xdr:col>
      <xdr:colOff>1382469</xdr:colOff>
      <xdr:row>5</xdr:row>
      <xdr:rowOff>38100</xdr:rowOff>
    </xdr:to>
    <xdr:pic>
      <xdr:nvPicPr>
        <xdr:cNvPr id="49" name="Picture 48">
          <a:extLst>
            <a:ext uri="{FF2B5EF4-FFF2-40B4-BE49-F238E27FC236}">
              <a16:creationId xmlns:a16="http://schemas.microsoft.com/office/drawing/2014/main" id="{08268D9E-A7AF-47E7-8532-50C0256FA5AF}"/>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837473B0-CC2E-450A-ABE3-18F120FF3D39}">
              <a1611:picAttrSrcUrl xmlns:a1611="http://schemas.microsoft.com/office/drawing/2016/11/main" r:id="rId10"/>
            </a:ext>
          </a:extLst>
        </a:blip>
        <a:stretch>
          <a:fillRect/>
        </a:stretch>
      </xdr:blipFill>
      <xdr:spPr>
        <a:xfrm>
          <a:off x="0" y="198120"/>
          <a:ext cx="1382469" cy="754380"/>
        </a:xfrm>
        <a:prstGeom prst="rect">
          <a:avLst/>
        </a:prstGeom>
      </xdr:spPr>
    </xdr:pic>
    <xdr:clientData/>
  </xdr:twoCellAnchor>
  <xdr:twoCellAnchor>
    <xdr:from>
      <xdr:col>0</xdr:col>
      <xdr:colOff>121920</xdr:colOff>
      <xdr:row>6</xdr:row>
      <xdr:rowOff>53340</xdr:rowOff>
    </xdr:from>
    <xdr:to>
      <xdr:col>0</xdr:col>
      <xdr:colOff>1295400</xdr:colOff>
      <xdr:row>8</xdr:row>
      <xdr:rowOff>175260</xdr:rowOff>
    </xdr:to>
    <xdr:grpSp>
      <xdr:nvGrpSpPr>
        <xdr:cNvPr id="50" name="Group 49">
          <a:hlinkClick xmlns:r="http://schemas.openxmlformats.org/officeDocument/2006/relationships" r:id="rId6"/>
          <a:extLst>
            <a:ext uri="{FF2B5EF4-FFF2-40B4-BE49-F238E27FC236}">
              <a16:creationId xmlns:a16="http://schemas.microsoft.com/office/drawing/2014/main" id="{E1D5BDC3-A288-40BE-B673-7FFED1A277A1}"/>
            </a:ext>
          </a:extLst>
        </xdr:cNvPr>
        <xdr:cNvGrpSpPr/>
      </xdr:nvGrpSpPr>
      <xdr:grpSpPr>
        <a:xfrm>
          <a:off x="121920" y="1150620"/>
          <a:ext cx="1173480" cy="487680"/>
          <a:chOff x="121920" y="3162300"/>
          <a:chExt cx="1173480" cy="487680"/>
        </a:xfrm>
      </xdr:grpSpPr>
      <xdr:sp macro="" textlink="">
        <xdr:nvSpPr>
          <xdr:cNvPr id="51" name="Rectangle: Rounded Corners 50">
            <a:extLst>
              <a:ext uri="{FF2B5EF4-FFF2-40B4-BE49-F238E27FC236}">
                <a16:creationId xmlns:a16="http://schemas.microsoft.com/office/drawing/2014/main" id="{6362CA41-5111-D0DB-FA74-1A09D1CFD237}"/>
              </a:ext>
            </a:extLst>
          </xdr:cNvPr>
          <xdr:cNvSpPr/>
        </xdr:nvSpPr>
        <xdr:spPr>
          <a:xfrm>
            <a:off x="121920" y="316230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52" name="TextBox 51">
            <a:extLst>
              <a:ext uri="{FF2B5EF4-FFF2-40B4-BE49-F238E27FC236}">
                <a16:creationId xmlns:a16="http://schemas.microsoft.com/office/drawing/2014/main" id="{8F723821-FEFB-F50E-339C-8557F1712370}"/>
              </a:ext>
            </a:extLst>
          </xdr:cNvPr>
          <xdr:cNvSpPr txBox="1"/>
        </xdr:nvSpPr>
        <xdr:spPr>
          <a:xfrm>
            <a:off x="144780" y="325374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Dashboard</a:t>
            </a:r>
          </a:p>
        </xdr:txBody>
      </xdr:sp>
    </xdr:grpSp>
    <xdr:clientData/>
  </xdr:twoCellAnchor>
  <xdr:twoCellAnchor>
    <xdr:from>
      <xdr:col>0</xdr:col>
      <xdr:colOff>121920</xdr:colOff>
      <xdr:row>10</xdr:row>
      <xdr:rowOff>133350</xdr:rowOff>
    </xdr:from>
    <xdr:to>
      <xdr:col>0</xdr:col>
      <xdr:colOff>1295400</xdr:colOff>
      <xdr:row>13</xdr:row>
      <xdr:rowOff>72390</xdr:rowOff>
    </xdr:to>
    <xdr:grpSp>
      <xdr:nvGrpSpPr>
        <xdr:cNvPr id="53" name="Group 52">
          <a:extLst>
            <a:ext uri="{FF2B5EF4-FFF2-40B4-BE49-F238E27FC236}">
              <a16:creationId xmlns:a16="http://schemas.microsoft.com/office/drawing/2014/main" id="{2DC74758-03B6-4A79-8D58-1510643565CE}"/>
            </a:ext>
          </a:extLst>
        </xdr:cNvPr>
        <xdr:cNvGrpSpPr/>
      </xdr:nvGrpSpPr>
      <xdr:grpSpPr>
        <a:xfrm>
          <a:off x="121920" y="1962150"/>
          <a:ext cx="1173480" cy="487680"/>
          <a:chOff x="121920" y="3973830"/>
          <a:chExt cx="1173480" cy="487680"/>
        </a:xfrm>
      </xdr:grpSpPr>
      <xdr:sp macro="" textlink="">
        <xdr:nvSpPr>
          <xdr:cNvPr id="54" name="Rectangle: Rounded Corners 53">
            <a:hlinkClick xmlns:r="http://schemas.openxmlformats.org/officeDocument/2006/relationships" r:id="rId7"/>
            <a:extLst>
              <a:ext uri="{FF2B5EF4-FFF2-40B4-BE49-F238E27FC236}">
                <a16:creationId xmlns:a16="http://schemas.microsoft.com/office/drawing/2014/main" id="{FEF3B45C-CE92-740E-1EF9-895E1E4AF004}"/>
              </a:ext>
            </a:extLst>
          </xdr:cNvPr>
          <xdr:cNvSpPr/>
        </xdr:nvSpPr>
        <xdr:spPr>
          <a:xfrm>
            <a:off x="121920" y="397383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55" name="TextBox 54">
            <a:hlinkClick xmlns:r="http://schemas.openxmlformats.org/officeDocument/2006/relationships" r:id="rId7"/>
            <a:extLst>
              <a:ext uri="{FF2B5EF4-FFF2-40B4-BE49-F238E27FC236}">
                <a16:creationId xmlns:a16="http://schemas.microsoft.com/office/drawing/2014/main" id="{183B31BE-997A-E1A3-4DA4-26C9D26D490B}"/>
              </a:ext>
            </a:extLst>
          </xdr:cNvPr>
          <xdr:cNvSpPr txBox="1"/>
        </xdr:nvSpPr>
        <xdr:spPr>
          <a:xfrm>
            <a:off x="144780" y="407670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Dataset</a:t>
            </a:r>
          </a:p>
        </xdr:txBody>
      </xdr:sp>
    </xdr:grpSp>
    <xdr:clientData/>
  </xdr:twoCellAnchor>
  <xdr:twoCellAnchor>
    <xdr:from>
      <xdr:col>0</xdr:col>
      <xdr:colOff>121920</xdr:colOff>
      <xdr:row>15</xdr:row>
      <xdr:rowOff>30480</xdr:rowOff>
    </xdr:from>
    <xdr:to>
      <xdr:col>0</xdr:col>
      <xdr:colOff>1295400</xdr:colOff>
      <xdr:row>17</xdr:row>
      <xdr:rowOff>152400</xdr:rowOff>
    </xdr:to>
    <xdr:grpSp>
      <xdr:nvGrpSpPr>
        <xdr:cNvPr id="56" name="Group 55">
          <a:extLst>
            <a:ext uri="{FF2B5EF4-FFF2-40B4-BE49-F238E27FC236}">
              <a16:creationId xmlns:a16="http://schemas.microsoft.com/office/drawing/2014/main" id="{3E0FC622-718C-4F86-861A-12B9ED76F060}"/>
            </a:ext>
          </a:extLst>
        </xdr:cNvPr>
        <xdr:cNvGrpSpPr/>
      </xdr:nvGrpSpPr>
      <xdr:grpSpPr>
        <a:xfrm>
          <a:off x="121920" y="2773680"/>
          <a:ext cx="1173480" cy="487680"/>
          <a:chOff x="121920" y="4785360"/>
          <a:chExt cx="1173480" cy="487680"/>
        </a:xfrm>
      </xdr:grpSpPr>
      <xdr:sp macro="" textlink="">
        <xdr:nvSpPr>
          <xdr:cNvPr id="57" name="Rectangle: Rounded Corners 56">
            <a:extLst>
              <a:ext uri="{FF2B5EF4-FFF2-40B4-BE49-F238E27FC236}">
                <a16:creationId xmlns:a16="http://schemas.microsoft.com/office/drawing/2014/main" id="{EBD7E308-2A0C-7520-FBF2-0E8CE83FF60A}"/>
              </a:ext>
            </a:extLst>
          </xdr:cNvPr>
          <xdr:cNvSpPr/>
        </xdr:nvSpPr>
        <xdr:spPr>
          <a:xfrm>
            <a:off x="121920" y="478536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58" name="TextBox 57">
            <a:hlinkClick xmlns:r="http://schemas.openxmlformats.org/officeDocument/2006/relationships" r:id="rId8"/>
            <a:extLst>
              <a:ext uri="{FF2B5EF4-FFF2-40B4-BE49-F238E27FC236}">
                <a16:creationId xmlns:a16="http://schemas.microsoft.com/office/drawing/2014/main" id="{53D70B93-5C62-63B0-9B91-8294A2646D15}"/>
              </a:ext>
            </a:extLst>
          </xdr:cNvPr>
          <xdr:cNvSpPr txBox="1"/>
        </xdr:nvSpPr>
        <xdr:spPr>
          <a:xfrm>
            <a:off x="144780" y="488442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Analysis</a:t>
            </a:r>
          </a:p>
        </xdr:txBody>
      </xdr:sp>
    </xdr:grpSp>
    <xdr:clientData/>
  </xdr:twoCellAnchor>
  <xdr:twoCellAnchor editAs="oneCell">
    <xdr:from>
      <xdr:col>0</xdr:col>
      <xdr:colOff>15273</xdr:colOff>
      <xdr:row>1</xdr:row>
      <xdr:rowOff>22860</xdr:rowOff>
    </xdr:from>
    <xdr:to>
      <xdr:col>0</xdr:col>
      <xdr:colOff>1397742</xdr:colOff>
      <xdr:row>5</xdr:row>
      <xdr:rowOff>45720</xdr:rowOff>
    </xdr:to>
    <xdr:pic>
      <xdr:nvPicPr>
        <xdr:cNvPr id="59" name="Picture 58">
          <a:extLst>
            <a:ext uri="{FF2B5EF4-FFF2-40B4-BE49-F238E27FC236}">
              <a16:creationId xmlns:a16="http://schemas.microsoft.com/office/drawing/2014/main" id="{8DDAE87D-0A82-48F8-A5E8-D735969D3251}"/>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837473B0-CC2E-450A-ABE3-18F120FF3D39}">
              <a1611:picAttrSrcUrl xmlns:a1611="http://schemas.microsoft.com/office/drawing/2016/11/main" r:id="rId10"/>
            </a:ext>
          </a:extLst>
        </a:blip>
        <a:stretch>
          <a:fillRect/>
        </a:stretch>
      </xdr:blipFill>
      <xdr:spPr>
        <a:xfrm>
          <a:off x="15273" y="205740"/>
          <a:ext cx="1382469" cy="75438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121920</xdr:colOff>
      <xdr:row>6</xdr:row>
      <xdr:rowOff>53340</xdr:rowOff>
    </xdr:from>
    <xdr:to>
      <xdr:col>0</xdr:col>
      <xdr:colOff>1295400</xdr:colOff>
      <xdr:row>8</xdr:row>
      <xdr:rowOff>175260</xdr:rowOff>
    </xdr:to>
    <xdr:grpSp>
      <xdr:nvGrpSpPr>
        <xdr:cNvPr id="8" name="Group 7">
          <a:hlinkClick xmlns:r="http://schemas.openxmlformats.org/officeDocument/2006/relationships" r:id="rId1"/>
          <a:extLst>
            <a:ext uri="{FF2B5EF4-FFF2-40B4-BE49-F238E27FC236}">
              <a16:creationId xmlns:a16="http://schemas.microsoft.com/office/drawing/2014/main" id="{38615949-0790-4E9C-AB35-816C14EB85B7}"/>
            </a:ext>
          </a:extLst>
        </xdr:cNvPr>
        <xdr:cNvGrpSpPr/>
      </xdr:nvGrpSpPr>
      <xdr:grpSpPr>
        <a:xfrm>
          <a:off x="121920" y="1129105"/>
          <a:ext cx="1173480" cy="480508"/>
          <a:chOff x="121920" y="3162300"/>
          <a:chExt cx="1173480" cy="487680"/>
        </a:xfrm>
      </xdr:grpSpPr>
      <xdr:sp macro="" textlink="">
        <xdr:nvSpPr>
          <xdr:cNvPr id="2" name="Rectangle: Rounded Corners 1">
            <a:extLst>
              <a:ext uri="{FF2B5EF4-FFF2-40B4-BE49-F238E27FC236}">
                <a16:creationId xmlns:a16="http://schemas.microsoft.com/office/drawing/2014/main" id="{7D3CDA59-218C-684D-4FA1-CD9E726AD061}"/>
              </a:ext>
            </a:extLst>
          </xdr:cNvPr>
          <xdr:cNvSpPr/>
        </xdr:nvSpPr>
        <xdr:spPr>
          <a:xfrm>
            <a:off x="121920" y="316230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5" name="TextBox 4">
            <a:extLst>
              <a:ext uri="{FF2B5EF4-FFF2-40B4-BE49-F238E27FC236}">
                <a16:creationId xmlns:a16="http://schemas.microsoft.com/office/drawing/2014/main" id="{237A9277-0115-D81B-B264-2B01BD73154C}"/>
              </a:ext>
            </a:extLst>
          </xdr:cNvPr>
          <xdr:cNvSpPr txBox="1"/>
        </xdr:nvSpPr>
        <xdr:spPr>
          <a:xfrm>
            <a:off x="144780" y="325374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Dashboard</a:t>
            </a:r>
          </a:p>
        </xdr:txBody>
      </xdr:sp>
    </xdr:grpSp>
    <xdr:clientData/>
  </xdr:twoCellAnchor>
  <xdr:twoCellAnchor>
    <xdr:from>
      <xdr:col>0</xdr:col>
      <xdr:colOff>121920</xdr:colOff>
      <xdr:row>10</xdr:row>
      <xdr:rowOff>133350</xdr:rowOff>
    </xdr:from>
    <xdr:to>
      <xdr:col>0</xdr:col>
      <xdr:colOff>1295400</xdr:colOff>
      <xdr:row>13</xdr:row>
      <xdr:rowOff>72390</xdr:rowOff>
    </xdr:to>
    <xdr:grpSp>
      <xdr:nvGrpSpPr>
        <xdr:cNvPr id="9" name="Group 8">
          <a:extLst>
            <a:ext uri="{FF2B5EF4-FFF2-40B4-BE49-F238E27FC236}">
              <a16:creationId xmlns:a16="http://schemas.microsoft.com/office/drawing/2014/main" id="{FCF96207-C099-B6BA-87C6-A6F3DFF784F1}"/>
            </a:ext>
          </a:extLst>
        </xdr:cNvPr>
        <xdr:cNvGrpSpPr/>
      </xdr:nvGrpSpPr>
      <xdr:grpSpPr>
        <a:xfrm>
          <a:off x="121920" y="1926291"/>
          <a:ext cx="1173480" cy="476923"/>
          <a:chOff x="121920" y="3973830"/>
          <a:chExt cx="1173480" cy="487680"/>
        </a:xfrm>
      </xdr:grpSpPr>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A0A75C9-5DA8-2E0D-D6DB-748B265DE852}"/>
              </a:ext>
            </a:extLst>
          </xdr:cNvPr>
          <xdr:cNvSpPr/>
        </xdr:nvSpPr>
        <xdr:spPr>
          <a:xfrm>
            <a:off x="121920" y="397383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6" name="TextBox 5">
            <a:hlinkClick xmlns:r="http://schemas.openxmlformats.org/officeDocument/2006/relationships" r:id="rId2"/>
            <a:extLst>
              <a:ext uri="{FF2B5EF4-FFF2-40B4-BE49-F238E27FC236}">
                <a16:creationId xmlns:a16="http://schemas.microsoft.com/office/drawing/2014/main" id="{C250D078-1FE9-5D93-E5E8-7C089D5D83E8}"/>
              </a:ext>
            </a:extLst>
          </xdr:cNvPr>
          <xdr:cNvSpPr txBox="1"/>
        </xdr:nvSpPr>
        <xdr:spPr>
          <a:xfrm>
            <a:off x="144780" y="407670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Dataset</a:t>
            </a:r>
          </a:p>
        </xdr:txBody>
      </xdr:sp>
    </xdr:grpSp>
    <xdr:clientData/>
  </xdr:twoCellAnchor>
  <xdr:twoCellAnchor>
    <xdr:from>
      <xdr:col>0</xdr:col>
      <xdr:colOff>121920</xdr:colOff>
      <xdr:row>15</xdr:row>
      <xdr:rowOff>30480</xdr:rowOff>
    </xdr:from>
    <xdr:to>
      <xdr:col>0</xdr:col>
      <xdr:colOff>1295400</xdr:colOff>
      <xdr:row>17</xdr:row>
      <xdr:rowOff>152400</xdr:rowOff>
    </xdr:to>
    <xdr:grpSp>
      <xdr:nvGrpSpPr>
        <xdr:cNvPr id="10" name="Group 9">
          <a:extLst>
            <a:ext uri="{FF2B5EF4-FFF2-40B4-BE49-F238E27FC236}">
              <a16:creationId xmlns:a16="http://schemas.microsoft.com/office/drawing/2014/main" id="{79BCD580-1AD3-D131-D28C-4E5700516C7C}"/>
            </a:ext>
          </a:extLst>
        </xdr:cNvPr>
        <xdr:cNvGrpSpPr/>
      </xdr:nvGrpSpPr>
      <xdr:grpSpPr>
        <a:xfrm>
          <a:off x="121920" y="2719892"/>
          <a:ext cx="1173480" cy="480508"/>
          <a:chOff x="121920" y="4785360"/>
          <a:chExt cx="1173480" cy="487680"/>
        </a:xfrm>
      </xdr:grpSpPr>
      <xdr:sp macro="" textlink="">
        <xdr:nvSpPr>
          <xdr:cNvPr id="4" name="Rectangle: Rounded Corners 3">
            <a:extLst>
              <a:ext uri="{FF2B5EF4-FFF2-40B4-BE49-F238E27FC236}">
                <a16:creationId xmlns:a16="http://schemas.microsoft.com/office/drawing/2014/main" id="{EE63C86F-A506-D393-60A3-FC5AE9847F23}"/>
              </a:ext>
            </a:extLst>
          </xdr:cNvPr>
          <xdr:cNvSpPr/>
        </xdr:nvSpPr>
        <xdr:spPr>
          <a:xfrm>
            <a:off x="121920" y="4785360"/>
            <a:ext cx="1165860" cy="48768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7" name="TextBox 6">
            <a:hlinkClick xmlns:r="http://schemas.openxmlformats.org/officeDocument/2006/relationships" r:id="rId3"/>
            <a:extLst>
              <a:ext uri="{FF2B5EF4-FFF2-40B4-BE49-F238E27FC236}">
                <a16:creationId xmlns:a16="http://schemas.microsoft.com/office/drawing/2014/main" id="{29E97E2A-34A7-59F1-2DFC-10E70B66C948}"/>
              </a:ext>
            </a:extLst>
          </xdr:cNvPr>
          <xdr:cNvSpPr txBox="1"/>
        </xdr:nvSpPr>
        <xdr:spPr>
          <a:xfrm>
            <a:off x="144780" y="4884420"/>
            <a:ext cx="11506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1400" b="1"/>
              <a:t>Analysis</a:t>
            </a:r>
          </a:p>
        </xdr:txBody>
      </xdr:sp>
    </xdr:grpSp>
    <xdr:clientData/>
  </xdr:twoCellAnchor>
  <xdr:twoCellAnchor editAs="oneCell">
    <xdr:from>
      <xdr:col>0</xdr:col>
      <xdr:colOff>15273</xdr:colOff>
      <xdr:row>1</xdr:row>
      <xdr:rowOff>22860</xdr:rowOff>
    </xdr:from>
    <xdr:to>
      <xdr:col>0</xdr:col>
      <xdr:colOff>1397742</xdr:colOff>
      <xdr:row>5</xdr:row>
      <xdr:rowOff>45720</xdr:rowOff>
    </xdr:to>
    <xdr:pic>
      <xdr:nvPicPr>
        <xdr:cNvPr id="12" name="Picture 11">
          <a:extLst>
            <a:ext uri="{FF2B5EF4-FFF2-40B4-BE49-F238E27FC236}">
              <a16:creationId xmlns:a16="http://schemas.microsoft.com/office/drawing/2014/main" id="{093D619C-E9A1-87CF-2572-C347655E23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837473B0-CC2E-450A-ABE3-18F120FF3D39}">
              <a1611:picAttrSrcUrl xmlns:a1611="http://schemas.microsoft.com/office/drawing/2016/11/main" r:id="rId5"/>
            </a:ext>
          </a:extLst>
        </a:blip>
        <a:stretch>
          <a:fillRect/>
        </a:stretch>
      </xdr:blipFill>
      <xdr:spPr>
        <a:xfrm>
          <a:off x="15273" y="205740"/>
          <a:ext cx="1382469" cy="754380"/>
        </a:xfrm>
        <a:prstGeom prst="rect">
          <a:avLst/>
        </a:prstGeom>
      </xdr:spPr>
    </xdr:pic>
    <xdr:clientData/>
  </xdr:twoCellAnchor>
  <xdr:twoCellAnchor>
    <xdr:from>
      <xdr:col>1</xdr:col>
      <xdr:colOff>198120</xdr:colOff>
      <xdr:row>0</xdr:row>
      <xdr:rowOff>129540</xdr:rowOff>
    </xdr:from>
    <xdr:to>
      <xdr:col>15</xdr:col>
      <xdr:colOff>76200</xdr:colOff>
      <xdr:row>6</xdr:row>
      <xdr:rowOff>83820</xdr:rowOff>
    </xdr:to>
    <xdr:grpSp>
      <xdr:nvGrpSpPr>
        <xdr:cNvPr id="33" name="Group 32">
          <a:extLst>
            <a:ext uri="{FF2B5EF4-FFF2-40B4-BE49-F238E27FC236}">
              <a16:creationId xmlns:a16="http://schemas.microsoft.com/office/drawing/2014/main" id="{52230DC4-3EB3-5A5C-3887-26AC01B4EC17}"/>
            </a:ext>
          </a:extLst>
        </xdr:cNvPr>
        <xdr:cNvGrpSpPr/>
      </xdr:nvGrpSpPr>
      <xdr:grpSpPr>
        <a:xfrm>
          <a:off x="1632473" y="129540"/>
          <a:ext cx="8454315" cy="1030045"/>
          <a:chOff x="1722120" y="129540"/>
          <a:chExt cx="8410847" cy="1051560"/>
        </a:xfrm>
      </xdr:grpSpPr>
      <xdr:sp macro="" textlink="">
        <xdr:nvSpPr>
          <xdr:cNvPr id="14" name="Rectangle: Rounded Corners 13">
            <a:extLst>
              <a:ext uri="{FF2B5EF4-FFF2-40B4-BE49-F238E27FC236}">
                <a16:creationId xmlns:a16="http://schemas.microsoft.com/office/drawing/2014/main" id="{31B5B83C-DCA2-3844-5493-E9A28B0FA06D}"/>
              </a:ext>
            </a:extLst>
          </xdr:cNvPr>
          <xdr:cNvSpPr/>
        </xdr:nvSpPr>
        <xdr:spPr>
          <a:xfrm>
            <a:off x="1722120" y="129540"/>
            <a:ext cx="8410847" cy="1051560"/>
          </a:xfrm>
          <a:prstGeom prst="roundRect">
            <a:avLst/>
          </a:prstGeom>
          <a:solidFill>
            <a:srgbClr val="338CDD"/>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15" name="TextBox 14">
            <a:extLst>
              <a:ext uri="{FF2B5EF4-FFF2-40B4-BE49-F238E27FC236}">
                <a16:creationId xmlns:a16="http://schemas.microsoft.com/office/drawing/2014/main" id="{1EC69773-17CD-EE95-7B84-B83B05B2572E}"/>
              </a:ext>
            </a:extLst>
          </xdr:cNvPr>
          <xdr:cNvSpPr txBox="1"/>
        </xdr:nvSpPr>
        <xdr:spPr>
          <a:xfrm>
            <a:off x="1826079" y="189548"/>
            <a:ext cx="8300901" cy="575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3600" b="1"/>
              <a:t>Fuel</a:t>
            </a:r>
            <a:r>
              <a:rPr lang="pt-BR" sz="3600" b="1" baseline="0"/>
              <a:t> Efficiency Trends 2025</a:t>
            </a:r>
          </a:p>
        </xdr:txBody>
      </xdr:sp>
    </xdr:grpSp>
    <xdr:clientData/>
  </xdr:twoCellAnchor>
  <xdr:twoCellAnchor>
    <xdr:from>
      <xdr:col>11</xdr:col>
      <xdr:colOff>83821</xdr:colOff>
      <xdr:row>7</xdr:row>
      <xdr:rowOff>18502</xdr:rowOff>
    </xdr:from>
    <xdr:to>
      <xdr:col>15</xdr:col>
      <xdr:colOff>91916</xdr:colOff>
      <xdr:row>10</xdr:row>
      <xdr:rowOff>167640</xdr:rowOff>
    </xdr:to>
    <xdr:sp macro="" textlink="">
      <xdr:nvSpPr>
        <xdr:cNvPr id="18" name="Rectangle: Rounded Corners 17">
          <a:extLst>
            <a:ext uri="{FF2B5EF4-FFF2-40B4-BE49-F238E27FC236}">
              <a16:creationId xmlns:a16="http://schemas.microsoft.com/office/drawing/2014/main" id="{5DB004E6-B99C-D578-F86E-9E679E2EDD30}"/>
            </a:ext>
          </a:extLst>
        </xdr:cNvPr>
        <xdr:cNvSpPr/>
      </xdr:nvSpPr>
      <xdr:spPr>
        <a:xfrm>
          <a:off x="7644056" y="1273561"/>
          <a:ext cx="2458448" cy="687020"/>
        </a:xfrm>
        <a:prstGeom prst="roundRect">
          <a:avLst/>
        </a:prstGeom>
        <a:solidFill>
          <a:srgbClr val="00B0F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11</xdr:col>
      <xdr:colOff>540608</xdr:colOff>
      <xdr:row>7</xdr:row>
      <xdr:rowOff>2634</xdr:rowOff>
    </xdr:from>
    <xdr:to>
      <xdr:col>14</xdr:col>
      <xdr:colOff>359861</xdr:colOff>
      <xdr:row>9</xdr:row>
      <xdr:rowOff>48230</xdr:rowOff>
    </xdr:to>
    <xdr:sp macro="" textlink="">
      <xdr:nvSpPr>
        <xdr:cNvPr id="21" name="TextBox 20">
          <a:extLst>
            <a:ext uri="{FF2B5EF4-FFF2-40B4-BE49-F238E27FC236}">
              <a16:creationId xmlns:a16="http://schemas.microsoft.com/office/drawing/2014/main" id="{AF771BE0-AD4C-1563-7EBD-9B71871FCFA7}"/>
            </a:ext>
          </a:extLst>
        </xdr:cNvPr>
        <xdr:cNvSpPr txBox="1"/>
      </xdr:nvSpPr>
      <xdr:spPr>
        <a:xfrm>
          <a:off x="8100843" y="1257693"/>
          <a:ext cx="1657018" cy="404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2000" b="1" baseline="0"/>
            <a:t>Vehicle Count</a:t>
          </a:r>
        </a:p>
      </xdr:txBody>
    </xdr:sp>
    <xdr:clientData/>
  </xdr:twoCellAnchor>
  <xdr:twoCellAnchor>
    <xdr:from>
      <xdr:col>11</xdr:col>
      <xdr:colOff>540608</xdr:colOff>
      <xdr:row>8</xdr:row>
      <xdr:rowOff>107109</xdr:rowOff>
    </xdr:from>
    <xdr:to>
      <xdr:col>14</xdr:col>
      <xdr:colOff>359861</xdr:colOff>
      <xdr:row>10</xdr:row>
      <xdr:rowOff>152705</xdr:rowOff>
    </xdr:to>
    <xdr:sp macro="" textlink="namecount">
      <xdr:nvSpPr>
        <xdr:cNvPr id="22" name="TextBox 21">
          <a:extLst>
            <a:ext uri="{FF2B5EF4-FFF2-40B4-BE49-F238E27FC236}">
              <a16:creationId xmlns:a16="http://schemas.microsoft.com/office/drawing/2014/main" id="{A0563B75-3888-3B57-D43C-7C75372E6E58}"/>
            </a:ext>
          </a:extLst>
        </xdr:cNvPr>
        <xdr:cNvSpPr txBox="1"/>
      </xdr:nvSpPr>
      <xdr:spPr>
        <a:xfrm>
          <a:off x="8100843" y="1541462"/>
          <a:ext cx="1657018" cy="404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4EFD87-D2CE-44B1-AA59-768C145DE0B6}" type="TxLink">
            <a:rPr lang="en-US" sz="1800" b="1" i="0" u="none" strike="noStrike" baseline="0">
              <a:solidFill>
                <a:srgbClr val="002060"/>
              </a:solidFill>
              <a:latin typeface="Calibri"/>
              <a:ea typeface="Calibri"/>
              <a:cs typeface="Calibri"/>
            </a:rPr>
            <a:t>398</a:t>
          </a:fld>
          <a:endParaRPr lang="pt-BR" sz="3600" b="1" baseline="0">
            <a:solidFill>
              <a:srgbClr val="002060"/>
            </a:solidFill>
          </a:endParaRPr>
        </a:p>
      </xdr:txBody>
    </xdr:sp>
    <xdr:clientData/>
  </xdr:twoCellAnchor>
  <xdr:twoCellAnchor>
    <xdr:from>
      <xdr:col>6</xdr:col>
      <xdr:colOff>140971</xdr:colOff>
      <xdr:row>7</xdr:row>
      <xdr:rowOff>18502</xdr:rowOff>
    </xdr:from>
    <xdr:to>
      <xdr:col>10</xdr:col>
      <xdr:colOff>148901</xdr:colOff>
      <xdr:row>10</xdr:row>
      <xdr:rowOff>167640</xdr:rowOff>
    </xdr:to>
    <xdr:sp macro="" textlink="">
      <xdr:nvSpPr>
        <xdr:cNvPr id="17" name="Rectangle: Rounded Corners 16">
          <a:extLst>
            <a:ext uri="{FF2B5EF4-FFF2-40B4-BE49-F238E27FC236}">
              <a16:creationId xmlns:a16="http://schemas.microsoft.com/office/drawing/2014/main" id="{41779046-195D-A6BB-4C9E-5DC329179F44}"/>
            </a:ext>
          </a:extLst>
        </xdr:cNvPr>
        <xdr:cNvSpPr/>
      </xdr:nvSpPr>
      <xdr:spPr>
        <a:xfrm>
          <a:off x="4638265" y="1273561"/>
          <a:ext cx="2458283" cy="687020"/>
        </a:xfrm>
        <a:prstGeom prst="roundRect">
          <a:avLst/>
        </a:prstGeom>
        <a:solidFill>
          <a:srgbClr val="00B0F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6</xdr:col>
      <xdr:colOff>152456</xdr:colOff>
      <xdr:row>7</xdr:row>
      <xdr:rowOff>2634</xdr:rowOff>
    </xdr:from>
    <xdr:to>
      <xdr:col>10</xdr:col>
      <xdr:colOff>183362</xdr:colOff>
      <xdr:row>9</xdr:row>
      <xdr:rowOff>48230</xdr:rowOff>
    </xdr:to>
    <xdr:sp macro="" textlink="">
      <xdr:nvSpPr>
        <xdr:cNvPr id="23" name="TextBox 22">
          <a:extLst>
            <a:ext uri="{FF2B5EF4-FFF2-40B4-BE49-F238E27FC236}">
              <a16:creationId xmlns:a16="http://schemas.microsoft.com/office/drawing/2014/main" id="{513E29A0-B0F7-6A74-897F-F933540F7A9D}"/>
            </a:ext>
          </a:extLst>
        </xdr:cNvPr>
        <xdr:cNvSpPr txBox="1"/>
      </xdr:nvSpPr>
      <xdr:spPr>
        <a:xfrm>
          <a:off x="4649750" y="1257693"/>
          <a:ext cx="2481259" cy="404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2000" b="1" baseline="0"/>
            <a:t>Average Horsepower</a:t>
          </a:r>
        </a:p>
      </xdr:txBody>
    </xdr:sp>
    <xdr:clientData/>
  </xdr:twoCellAnchor>
  <xdr:twoCellAnchor>
    <xdr:from>
      <xdr:col>6</xdr:col>
      <xdr:colOff>563350</xdr:colOff>
      <xdr:row>8</xdr:row>
      <xdr:rowOff>138006</xdr:rowOff>
    </xdr:from>
    <xdr:to>
      <xdr:col>9</xdr:col>
      <xdr:colOff>382491</xdr:colOff>
      <xdr:row>11</xdr:row>
      <xdr:rowOff>137792</xdr:rowOff>
    </xdr:to>
    <xdr:sp macro="" textlink="horsepower">
      <xdr:nvSpPr>
        <xdr:cNvPr id="24" name="TextBox 23">
          <a:extLst>
            <a:ext uri="{FF2B5EF4-FFF2-40B4-BE49-F238E27FC236}">
              <a16:creationId xmlns:a16="http://schemas.microsoft.com/office/drawing/2014/main" id="{886AE164-05E0-F9C2-5A77-078942D5C1BD}"/>
            </a:ext>
          </a:extLst>
        </xdr:cNvPr>
        <xdr:cNvSpPr txBox="1"/>
      </xdr:nvSpPr>
      <xdr:spPr>
        <a:xfrm>
          <a:off x="5060644" y="1572359"/>
          <a:ext cx="1656906" cy="537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36C3C1-E9B1-451D-9B21-8B5A6B48BDBA}" type="TxLink">
            <a:rPr lang="en-US" sz="1800" b="1" i="0" u="none" strike="noStrike">
              <a:solidFill>
                <a:srgbClr val="002060"/>
              </a:solidFill>
              <a:effectLst/>
              <a:latin typeface="Calibri"/>
              <a:ea typeface="Calibri"/>
              <a:cs typeface="Calibri"/>
            </a:rPr>
            <a:t>104.47</a:t>
          </a:fld>
          <a:endParaRPr lang="pt-BR" sz="5400" b="1" baseline="0">
            <a:solidFill>
              <a:srgbClr val="002060"/>
            </a:solidFill>
          </a:endParaRPr>
        </a:p>
      </xdr:txBody>
    </xdr:sp>
    <xdr:clientData/>
  </xdr:twoCellAnchor>
  <xdr:twoCellAnchor>
    <xdr:from>
      <xdr:col>1</xdr:col>
      <xdr:colOff>198121</xdr:colOff>
      <xdr:row>7</xdr:row>
      <xdr:rowOff>18502</xdr:rowOff>
    </xdr:from>
    <xdr:to>
      <xdr:col>5</xdr:col>
      <xdr:colOff>206216</xdr:colOff>
      <xdr:row>10</xdr:row>
      <xdr:rowOff>167640</xdr:rowOff>
    </xdr:to>
    <xdr:sp macro="" textlink="">
      <xdr:nvSpPr>
        <xdr:cNvPr id="16" name="Rectangle: Rounded Corners 15">
          <a:extLst>
            <a:ext uri="{FF2B5EF4-FFF2-40B4-BE49-F238E27FC236}">
              <a16:creationId xmlns:a16="http://schemas.microsoft.com/office/drawing/2014/main" id="{4EC5C871-7727-0F11-19DF-98970BDD6918}"/>
            </a:ext>
          </a:extLst>
        </xdr:cNvPr>
        <xdr:cNvSpPr/>
      </xdr:nvSpPr>
      <xdr:spPr>
        <a:xfrm>
          <a:off x="1632474" y="1273561"/>
          <a:ext cx="2458448" cy="687020"/>
        </a:xfrm>
        <a:prstGeom prst="roundRect">
          <a:avLst/>
        </a:prstGeom>
        <a:solidFill>
          <a:srgbClr val="00B0F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1</xdr:col>
      <xdr:colOff>585980</xdr:colOff>
      <xdr:row>7</xdr:row>
      <xdr:rowOff>2634</xdr:rowOff>
    </xdr:from>
    <xdr:to>
      <xdr:col>4</xdr:col>
      <xdr:colOff>405233</xdr:colOff>
      <xdr:row>9</xdr:row>
      <xdr:rowOff>48230</xdr:rowOff>
    </xdr:to>
    <xdr:sp macro="" textlink="">
      <xdr:nvSpPr>
        <xdr:cNvPr id="25" name="TextBox 24">
          <a:extLst>
            <a:ext uri="{FF2B5EF4-FFF2-40B4-BE49-F238E27FC236}">
              <a16:creationId xmlns:a16="http://schemas.microsoft.com/office/drawing/2014/main" id="{A87AD4A5-BB2B-9D3A-3A2E-12AEBB082B1D}"/>
            </a:ext>
          </a:extLst>
        </xdr:cNvPr>
        <xdr:cNvSpPr txBox="1"/>
      </xdr:nvSpPr>
      <xdr:spPr>
        <a:xfrm>
          <a:off x="2020333" y="1257693"/>
          <a:ext cx="1657018" cy="404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t-BR" sz="2000" b="1" baseline="0"/>
            <a:t>Average mpg</a:t>
          </a:r>
        </a:p>
      </xdr:txBody>
    </xdr:sp>
    <xdr:clientData/>
  </xdr:twoCellAnchor>
  <xdr:twoCellAnchor>
    <xdr:from>
      <xdr:col>1</xdr:col>
      <xdr:colOff>585980</xdr:colOff>
      <xdr:row>8</xdr:row>
      <xdr:rowOff>122558</xdr:rowOff>
    </xdr:from>
    <xdr:to>
      <xdr:col>4</xdr:col>
      <xdr:colOff>405233</xdr:colOff>
      <xdr:row>10</xdr:row>
      <xdr:rowOff>168154</xdr:rowOff>
    </xdr:to>
    <xdr:sp macro="" textlink="mpg">
      <xdr:nvSpPr>
        <xdr:cNvPr id="26" name="TextBox 25">
          <a:extLst>
            <a:ext uri="{FF2B5EF4-FFF2-40B4-BE49-F238E27FC236}">
              <a16:creationId xmlns:a16="http://schemas.microsoft.com/office/drawing/2014/main" id="{8B71EDD9-7E42-0E36-636F-A59B58494CD6}"/>
            </a:ext>
          </a:extLst>
        </xdr:cNvPr>
        <xdr:cNvSpPr txBox="1"/>
      </xdr:nvSpPr>
      <xdr:spPr>
        <a:xfrm>
          <a:off x="2020333" y="1556911"/>
          <a:ext cx="1657018" cy="4041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CFD3258-FE93-49CC-8B6B-D7BE04461944}" type="TxLink">
            <a:rPr lang="en-US" sz="1800" b="1" i="0" u="none" strike="noStrike">
              <a:solidFill>
                <a:srgbClr val="002060"/>
              </a:solidFill>
              <a:effectLst/>
              <a:latin typeface="Calibri"/>
              <a:ea typeface="Calibri"/>
              <a:cs typeface="Calibri"/>
            </a:rPr>
            <a:t>23.51</a:t>
          </a:fld>
          <a:endParaRPr lang="pt-BR" sz="3600" b="1" baseline="0">
            <a:solidFill>
              <a:srgbClr val="002060"/>
            </a:solidFill>
          </a:endParaRPr>
        </a:p>
      </xdr:txBody>
    </xdr:sp>
    <xdr:clientData/>
  </xdr:twoCellAnchor>
  <xdr:twoCellAnchor>
    <xdr:from>
      <xdr:col>1</xdr:col>
      <xdr:colOff>198120</xdr:colOff>
      <xdr:row>11</xdr:row>
      <xdr:rowOff>167640</xdr:rowOff>
    </xdr:from>
    <xdr:to>
      <xdr:col>15</xdr:col>
      <xdr:colOff>76200</xdr:colOff>
      <xdr:row>28</xdr:row>
      <xdr:rowOff>0</xdr:rowOff>
    </xdr:to>
    <xdr:sp macro="" textlink="">
      <xdr:nvSpPr>
        <xdr:cNvPr id="27" name="Rectangle: Rounded Corners 26">
          <a:extLst>
            <a:ext uri="{FF2B5EF4-FFF2-40B4-BE49-F238E27FC236}">
              <a16:creationId xmlns:a16="http://schemas.microsoft.com/office/drawing/2014/main" id="{2D0BCC0D-1DCB-AFE4-5211-31E8FFFDC351}"/>
            </a:ext>
          </a:extLst>
        </xdr:cNvPr>
        <xdr:cNvSpPr/>
      </xdr:nvSpPr>
      <xdr:spPr>
        <a:xfrm>
          <a:off x="1630680" y="2179320"/>
          <a:ext cx="8412480" cy="2941320"/>
        </a:xfrm>
        <a:prstGeom prst="roundRect">
          <a:avLst>
            <a:gd name="adj" fmla="val 9154"/>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1</xdr:col>
      <xdr:colOff>464820</xdr:colOff>
      <xdr:row>12</xdr:row>
      <xdr:rowOff>0</xdr:rowOff>
    </xdr:from>
    <xdr:to>
      <xdr:col>14</xdr:col>
      <xdr:colOff>419100</xdr:colOff>
      <xdr:row>27</xdr:row>
      <xdr:rowOff>167640</xdr:rowOff>
    </xdr:to>
    <xdr:graphicFrame macro="">
      <xdr:nvGraphicFramePr>
        <xdr:cNvPr id="28" name="Chart 27">
          <a:extLst>
            <a:ext uri="{FF2B5EF4-FFF2-40B4-BE49-F238E27FC236}">
              <a16:creationId xmlns:a16="http://schemas.microsoft.com/office/drawing/2014/main" id="{22B980C9-7BB6-4685-BF4F-E75100CBB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312420</xdr:colOff>
      <xdr:row>0</xdr:row>
      <xdr:rowOff>144780</xdr:rowOff>
    </xdr:from>
    <xdr:to>
      <xdr:col>20</xdr:col>
      <xdr:colOff>45720</xdr:colOff>
      <xdr:row>27</xdr:row>
      <xdr:rowOff>175260</xdr:rowOff>
    </xdr:to>
    <xdr:sp macro="" textlink="">
      <xdr:nvSpPr>
        <xdr:cNvPr id="34" name="Rectangle: Rounded Corners 33">
          <a:extLst>
            <a:ext uri="{FF2B5EF4-FFF2-40B4-BE49-F238E27FC236}">
              <a16:creationId xmlns:a16="http://schemas.microsoft.com/office/drawing/2014/main" id="{29E633AD-C9F2-3F0F-4032-DE52D31F65AB}"/>
            </a:ext>
          </a:extLst>
        </xdr:cNvPr>
        <xdr:cNvSpPr/>
      </xdr:nvSpPr>
      <xdr:spPr>
        <a:xfrm>
          <a:off x="10279380" y="144780"/>
          <a:ext cx="2781300" cy="4968240"/>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20</xdr:col>
      <xdr:colOff>236220</xdr:colOff>
      <xdr:row>0</xdr:row>
      <xdr:rowOff>144780</xdr:rowOff>
    </xdr:from>
    <xdr:to>
      <xdr:col>24</xdr:col>
      <xdr:colOff>579120</xdr:colOff>
      <xdr:row>8</xdr:row>
      <xdr:rowOff>121920</xdr:rowOff>
    </xdr:to>
    <xdr:sp macro="" textlink="">
      <xdr:nvSpPr>
        <xdr:cNvPr id="36" name="Rectangle: Rounded Corners 35">
          <a:extLst>
            <a:ext uri="{FF2B5EF4-FFF2-40B4-BE49-F238E27FC236}">
              <a16:creationId xmlns:a16="http://schemas.microsoft.com/office/drawing/2014/main" id="{16C20CDF-F58A-D0E6-C340-031F03D84A8D}"/>
            </a:ext>
          </a:extLst>
        </xdr:cNvPr>
        <xdr:cNvSpPr/>
      </xdr:nvSpPr>
      <xdr:spPr>
        <a:xfrm>
          <a:off x="13251180" y="144780"/>
          <a:ext cx="2781300" cy="1440180"/>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20</xdr:col>
      <xdr:colOff>243840</xdr:colOff>
      <xdr:row>10</xdr:row>
      <xdr:rowOff>60960</xdr:rowOff>
    </xdr:from>
    <xdr:to>
      <xdr:col>24</xdr:col>
      <xdr:colOff>586740</xdr:colOff>
      <xdr:row>18</xdr:row>
      <xdr:rowOff>38100</xdr:rowOff>
    </xdr:to>
    <xdr:sp macro="" textlink="">
      <xdr:nvSpPr>
        <xdr:cNvPr id="37" name="Rectangle: Rounded Corners 36">
          <a:extLst>
            <a:ext uri="{FF2B5EF4-FFF2-40B4-BE49-F238E27FC236}">
              <a16:creationId xmlns:a16="http://schemas.microsoft.com/office/drawing/2014/main" id="{41FF4760-1C3A-3A00-41F8-0A0924C19503}"/>
            </a:ext>
          </a:extLst>
        </xdr:cNvPr>
        <xdr:cNvSpPr/>
      </xdr:nvSpPr>
      <xdr:spPr>
        <a:xfrm>
          <a:off x="13258800" y="1889760"/>
          <a:ext cx="2781300" cy="1440180"/>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20</xdr:col>
      <xdr:colOff>243840</xdr:colOff>
      <xdr:row>19</xdr:row>
      <xdr:rowOff>114300</xdr:rowOff>
    </xdr:from>
    <xdr:to>
      <xdr:col>24</xdr:col>
      <xdr:colOff>586740</xdr:colOff>
      <xdr:row>27</xdr:row>
      <xdr:rowOff>175260</xdr:rowOff>
    </xdr:to>
    <xdr:sp macro="" textlink="">
      <xdr:nvSpPr>
        <xdr:cNvPr id="38" name="Rectangle: Rounded Corners 37">
          <a:extLst>
            <a:ext uri="{FF2B5EF4-FFF2-40B4-BE49-F238E27FC236}">
              <a16:creationId xmlns:a16="http://schemas.microsoft.com/office/drawing/2014/main" id="{7B0C5FE6-8E4A-9356-6E4E-B774FBCD20B2}"/>
            </a:ext>
          </a:extLst>
        </xdr:cNvPr>
        <xdr:cNvSpPr/>
      </xdr:nvSpPr>
      <xdr:spPr>
        <a:xfrm>
          <a:off x="13258800" y="3589020"/>
          <a:ext cx="2781300" cy="1524000"/>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20</xdr:col>
      <xdr:colOff>259080</xdr:colOff>
      <xdr:row>0</xdr:row>
      <xdr:rowOff>144780</xdr:rowOff>
    </xdr:from>
    <xdr:to>
      <xdr:col>24</xdr:col>
      <xdr:colOff>601980</xdr:colOff>
      <xdr:row>9</xdr:row>
      <xdr:rowOff>22465</xdr:rowOff>
    </xdr:to>
    <xdr:sp macro="" textlink="">
      <xdr:nvSpPr>
        <xdr:cNvPr id="39" name="Rectangle: Rounded Corners 38">
          <a:extLst>
            <a:ext uri="{FF2B5EF4-FFF2-40B4-BE49-F238E27FC236}">
              <a16:creationId xmlns:a16="http://schemas.microsoft.com/office/drawing/2014/main" id="{B885F3C3-EB0A-ABBF-E1D9-789A936AB2DF}"/>
            </a:ext>
          </a:extLst>
        </xdr:cNvPr>
        <xdr:cNvSpPr/>
      </xdr:nvSpPr>
      <xdr:spPr>
        <a:xfrm>
          <a:off x="13274040" y="144780"/>
          <a:ext cx="2781300" cy="1523605"/>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20</xdr:col>
      <xdr:colOff>266700</xdr:colOff>
      <xdr:row>9</xdr:row>
      <xdr:rowOff>147531</xdr:rowOff>
    </xdr:from>
    <xdr:to>
      <xdr:col>25</xdr:col>
      <xdr:colOff>0</xdr:colOff>
      <xdr:row>18</xdr:row>
      <xdr:rowOff>172113</xdr:rowOff>
    </xdr:to>
    <xdr:sp macro="" textlink="">
      <xdr:nvSpPr>
        <xdr:cNvPr id="40" name="Rectangle: Rounded Corners 39">
          <a:extLst>
            <a:ext uri="{FF2B5EF4-FFF2-40B4-BE49-F238E27FC236}">
              <a16:creationId xmlns:a16="http://schemas.microsoft.com/office/drawing/2014/main" id="{43AD2066-7A65-5638-0247-6141CE57A45D}"/>
            </a:ext>
          </a:extLst>
        </xdr:cNvPr>
        <xdr:cNvSpPr/>
      </xdr:nvSpPr>
      <xdr:spPr>
        <a:xfrm>
          <a:off x="13281660" y="1793451"/>
          <a:ext cx="2781300" cy="1670502"/>
        </a:xfrm>
        <a:prstGeom prst="roundRect">
          <a:avLst>
            <a:gd name="adj" fmla="val 927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15</xdr:col>
      <xdr:colOff>312420</xdr:colOff>
      <xdr:row>0</xdr:row>
      <xdr:rowOff>144780</xdr:rowOff>
    </xdr:from>
    <xdr:to>
      <xdr:col>20</xdr:col>
      <xdr:colOff>53340</xdr:colOff>
      <xdr:row>27</xdr:row>
      <xdr:rowOff>175260</xdr:rowOff>
    </xdr:to>
    <xdr:graphicFrame macro="">
      <xdr:nvGraphicFramePr>
        <xdr:cNvPr id="42" name="Chart 41">
          <a:extLst>
            <a:ext uri="{FF2B5EF4-FFF2-40B4-BE49-F238E27FC236}">
              <a16:creationId xmlns:a16="http://schemas.microsoft.com/office/drawing/2014/main" id="{F3CBFDD2-E16F-4959-BE68-2ED17C11E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20</xdr:col>
      <xdr:colOff>387241</xdr:colOff>
      <xdr:row>0</xdr:row>
      <xdr:rowOff>157438</xdr:rowOff>
    </xdr:from>
    <xdr:to>
      <xdr:col>24</xdr:col>
      <xdr:colOff>513247</xdr:colOff>
      <xdr:row>8</xdr:row>
      <xdr:rowOff>177363</xdr:rowOff>
    </xdr:to>
    <mc:AlternateContent xmlns:mc="http://schemas.openxmlformats.org/markup-compatibility/2006">
      <mc:Choice xmlns:a14="http://schemas.microsoft.com/office/drawing/2010/main" Requires="a14">
        <xdr:graphicFrame macro="">
          <xdr:nvGraphicFramePr>
            <xdr:cNvPr id="43" name="cylinders 3">
              <a:extLst>
                <a:ext uri="{FF2B5EF4-FFF2-40B4-BE49-F238E27FC236}">
                  <a16:creationId xmlns:a16="http://schemas.microsoft.com/office/drawing/2014/main" id="{B999778D-4E40-47B8-AADB-62CC31AF648A}"/>
                </a:ext>
              </a:extLst>
            </xdr:cNvPr>
            <xdr:cNvGraphicFramePr/>
          </xdr:nvGraphicFramePr>
          <xdr:xfrm>
            <a:off x="0" y="0"/>
            <a:ext cx="0" cy="0"/>
          </xdr:xfrm>
          <a:graphic>
            <a:graphicData uri="http://schemas.microsoft.com/office/drawing/2010/slicer">
              <sle:slicer xmlns:sle="http://schemas.microsoft.com/office/drawing/2010/slicer" name="cylinders 3"/>
            </a:graphicData>
          </a:graphic>
        </xdr:graphicFrame>
      </mc:Choice>
      <mc:Fallback>
        <xdr:sp macro="" textlink="">
          <xdr:nvSpPr>
            <xdr:cNvPr id="0" name=""/>
            <xdr:cNvSpPr>
              <a:spLocks noTextEdit="1"/>
            </xdr:cNvSpPr>
          </xdr:nvSpPr>
          <xdr:spPr>
            <a:xfrm>
              <a:off x="13460770" y="157438"/>
              <a:ext cx="2576359" cy="1454278"/>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297793</xdr:colOff>
      <xdr:row>19</xdr:row>
      <xdr:rowOff>179551</xdr:rowOff>
    </xdr:from>
    <xdr:to>
      <xdr:col>24</xdr:col>
      <xdr:colOff>531763</xdr:colOff>
      <xdr:row>27</xdr:row>
      <xdr:rowOff>121478</xdr:rowOff>
    </xdr:to>
    <mc:AlternateContent xmlns:mc="http://schemas.openxmlformats.org/markup-compatibility/2006">
      <mc:Choice xmlns:a14="http://schemas.microsoft.com/office/drawing/2010/main" Requires="a14">
        <xdr:graphicFrame macro="">
          <xdr:nvGraphicFramePr>
            <xdr:cNvPr id="44" name="model_year 3">
              <a:extLst>
                <a:ext uri="{FF2B5EF4-FFF2-40B4-BE49-F238E27FC236}">
                  <a16:creationId xmlns:a16="http://schemas.microsoft.com/office/drawing/2014/main" id="{646FB9A1-13F4-4ED3-971B-53168A469F5B}"/>
                </a:ext>
              </a:extLst>
            </xdr:cNvPr>
            <xdr:cNvGraphicFramePr/>
          </xdr:nvGraphicFramePr>
          <xdr:xfrm>
            <a:off x="0" y="0"/>
            <a:ext cx="0" cy="0"/>
          </xdr:xfrm>
          <a:graphic>
            <a:graphicData uri="http://schemas.microsoft.com/office/drawing/2010/slicer">
              <sle:slicer xmlns:sle="http://schemas.microsoft.com/office/drawing/2010/slicer" name="model_year 3"/>
            </a:graphicData>
          </a:graphic>
        </xdr:graphicFrame>
      </mc:Choice>
      <mc:Fallback>
        <xdr:sp macro="" textlink="">
          <xdr:nvSpPr>
            <xdr:cNvPr id="0" name=""/>
            <xdr:cNvSpPr>
              <a:spLocks noTextEdit="1"/>
            </xdr:cNvSpPr>
          </xdr:nvSpPr>
          <xdr:spPr>
            <a:xfrm>
              <a:off x="13371322" y="3586139"/>
              <a:ext cx="2684323" cy="1376280"/>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333225</xdr:colOff>
      <xdr:row>10</xdr:row>
      <xdr:rowOff>98863</xdr:rowOff>
    </xdr:from>
    <xdr:to>
      <xdr:col>24</xdr:col>
      <xdr:colOff>424665</xdr:colOff>
      <xdr:row>18</xdr:row>
      <xdr:rowOff>30283</xdr:rowOff>
    </xdr:to>
    <mc:AlternateContent xmlns:mc="http://schemas.openxmlformats.org/markup-compatibility/2006">
      <mc:Choice xmlns:a14="http://schemas.microsoft.com/office/drawing/2010/main" Requires="a14">
        <xdr:graphicFrame macro="">
          <xdr:nvGraphicFramePr>
            <xdr:cNvPr id="45" name="origin 3">
              <a:extLst>
                <a:ext uri="{FF2B5EF4-FFF2-40B4-BE49-F238E27FC236}">
                  <a16:creationId xmlns:a16="http://schemas.microsoft.com/office/drawing/2014/main" id="{02D29779-820A-4E55-AE96-D160E0AE5DB9}"/>
                </a:ext>
              </a:extLst>
            </xdr:cNvPr>
            <xdr:cNvGraphicFramePr/>
          </xdr:nvGraphicFramePr>
          <xdr:xfrm>
            <a:off x="0" y="0"/>
            <a:ext cx="0" cy="0"/>
          </xdr:xfrm>
          <a:graphic>
            <a:graphicData uri="http://schemas.microsoft.com/office/drawing/2010/slicer">
              <sle:slicer xmlns:sle="http://schemas.microsoft.com/office/drawing/2010/slicer" name="origin 3"/>
            </a:graphicData>
          </a:graphic>
        </xdr:graphicFrame>
      </mc:Choice>
      <mc:Fallback>
        <xdr:sp macro="" textlink="">
          <xdr:nvSpPr>
            <xdr:cNvPr id="0" name=""/>
            <xdr:cNvSpPr>
              <a:spLocks noTextEdit="1"/>
            </xdr:cNvSpPr>
          </xdr:nvSpPr>
          <xdr:spPr>
            <a:xfrm>
              <a:off x="13406754" y="1891804"/>
              <a:ext cx="2541793" cy="1365773"/>
            </a:xfrm>
            <a:prstGeom prst="rect">
              <a:avLst/>
            </a:prstGeom>
            <a:solidFill>
              <a:prstClr val="white"/>
            </a:solidFill>
            <a:ln w="1">
              <a:solidFill>
                <a:prstClr val="green"/>
              </a:solidFill>
            </a:ln>
          </xdr:spPr>
          <xdr:txBody>
            <a:bodyPr vertOverflow="clip" horzOverflow="clip"/>
            <a:lstStyle/>
            <a:p>
              <a:r>
                <a:rPr lang="pt-B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to Leonelli" refreshedDate="45959.582783217593" createdVersion="8" refreshedVersion="8" minRefreshableVersion="3" recordCount="398" xr:uid="{76D5D0AE-AEAF-4AAA-A55F-BE65DFCE3749}">
  <cacheSource type="worksheet">
    <worksheetSource ref="A1:J399" sheet="Automobile"/>
  </cacheSource>
  <cacheFields count="9">
    <cacheField name="name" numFmtId="0">
      <sharedItems count="305">
        <s v="chevrolet chevelle malibu"/>
        <s v="buick skylark 320"/>
        <s v="plymouth satellite"/>
        <s v="amc rebel sst"/>
        <s v="ford torino"/>
        <s v="ford galaxie 500"/>
        <s v="chevrolet impala"/>
        <s v="plymouth fury iii"/>
        <s v="pontiac catalina"/>
        <s v="amc ambassador dpl"/>
        <s v="dodge challenger se"/>
        <s v="plymouth 'cuda 340"/>
        <s v="chevrolet monte carlo"/>
        <s v="buick estate wagon (sw)"/>
        <s v="toyota corona mark ii"/>
        <s v="plymouth duster"/>
        <s v="amc hornet"/>
        <s v="ford maverick"/>
        <s v="datsun pl510"/>
        <s v="volkswagen 1131 deluxe sedan"/>
        <s v="peugeot 504"/>
        <s v="audi 100 ls"/>
        <s v="saab 99e"/>
        <s v="bmw 2002"/>
        <s v="amc gremlin"/>
        <s v="ford f250"/>
        <s v="chevy c20"/>
        <s v="dodge d200"/>
        <s v="hi 1200d"/>
        <s v="chevrolet vega 2300"/>
        <s v="toyota corona"/>
        <s v="ford pinto"/>
        <s v="plymouth satellite custom"/>
        <s v="ford torino 500"/>
        <s v="amc matador"/>
        <s v="pontiac catalina brougham"/>
        <s v="dodge monaco (sw)"/>
        <s v="ford country squire (sw)"/>
        <s v="pontiac safari (sw)"/>
        <s v="amc hornet sportabout (sw)"/>
        <s v="chevrolet vega (sw)"/>
        <s v="pontiac firebird"/>
        <s v="ford mustang"/>
        <s v="mercury capri 2000"/>
        <s v="opel 1900"/>
        <s v="peugeot 304"/>
        <s v="fiat 124b"/>
        <s v="toyota corolla 1200"/>
        <s v="datsun 1200"/>
        <s v="volkswagen model 111"/>
        <s v="plymouth cricket"/>
        <s v="toyota corona hardtop"/>
        <s v="dodge colt hardtop"/>
        <s v="volkswagen type 3"/>
        <s v="chevrolet vega"/>
        <s v="ford pinto runabout"/>
        <s v="amc ambassador sst"/>
        <s v="mercury marquis"/>
        <s v="buick lesabre custom"/>
        <s v="oldsmobile delta 88 royale"/>
        <s v="chrysler newport royal"/>
        <s v="mazda rx2 coupe"/>
        <s v="amc matador (sw)"/>
        <s v="chevrolet chevelle concours (sw)"/>
        <s v="ford gran torino (sw)"/>
        <s v="plymouth satellite custom (sw)"/>
        <s v="volvo 145e (sw)"/>
        <s v="volkswagen 411 (sw)"/>
        <s v="peugeot 504 (sw)"/>
        <s v="renault 12 (sw)"/>
        <s v="ford pinto (sw)"/>
        <s v="datsun 510 (sw)"/>
        <s v="toyouta corona mark ii (sw)"/>
        <s v="dodge colt (sw)"/>
        <s v="toyota corolla 1600 (sw)"/>
        <s v="buick century 350"/>
        <s v="chevrolet malibu"/>
        <s v="ford gran torino"/>
        <s v="dodge coronet custom"/>
        <s v="mercury marquis brougham"/>
        <s v="chevrolet caprice classic"/>
        <s v="ford ltd"/>
        <s v="plymouth fury gran sedan"/>
        <s v="chrysler new yorker brougham"/>
        <s v="buick electra 225 custom"/>
        <s v="amc ambassador brougham"/>
        <s v="plymouth valiant"/>
        <s v="chevrolet nova custom"/>
        <s v="volkswagen super beetle"/>
        <s v="ford country"/>
        <s v="plymouth custom suburb"/>
        <s v="oldsmobile vista cruiser"/>
        <s v="toyota carina"/>
        <s v="datsun 610"/>
        <s v="maxda rx3"/>
        <s v="mercury capri v6"/>
        <s v="fiat 124 sport coupe"/>
        <s v="chevrolet monte carlo s"/>
        <s v="pontiac grand prix"/>
        <s v="fiat 128"/>
        <s v="opel manta"/>
        <s v="audi 100ls"/>
        <s v="volvo 144ea"/>
        <s v="dodge dart custom"/>
        <s v="saab 99le"/>
        <s v="toyota mark ii"/>
        <s v="oldsmobile omega"/>
        <s v="chevrolet nova"/>
        <s v="datsun b210"/>
        <s v="chevrolet chevelle malibu classic"/>
        <s v="plymouth satellite sebring"/>
        <s v="buick century luxus (sw)"/>
        <s v="dodge coronet custom (sw)"/>
        <s v="audi fox"/>
        <s v="volkswagen dasher"/>
        <s v="datsun 710"/>
        <s v="dodge colt"/>
        <s v="fiat 124 tc"/>
        <s v="honda civic"/>
        <s v="subaru"/>
        <s v="fiat x1.9"/>
        <s v="plymouth valiant custom"/>
        <s v="mercury monarch"/>
        <s v="chevrolet bel air"/>
        <s v="plymouth grand fury"/>
        <s v="buick century"/>
        <s v="chevroelt chevelle malibu"/>
        <s v="plymouth fury"/>
        <s v="buick skyhawk"/>
        <s v="chevrolet monza 2+2"/>
        <s v="ford mustang ii"/>
        <s v="toyota corolla"/>
        <s v="pontiac astro"/>
        <s v="volkswagen rabbit"/>
        <s v="amc pacer"/>
        <s v="volvo 244dl"/>
        <s v="honda civic cvcc"/>
        <s v="fiat 131"/>
        <s v="capri ii"/>
        <s v="renault 12tl"/>
        <s v="dodge coronet brougham"/>
        <s v="chevrolet chevette"/>
        <s v="chevrolet woody"/>
        <s v="vw rabbit"/>
        <s v="dodge aspen se"/>
        <s v="ford granada ghia"/>
        <s v="pontiac ventura sj"/>
        <s v="amc pacer d/l"/>
        <s v="datsun b-210"/>
        <s v="volvo 245"/>
        <s v="plymouth volare premier v8"/>
        <s v="mercedes-benz 280s"/>
        <s v="cadillac seville"/>
        <s v="chevy c10"/>
        <s v="ford f108"/>
        <s v="dodge d100"/>
        <s v="honda accord cvcc"/>
        <s v="buick opel isuzu deluxe"/>
        <s v="renault 5 gtl"/>
        <s v="plymouth arrow gs"/>
        <s v="datsun f-10 hatchback"/>
        <s v="oldsmobile cutlass supreme"/>
        <s v="dodge monaco brougham"/>
        <s v="mercury cougar brougham"/>
        <s v="chevrolet concours"/>
        <s v="buick skylark"/>
        <s v="plymouth volare custom"/>
        <s v="ford granada"/>
        <s v="pontiac grand prix lj"/>
        <s v="chevrolet monte carlo landau"/>
        <s v="chrysler cordoba"/>
        <s v="ford thunderbird"/>
        <s v="volkswagen rabbit custom"/>
        <s v="pontiac sunbird coupe"/>
        <s v="toyota corolla liftback"/>
        <s v="ford mustang ii 2+2"/>
        <s v="dodge colt m/m"/>
        <s v="subaru dl"/>
        <s v="datsun 810"/>
        <s v="bmw 320i"/>
        <s v="mazda rx-4"/>
        <s v="volkswagen rabbit custom diesel"/>
        <s v="ford fiesta"/>
        <s v="mazda glc deluxe"/>
        <s v="datsun b210 gx"/>
        <s v="oldsmobile cutlass salon brougham"/>
        <s v="dodge diplomat"/>
        <s v="mercury monarch ghia"/>
        <s v="pontiac phoenix lj"/>
        <s v="ford fairmont (auto)"/>
        <s v="ford fairmont (man)"/>
        <s v="plymouth volare"/>
        <s v="amc concord"/>
        <s v="buick century special"/>
        <s v="mercury zephyr"/>
        <s v="dodge aspen"/>
        <s v="amc concord d/l"/>
        <s v="buick regal sport coupe (turbo)"/>
        <s v="ford futura"/>
        <s v="dodge magnum xe"/>
        <s v="datsun 510"/>
        <s v="dodge omni"/>
        <s v="toyota celica gt liftback"/>
        <s v="plymouth sapporo"/>
        <s v="oldsmobile starfire sx"/>
        <s v="datsun 200-sx"/>
        <s v="audi 5000"/>
        <s v="volvo 264gl"/>
        <s v="saab 99gle"/>
        <s v="peugeot 604sl"/>
        <s v="volkswagen scirocco"/>
        <s v="honda accord lx"/>
        <s v="pontiac lemans v6"/>
        <s v="mercury zephyr 6"/>
        <s v="ford fairmont 4"/>
        <s v="amc concord dl 6"/>
        <s v="dodge aspen 6"/>
        <s v="ford ltd landau"/>
        <s v="mercury grand marquis"/>
        <s v="dodge st. regis"/>
        <s v="chevrolet malibu classic (sw)"/>
        <s v="chrysler lebaron town @ country (sw)"/>
        <s v="vw rabbit custom"/>
        <s v="maxda glc deluxe"/>
        <s v="dodge colt hatchback custom"/>
        <s v="amc spirit dl"/>
        <s v="mercedes benz 300d"/>
        <s v="cadillac eldorado"/>
        <s v="plymouth horizon"/>
        <s v="plymouth horizon tc3"/>
        <s v="datsun 210"/>
        <s v="fiat strada custom"/>
        <s v="buick skylark limited"/>
        <s v="chevrolet citation"/>
        <s v="oldsmobile omega brougham"/>
        <s v="pontiac phoenix"/>
        <s v="toyota corolla tercel"/>
        <s v="datsun 310"/>
        <s v="ford fairmont"/>
        <s v="audi 4000"/>
        <s v="toyota corona liftback"/>
        <s v="mazda 626"/>
        <s v="datsun 510 hatchback"/>
        <s v="mazda glc"/>
        <s v="vw rabbit c (diesel)"/>
        <s v="vw dasher (diesel)"/>
        <s v="audi 5000s (diesel)"/>
        <s v="mercedes-benz 240d"/>
        <s v="honda civic 1500 gl"/>
        <s v="renault lecar deluxe"/>
        <s v="vokswagen rabbit"/>
        <s v="datsun 280-zx"/>
        <s v="mazda rx-7 gs"/>
        <s v="triumph tr7 coupe"/>
        <s v="ford mustang cobra"/>
        <s v="honda accord"/>
        <s v="plymouth reliant"/>
        <s v="dodge aries wagon (sw)"/>
        <s v="toyota starlet"/>
        <s v="plymouth champ"/>
        <s v="honda civic 1300"/>
        <s v="datsun 210 mpg"/>
        <s v="toyota tercel"/>
        <s v="mazda glc 4"/>
        <s v="plymouth horizon 4"/>
        <s v="ford escort 4w"/>
        <s v="ford escort 2h"/>
        <s v="volkswagen jetta"/>
        <s v="renault 18i"/>
        <s v="honda prelude"/>
        <s v="datsun 200sx"/>
        <s v="peugeot 505s turbo diesel"/>
        <s v="volvo diesel"/>
        <s v="toyota cressida"/>
        <s v="datsun 810 maxima"/>
        <s v="oldsmobile cutlass ls"/>
        <s v="ford granada gl"/>
        <s v="chrysler lebaron salon"/>
        <s v="chevrolet cavalier"/>
        <s v="chevrolet cavalier wagon"/>
        <s v="chevrolet cavalier 2-door"/>
        <s v="pontiac j2000 se hatchback"/>
        <s v="dodge aries se"/>
        <s v="ford fairmont futura"/>
        <s v="amc concord dl"/>
        <s v="volkswagen rabbit l"/>
        <s v="mazda glc custom l"/>
        <s v="mazda glc custom"/>
        <s v="plymouth horizon miser"/>
        <s v="mercury lynx l"/>
        <s v="nissan stanza xe"/>
        <s v="honda civic (auto)"/>
        <s v="datsun 310 gx"/>
        <s v="buick century limited"/>
        <s v="oldsmobile cutlass ciera (diesel)"/>
        <s v="chrysler lebaron medallion"/>
        <s v="ford granada l"/>
        <s v="toyota celica gt"/>
        <s v="dodge charger 2.2"/>
        <s v="chevrolet camaro"/>
        <s v="ford mustang gl"/>
        <s v="vw pickup"/>
        <s v="dodge rampage"/>
        <s v="ford ranger"/>
        <s v="chevy s-10"/>
      </sharedItems>
    </cacheField>
    <cacheField name="mpg" numFmtId="0">
      <sharedItems containsSemiMixedTypes="0" containsString="0" containsNumber="1" minValue="9" maxValue="46.6"/>
    </cacheField>
    <cacheField name="cylinders" numFmtId="0">
      <sharedItems containsSemiMixedTypes="0" containsString="0" containsNumber="1" containsInteger="1" minValue="3" maxValue="8" count="5">
        <n v="8"/>
        <n v="4"/>
        <n v="6"/>
        <n v="3"/>
        <n v="5"/>
      </sharedItems>
    </cacheField>
    <cacheField name="displacement" numFmtId="0">
      <sharedItems containsSemiMixedTypes="0" containsString="0" containsNumber="1" minValue="68" maxValue="455"/>
    </cacheField>
    <cacheField name="horsepower" numFmtId="0">
      <sharedItems containsString="0" containsBlank="1" containsNumber="1" containsInteger="1" minValue="46" maxValue="230"/>
    </cacheField>
    <cacheField name="weight" numFmtId="0">
      <sharedItems containsSemiMixedTypes="0" containsString="0" containsNumber="1" containsInteger="1" minValue="1613" maxValue="5140"/>
    </cacheField>
    <cacheField name="acceleration" numFmtId="0">
      <sharedItems containsSemiMixedTypes="0" containsString="0" containsNumber="1" minValue="8" maxValue="24.8"/>
    </cacheField>
    <cacheField name="model_year" numFmtId="0">
      <sharedItems containsSemiMixedTypes="0" containsString="0" containsNumber="1" containsInteger="1" minValue="70" maxValue="82" count="13">
        <n v="70"/>
        <n v="71"/>
        <n v="72"/>
        <n v="73"/>
        <n v="74"/>
        <n v="75"/>
        <n v="76"/>
        <n v="77"/>
        <n v="78"/>
        <n v="79"/>
        <n v="80"/>
        <n v="81"/>
        <n v="82"/>
      </sharedItems>
    </cacheField>
    <cacheField name="origin" numFmtId="0">
      <sharedItems count="3">
        <s v="usa"/>
        <s v="japan"/>
        <s v="europe"/>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to Leonelli" refreshedDate="45961.826169791668" createdVersion="8" refreshedVersion="8" minRefreshableVersion="3" recordCount="398" xr:uid="{04D3C0B8-B330-465D-9CD1-6B4693A8797A}">
  <cacheSource type="worksheet">
    <worksheetSource ref="A1:F399" sheet="Performance Tiers"/>
  </cacheSource>
  <cacheFields count="6">
    <cacheField name="name" numFmtId="0">
      <sharedItems/>
    </cacheField>
    <cacheField name="mpg" numFmtId="0">
      <sharedItems containsSemiMixedTypes="0" containsString="0" containsNumber="1" minValue="9" maxValue="46.6"/>
    </cacheField>
    <cacheField name="horsepower" numFmtId="0">
      <sharedItems containsString="0" containsBlank="1" containsNumber="1" containsInteger="1" minValue="46" maxValue="230"/>
    </cacheField>
    <cacheField name="acceleration" numFmtId="0">
      <sharedItems containsSemiMixedTypes="0" containsString="0" containsNumber="1" minValue="8" maxValue="24.8"/>
    </cacheField>
    <cacheField name="model_year" numFmtId="0">
      <sharedItems containsSemiMixedTypes="0" containsString="0" containsNumber="1" containsInteger="1" minValue="70" maxValue="82" count="13">
        <n v="70"/>
        <n v="71"/>
        <n v="72"/>
        <n v="73"/>
        <n v="74"/>
        <n v="75"/>
        <n v="76"/>
        <n v="77"/>
        <n v="78"/>
        <n v="79"/>
        <n v="80"/>
        <n v="81"/>
        <n v="82"/>
      </sharedItems>
    </cacheField>
    <cacheField name="Performance Tier" numFmtId="0">
      <sharedItems count="3">
        <s v="Economy"/>
        <s v="Mid Range"/>
        <s v="High Performance"/>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to Leonelli" refreshedDate="45963.695281134256" createdVersion="8" refreshedVersion="8" minRefreshableVersion="3" recordCount="398" xr:uid="{AE1AD291-137B-4AF7-B3C3-0E85801FBA83}">
  <cacheSource type="worksheet">
    <worksheetSource name="Table4"/>
  </cacheSource>
  <cacheFields count="10">
    <cacheField name="name" numFmtId="0">
      <sharedItems count="305">
        <s v="bmw 2002"/>
        <s v="saab 99e"/>
        <s v="audi 100 ls"/>
        <s v="peugeot 504"/>
        <s v="volkswagen 1131 deluxe sedan"/>
        <s v="opel 1900"/>
        <s v="fiat 124b"/>
        <s v="peugeot 304"/>
        <s v="volkswagen model 111"/>
        <s v="volvo 145e (sw)"/>
        <s v="renault 12 (sw)"/>
        <s v="volkswagen 411 (sw)"/>
        <s v="peugeot 504 (sw)"/>
        <s v="volkswagen type 3"/>
        <s v="saab 99le"/>
        <s v="fiat 124 sport coupe"/>
        <s v="volvo 144ea"/>
        <s v="audi 100ls"/>
        <s v="opel manta"/>
        <s v="fiat 128"/>
        <s v="volkswagen super beetle"/>
        <s v="audi fox"/>
        <s v="volkswagen dasher"/>
        <s v="fiat x1.9"/>
        <s v="fiat 124 tc"/>
        <s v="volkswagen rabbit"/>
        <s v="volvo 244dl"/>
        <s v="renault 12tl"/>
        <s v="vw rabbit"/>
        <s v="fiat 131"/>
        <s v="volvo 245"/>
        <s v="mercedes-benz 280s"/>
        <s v="bmw 320i"/>
        <s v="volkswagen rabbit custom"/>
        <s v="renault 5 gtl"/>
        <s v="saab 99gle"/>
        <s v="volkswagen scirocco"/>
        <s v="volkswagen rabbit custom diesel"/>
        <s v="audi 5000"/>
        <s v="volvo 264gl"/>
        <s v="peugeot 604sl"/>
        <s v="vw rabbit custom"/>
        <s v="fiat strada custom"/>
        <s v="mercedes benz 300d"/>
        <s v="audi 4000"/>
        <s v="triumph tr7 coupe"/>
        <s v="vokswagen rabbit"/>
        <s v="vw rabbit c (diesel)"/>
        <s v="mercedes-benz 240d"/>
        <s v="vw dasher (diesel)"/>
        <s v="renault lecar deluxe"/>
        <s v="audi 5000s (diesel)"/>
        <s v="volkswagen jetta"/>
        <s v="peugeot 505s turbo diesel"/>
        <s v="renault 18i"/>
        <s v="volvo diesel"/>
        <s v="volkswagen rabbit l"/>
        <s v="vw pickup"/>
        <s v="datsun pl510"/>
        <s v="toyota corona mark ii"/>
        <s v="datsun 1200"/>
        <s v="toyota corona"/>
        <s v="toyota corolla 1200"/>
        <s v="mazda rx2 coupe"/>
        <s v="toyota corolla 1600 (sw)"/>
        <s v="toyota corona hardtop"/>
        <s v="datsun 510 (sw)"/>
        <s v="toyouta corona mark ii (sw)"/>
        <s v="maxda rx3"/>
        <s v="datsun 610"/>
        <s v="toyota carina"/>
        <s v="toyota mark ii"/>
        <s v="honda civic"/>
        <s v="subaru"/>
        <s v="datsun b210"/>
        <s v="datsun 710"/>
        <s v="toyota corolla"/>
        <s v="honda civic cvcc"/>
        <s v="datsun b-210"/>
        <s v="mazda rx-4"/>
        <s v="datsun f-10 hatchback"/>
        <s v="subaru dl"/>
        <s v="honda accord cvcc"/>
        <s v="toyota corolla liftback"/>
        <s v="datsun 810"/>
        <s v="datsun 510"/>
        <s v="datsun 200-sx"/>
        <s v="toyota celica gt liftback"/>
        <s v="datsun b210 gx"/>
        <s v="honda accord lx"/>
        <s v="mazda glc deluxe"/>
        <s v="maxda glc deluxe"/>
        <s v="datsun 210"/>
        <s v="mazda rx-7 gs"/>
        <s v="datsun 510 hatchback"/>
        <s v="honda civic 1500 gl"/>
        <s v="toyota corona liftback"/>
        <s v="datsun 310"/>
        <s v="honda accord"/>
        <s v="mazda glc"/>
        <s v="toyota corolla tercel"/>
        <s v="mazda 626"/>
        <s v="datsun 280-zx"/>
        <s v="datsun 200sx"/>
        <s v="mazda glc 4"/>
        <s v="honda civic 1300"/>
        <s v="honda prelude"/>
        <s v="toyota starlet"/>
        <s v="datsun 210 mpg"/>
        <s v="toyota tercel"/>
        <s v="datsun 810 maxima"/>
        <s v="toyota cressida"/>
        <s v="nissan stanza xe"/>
        <s v="toyota celica gt"/>
        <s v="mazda glc custom"/>
        <s v="honda civic (auto)"/>
        <s v="datsun 310 gx"/>
        <s v="mazda glc custom l"/>
        <s v="amc hornet"/>
        <s v="amc gremlin"/>
        <s v="plymouth duster"/>
        <s v="ford maverick"/>
        <s v="buick estate wagon (sw)"/>
        <s v="pontiac catalina"/>
        <s v="chevrolet impala"/>
        <s v="plymouth fury iii"/>
        <s v="amc ambassador dpl"/>
        <s v="dodge d200"/>
        <s v="dodge challenger se"/>
        <s v="ford f250"/>
        <s v="chevy c20"/>
        <s v="ford galaxie 500"/>
        <s v="buick skylark 320"/>
        <s v="plymouth 'cuda 340"/>
        <s v="amc rebel sst"/>
        <s v="plymouth satellite"/>
        <s v="hi 1200d"/>
        <s v="ford torino"/>
        <s v="chevrolet monte carlo"/>
        <s v="chevrolet chevelle malibu"/>
        <s v="chevrolet vega 2300"/>
        <s v="mercury capri 2000"/>
        <s v="plymouth cricket"/>
        <s v="chevrolet vega (sw)"/>
        <s v="ford pinto"/>
        <s v="amc hornet sportabout (sw)"/>
        <s v="plymouth satellite custom"/>
        <s v="pontiac firebird"/>
        <s v="amc matador"/>
        <s v="ford mustang"/>
        <s v="ford torino 500"/>
        <s v="pontiac catalina brougham"/>
        <s v="dodge monaco (sw)"/>
        <s v="ford country squire (sw)"/>
        <s v="pontiac safari (sw)"/>
        <s v="ford pinto runabout"/>
        <s v="dodge colt hardtop"/>
        <s v="chevrolet vega"/>
        <s v="dodge colt (sw)"/>
        <s v="ford pinto (sw)"/>
        <s v="mercury marquis"/>
        <s v="chrysler newport royal"/>
        <s v="amc ambassador sst"/>
        <s v="amc matador (sw)"/>
        <s v="plymouth satellite custom (sw)"/>
        <s v="oldsmobile delta 88 royale"/>
        <s v="buick lesabre custom"/>
        <s v="ford gran torino (sw)"/>
        <s v="chevrolet chevelle concours (sw)"/>
        <s v="mercury capri v6"/>
        <s v="plymouth valiant"/>
        <s v="chevrolet nova custom"/>
        <s v="pontiac grand prix"/>
        <s v="oldsmobile omega"/>
        <s v="amc ambassador brougham"/>
        <s v="buick electra 225 custom"/>
        <s v="chrysler new yorker brougham"/>
        <s v="dodge dart custom"/>
        <s v="buick century 350"/>
        <s v="mercury marquis brougham"/>
        <s v="oldsmobile vista cruiser"/>
        <s v="dodge coronet custom"/>
        <s v="plymouth custom suburb"/>
        <s v="chevrolet malibu"/>
        <s v="ford ltd"/>
        <s v="chevrolet monte carlo s"/>
        <s v="plymouth fury gran sedan"/>
        <s v="ford country"/>
        <s v="ford gran torino"/>
        <s v="chevrolet caprice classic"/>
        <s v="dodge colt"/>
        <s v="chevrolet nova"/>
        <s v="plymouth satellite sebring"/>
        <s v="chevrolet chevelle malibu classic"/>
        <s v="dodge coronet custom (sw)"/>
        <s v="buick century luxus (sw)"/>
        <s v="pontiac astro"/>
        <s v="buick skyhawk"/>
        <s v="plymouth valiant custom"/>
        <s v="buick century"/>
        <s v="amc pacer"/>
        <s v="chevroelt chevelle malibu"/>
        <s v="plymouth fury"/>
        <s v="mercury monarch"/>
        <s v="ford mustang ii"/>
        <s v="chevrolet monza 2+2"/>
        <s v="plymouth grand fury"/>
        <s v="chevrolet bel air"/>
        <s v="capri ii"/>
        <s v="chevrolet woody"/>
        <s v="chevrolet chevette"/>
        <s v="pontiac ventura sj"/>
        <s v="amc pacer d/l"/>
        <s v="dodge aspen se"/>
        <s v="ford granada ghia"/>
        <s v="cadillac seville"/>
        <s v="dodge d100"/>
        <s v="plymouth volare premier v8"/>
        <s v="chevy c10"/>
        <s v="dodge coronet brougham"/>
        <s v="ford f108"/>
        <s v="plymouth arrow gs"/>
        <s v="dodge colt m/m"/>
        <s v="buick opel isuzu deluxe"/>
        <s v="ford mustang ii 2+2"/>
        <s v="pontiac sunbird coupe"/>
        <s v="chevrolet concours"/>
        <s v="buick skylark"/>
        <s v="ford granada"/>
        <s v="plymouth volare custom"/>
        <s v="chrysler cordoba"/>
        <s v="pontiac grand prix lj"/>
        <s v="chevrolet monte carlo landau"/>
        <s v="dodge monaco brougham"/>
        <s v="ford thunderbird"/>
        <s v="mercury cougar brougham"/>
        <s v="oldsmobile cutlass supreme"/>
        <s v="plymouth sapporo"/>
        <s v="ford fiesta"/>
        <s v="dodge omni"/>
        <s v="ford fairmont (man)"/>
        <s v="oldsmobile starfire sx"/>
        <s v="buick regal sport coupe (turbo)"/>
        <s v="amc concord d/l"/>
        <s v="buick century special"/>
        <s v="dodge aspen"/>
        <s v="pontiac phoenix lj"/>
        <s v="plymouth volare"/>
        <s v="ford fairmont (auto)"/>
        <s v="amc concord"/>
        <s v="mercury zephyr"/>
        <s v="ford futura"/>
        <s v="mercury monarch ghia"/>
        <s v="dodge diplomat"/>
        <s v="dodge magnum xe"/>
        <s v="oldsmobile cutlass salon brougham"/>
        <s v="dodge colt hatchback custom"/>
        <s v="pontiac phoenix"/>
        <s v="buick skylark limited"/>
        <s v="plymouth horizon tc3"/>
        <s v="plymouth horizon"/>
        <s v="ford fairmont 4"/>
        <s v="amc spirit dl"/>
        <s v="chevrolet citation"/>
        <s v="oldsmobile omega brougham"/>
        <s v="pontiac lemans v6"/>
        <s v="dodge aspen 6"/>
        <s v="mercury zephyr 6"/>
        <s v="amc concord dl 6"/>
        <s v="chrysler lebaron town @ country (sw)"/>
        <s v="dodge st. regis"/>
        <s v="mercury grand marquis"/>
        <s v="chevrolet malibu classic (sw)"/>
        <s v="ford ltd landau"/>
        <s v="cadillac eldorado"/>
        <s v="ford fairmont"/>
        <s v="ford mustang cobra"/>
        <s v="plymouth reliant"/>
        <s v="dodge aries wagon (sw)"/>
        <s v="plymouth champ"/>
        <s v="ford escort 4w"/>
        <s v="plymouth horizon 4"/>
        <s v="ford escort 2h"/>
        <s v="ford granada gl"/>
        <s v="chrysler lebaron salon"/>
        <s v="oldsmobile cutlass ls"/>
        <s v="chevrolet cavalier 2-door"/>
        <s v="dodge rampage"/>
        <s v="chrysler lebaron medallion"/>
        <s v="dodge charger 2.2"/>
        <s v="chevrolet cavalier"/>
        <s v="chevrolet cavalier wagon"/>
        <s v="dodge aries se"/>
        <s v="pontiac j2000 se hatchback"/>
        <s v="mercury lynx l"/>
        <s v="ford fairmont futura"/>
        <s v="ford mustang gl"/>
        <s v="chevrolet camaro"/>
        <s v="chevy s-10"/>
        <s v="ford ranger"/>
        <s v="plymouth horizon miser"/>
        <s v="amc concord dl"/>
        <s v="ford granada l"/>
        <s v="buick century limited"/>
        <s v="oldsmobile cutlass ciera (diesel)"/>
      </sharedItems>
    </cacheField>
    <cacheField name="mpg" numFmtId="0">
      <sharedItems containsSemiMixedTypes="0" containsString="0" containsNumber="1" minValue="9" maxValue="46.6" count="129">
        <n v="26"/>
        <n v="25"/>
        <n v="24"/>
        <n v="28"/>
        <n v="30"/>
        <n v="27"/>
        <n v="18"/>
        <n v="22"/>
        <n v="21"/>
        <n v="23"/>
        <n v="19"/>
        <n v="20"/>
        <n v="29"/>
        <n v="31"/>
        <n v="29.5"/>
        <n v="16.5"/>
        <n v="21.5"/>
        <n v="30.5"/>
        <n v="36"/>
        <n v="21.6"/>
        <n v="31.5"/>
        <n v="43.1"/>
        <n v="20.3"/>
        <n v="17"/>
        <n v="16.2"/>
        <n v="31.9"/>
        <n v="37.299999999999997"/>
        <n v="27.2"/>
        <n v="25.4"/>
        <n v="34.299999999999997"/>
        <n v="41.5"/>
        <n v="35"/>
        <n v="29.8"/>
        <n v="44.3"/>
        <n v="43.4"/>
        <n v="40.9"/>
        <n v="36.4"/>
        <n v="33"/>
        <n v="28.1"/>
        <n v="34.5"/>
        <n v="30.7"/>
        <n v="44"/>
        <n v="32"/>
        <n v="33.5"/>
        <n v="23.9"/>
        <n v="21.1"/>
        <n v="27.5"/>
        <n v="39.4"/>
        <n v="36.1"/>
        <n v="32.799999999999997"/>
        <n v="34.1"/>
        <n v="31.8"/>
        <n v="23.7"/>
        <n v="37"/>
        <n v="44.6"/>
        <n v="32.200000000000003"/>
        <n v="37.200000000000003"/>
        <n v="32.4"/>
        <n v="33.799999999999997"/>
        <n v="40.799999999999997"/>
        <n v="46.6"/>
        <n v="38.1"/>
        <n v="31.3"/>
        <n v="32.700000000000003"/>
        <n v="32.9"/>
        <n v="35.1"/>
        <n v="33.700000000000003"/>
        <n v="39.1"/>
        <n v="32.299999999999997"/>
        <n v="37.700000000000003"/>
        <n v="31.6"/>
        <n v="24.2"/>
        <n v="38"/>
        <n v="34"/>
        <n v="14"/>
        <n v="15"/>
        <n v="11"/>
        <n v="10"/>
        <n v="16"/>
        <n v="9"/>
        <n v="12"/>
        <n v="13"/>
        <n v="26.5"/>
        <n v="24.5"/>
        <n v="18.5"/>
        <n v="17.5"/>
        <n v="22.5"/>
        <n v="14.5"/>
        <n v="15.5"/>
        <n v="25.5"/>
        <n v="20.5"/>
        <n v="23.2"/>
        <n v="30.9"/>
        <n v="25.1"/>
        <n v="23.8"/>
        <n v="17.7"/>
        <n v="18.100000000000001"/>
        <n v="20.6"/>
        <n v="18.600000000000001"/>
        <n v="19.2"/>
        <n v="20.2"/>
        <n v="19.399999999999999"/>
        <n v="20.8"/>
        <n v="19.899999999999999"/>
        <n v="35.700000000000003"/>
        <n v="28.4"/>
        <n v="34.200000000000003"/>
        <n v="22.3"/>
        <n v="27.4"/>
        <n v="28.8"/>
        <n v="26.8"/>
        <n v="19.8"/>
        <n v="16.899999999999999"/>
        <n v="18.2"/>
        <n v="17.600000000000001"/>
        <n v="27.9"/>
        <n v="32.1"/>
        <n v="26.4"/>
        <n v="24.3"/>
        <n v="23.6"/>
        <n v="19.100000000000001"/>
        <n v="25.8"/>
        <n v="39"/>
        <n v="26.6"/>
        <n v="34.4"/>
        <n v="34.700000000000003"/>
        <n v="29.9"/>
        <n v="23.5"/>
        <n v="22.4"/>
      </sharedItems>
    </cacheField>
    <cacheField name="cylinders" numFmtId="0">
      <sharedItems containsSemiMixedTypes="0" containsString="0" containsNumber="1" containsInteger="1" minValue="3" maxValue="8" count="5">
        <n v="4"/>
        <n v="6"/>
        <n v="5"/>
        <n v="3"/>
        <n v="8"/>
      </sharedItems>
    </cacheField>
    <cacheField name="displacement" numFmtId="0">
      <sharedItems containsSemiMixedTypes="0" containsString="0" containsNumber="1" minValue="68" maxValue="455"/>
    </cacheField>
    <cacheField name="horsepower" numFmtId="0">
      <sharedItems containsString="0" containsBlank="1" containsNumber="1" containsInteger="1" minValue="46" maxValue="230"/>
    </cacheField>
    <cacheField name="weight" numFmtId="0">
      <sharedItems containsSemiMixedTypes="0" containsString="0" containsNumber="1" containsInteger="1" minValue="1613" maxValue="5140" count="351">
        <n v="2234"/>
        <n v="2375"/>
        <n v="2430"/>
        <n v="2672"/>
        <n v="1835"/>
        <n v="2123"/>
        <n v="2065"/>
        <n v="2074"/>
        <n v="1834"/>
        <n v="2933"/>
        <n v="2189"/>
        <n v="2511"/>
        <n v="2979"/>
        <n v="2254"/>
        <n v="2660"/>
        <n v="2265"/>
        <n v="2868"/>
        <n v="2582"/>
        <n v="2158"/>
        <n v="1867"/>
        <n v="1950"/>
        <n v="2219"/>
        <n v="2108"/>
        <n v="1963"/>
        <n v="2300"/>
        <n v="2000"/>
        <n v="2246"/>
        <n v="2671"/>
        <n v="1937"/>
        <n v="2694"/>
        <n v="2945"/>
        <n v="2223"/>
        <n v="2957"/>
        <n v="1825"/>
        <n v="2202"/>
        <n v="2220"/>
        <n v="2464"/>
        <n v="3150"/>
        <n v="3270"/>
        <n v="3820"/>
        <n v="2600"/>
        <n v="1940"/>
        <n v="2190"/>
        <n v="2795"/>
        <n v="1990"/>
        <n v="1985"/>
        <n v="2830"/>
        <n v="3140"/>
        <n v="3410"/>
        <n v="1925"/>
        <n v="2130"/>
        <n v="3190"/>
        <n v="3530"/>
        <n v="2188"/>
        <n v="2144"/>
        <n v="2500"/>
        <n v="1845"/>
        <n v="2085"/>
        <n v="3250"/>
        <n v="2335"/>
        <n v="2950"/>
        <n v="3230"/>
        <n v="2320"/>
        <n v="3160"/>
        <n v="1980"/>
        <n v="2372"/>
        <n v="1613"/>
        <n v="2228"/>
        <n v="1773"/>
        <n v="2330"/>
        <n v="2100"/>
        <n v="2278"/>
        <n v="2288"/>
        <n v="2506"/>
        <n v="2124"/>
        <n v="2379"/>
        <n v="2279"/>
        <n v="2807"/>
        <n v="2489"/>
        <n v="2391"/>
        <n v="1836"/>
        <n v="1649"/>
        <n v="2003"/>
        <n v="2545"/>
        <n v="2702"/>
        <n v="2171"/>
        <n v="1795"/>
        <n v="2155"/>
        <n v="2930"/>
        <n v="2720"/>
        <n v="1945"/>
        <n v="2045"/>
        <n v="2815"/>
        <n v="2405"/>
        <n v="2515"/>
        <n v="2560"/>
        <n v="2070"/>
        <n v="1800"/>
        <n v="2135"/>
        <n v="1975"/>
        <n v="2020"/>
        <n v="2420"/>
        <n v="2434"/>
        <n v="1850"/>
        <n v="2711"/>
        <n v="2019"/>
        <n v="2290"/>
        <n v="2145"/>
        <n v="2110"/>
        <n v="1968"/>
        <n v="2542"/>
        <n v="2910"/>
        <n v="2615"/>
        <n v="1760"/>
        <n v="2210"/>
        <n v="1755"/>
        <n v="2350"/>
        <n v="2050"/>
        <n v="2635"/>
        <n v="2900"/>
        <n v="2160"/>
        <n v="2665"/>
        <n v="1970"/>
        <n v="1965"/>
        <n v="2205"/>
        <n v="1995"/>
        <n v="2025"/>
        <n v="2245"/>
        <n v="2774"/>
        <n v="2648"/>
        <n v="2833"/>
        <n v="2587"/>
        <n v="3086"/>
        <n v="4425"/>
        <n v="4354"/>
        <n v="4312"/>
        <n v="3850"/>
        <n v="4382"/>
        <n v="3563"/>
        <n v="4615"/>
        <n v="4376"/>
        <n v="4341"/>
        <n v="3693"/>
        <n v="3609"/>
        <n v="3433"/>
        <n v="3436"/>
        <n v="4732"/>
        <n v="3449"/>
        <n v="3761"/>
        <n v="3504"/>
        <n v="2264"/>
        <n v="1955"/>
        <n v="2408"/>
        <n v="2046"/>
        <n v="2634"/>
        <n v="2962"/>
        <n v="3439"/>
        <n v="3282"/>
        <n v="3288"/>
        <n v="3329"/>
        <n v="3139"/>
        <n v="3302"/>
        <n v="4209"/>
        <n v="4464"/>
        <n v="4154"/>
        <n v="4096"/>
        <n v="4955"/>
        <n v="4746"/>
        <n v="5140"/>
        <n v="2226"/>
        <n v="2126"/>
        <n v="2164"/>
        <n v="2395"/>
        <n v="4633"/>
        <n v="4422"/>
        <n v="3672"/>
        <n v="4385"/>
        <n v="4274"/>
        <n v="3892"/>
        <n v="4129"/>
        <n v="4077"/>
        <n v="4135"/>
        <n v="4456"/>
        <n v="4502"/>
        <n v="4294"/>
        <n v="4098"/>
        <n v="2310"/>
        <n v="2401"/>
        <n v="2472"/>
        <n v="2789"/>
        <n v="3121"/>
        <n v="2904"/>
        <n v="3278"/>
        <n v="3021"/>
        <n v="4278"/>
        <n v="3664"/>
        <n v="3821"/>
        <n v="4951"/>
        <n v="4735"/>
        <n v="3399"/>
        <n v="4100"/>
        <n v="4952"/>
        <n v="4499"/>
        <n v="3777"/>
        <n v="4654"/>
        <n v="3988"/>
        <n v="4363"/>
        <n v="4082"/>
        <n v="4237"/>
        <n v="4906"/>
        <n v="4042"/>
        <n v="4997"/>
        <n v="2125"/>
        <n v="2451"/>
        <n v="2901"/>
        <n v="3102"/>
        <n v="3632"/>
        <n v="3336"/>
        <n v="3613"/>
        <n v="3781"/>
        <n v="2875"/>
        <n v="4257"/>
        <n v="4141"/>
        <n v="4457"/>
        <n v="4699"/>
        <n v="4638"/>
        <n v="2639"/>
        <n v="2592"/>
        <n v="3039"/>
        <n v="2914"/>
        <n v="2984"/>
        <n v="3459"/>
        <n v="3730"/>
        <n v="3264"/>
        <n v="3907"/>
        <n v="3211"/>
        <n v="3897"/>
        <n v="3785"/>
        <n v="3158"/>
        <n v="3432"/>
        <n v="3169"/>
        <n v="4668"/>
        <n v="3221"/>
        <n v="4498"/>
        <n v="4440"/>
        <n v="4657"/>
        <n v="2572"/>
        <n v="2255"/>
        <n v="2565"/>
        <n v="2035"/>
        <n v="3353"/>
        <n v="3233"/>
        <n v="3645"/>
        <n v="3193"/>
        <n v="3085"/>
        <n v="3651"/>
        <n v="3012"/>
        <n v="3574"/>
        <n v="4380"/>
        <n v="3755"/>
        <n v="3940"/>
        <n v="4215"/>
        <n v="4055"/>
        <n v="4190"/>
        <n v="3870"/>
        <n v="3962"/>
        <n v="2075"/>
        <n v="2755"/>
        <n v="2740"/>
        <n v="2051"/>
        <n v="3520"/>
        <n v="3425"/>
        <n v="3525"/>
        <n v="3630"/>
        <n v="4325"/>
        <n v="4220"/>
        <n v="4165"/>
        <n v="3880"/>
        <n v="4140"/>
        <n v="4335"/>
        <n v="4295"/>
        <n v="4060"/>
        <n v="2745"/>
        <n v="2230"/>
        <n v="2855"/>
        <n v="3445"/>
        <n v="3380"/>
        <n v="3620"/>
        <n v="3155"/>
        <n v="3535"/>
        <n v="3430"/>
        <n v="2965"/>
        <n v="3210"/>
        <n v="3070"/>
        <n v="3205"/>
        <n v="3570"/>
        <n v="3735"/>
        <n v="4080"/>
        <n v="3365"/>
        <n v="1915"/>
        <n v="2556"/>
        <n v="2670"/>
        <n v="2150"/>
        <n v="2200"/>
        <n v="2890"/>
        <n v="2595"/>
        <n v="2700"/>
        <n v="3245"/>
        <n v="3360"/>
        <n v="2990"/>
        <n v="3265"/>
        <n v="4360"/>
        <n v="3830"/>
        <n v="4054"/>
        <n v="3955"/>
        <n v="3605"/>
        <n v="3725"/>
        <n v="3840"/>
        <n v="3900"/>
        <n v="3420"/>
        <n v="2800"/>
        <n v="2678"/>
        <n v="2120"/>
        <n v="2870"/>
        <n v="3003"/>
        <n v="2905"/>
        <n v="3381"/>
        <n v="2385"/>
        <n v="2620"/>
        <n v="1875"/>
        <n v="2490"/>
        <n v="2215"/>
        <n v="2380"/>
        <n v="2725"/>
        <n v="3415"/>
        <n v="3060"/>
        <n v="3465"/>
        <n v="2295"/>
        <n v="2585"/>
        <n v="2370"/>
        <n v="2605"/>
        <n v="2640"/>
        <n v="2525"/>
        <n v="2575"/>
        <n v="2735"/>
        <n v="2865"/>
        <n v="2790"/>
        <n v="2625"/>
        <n v="3035"/>
        <n v="2835"/>
        <n v="3015"/>
      </sharedItems>
    </cacheField>
    <cacheField name="Power-to-Weight" numFmtId="0">
      <sharedItems containsSemiMixedTypes="0" containsString="0" containsNumber="1" minValue="0" maxValue="7.2909915748541804E-2" count="380">
        <n v="5.0581915846016116E-2"/>
        <n v="0.04"/>
        <n v="3.7037037037037035E-2"/>
        <n v="3.2559880239520958E-2"/>
        <n v="2.5068119891008173E-2"/>
        <n v="4.239284032030146E-2"/>
        <n v="3.6803874092009685E-2"/>
        <n v="3.3751205400192864E-2"/>
        <n v="3.271537622682661E-2"/>
        <n v="3.8186157517899763E-2"/>
        <n v="3.1521242576518956E-2"/>
        <n v="3.0266825965750695E-2"/>
        <n v="2.920443101711984E-2"/>
        <n v="2.3957409050576754E-2"/>
        <n v="4.1353383458646614E-2"/>
        <n v="3.9735099337748346E-2"/>
        <n v="3.9051603905160388E-2"/>
        <n v="3.5243996901626648E-2"/>
        <n v="3.4754402224281743E-2"/>
        <n v="2.6245313336904125E-2"/>
        <n v="2.3589743589743591E-2"/>
        <n v="3.740423614240649E-2"/>
        <n v="3.5578747628083489E-2"/>
        <n v="3.4131431482424861E-2"/>
        <n v="3.3913043478260872E-2"/>
        <n v="3.3500000000000002E-2"/>
        <n v="3.3392698130008905E-2"/>
        <n v="4.3055035567203297E-2"/>
        <n v="3.6138358286009295E-2"/>
        <n v="3.526354862657758E-2"/>
        <n v="3.3276740237691005E-2"/>
        <n v="3.1938821412505626E-2"/>
        <n v="2.9759891782211702E-2"/>
        <n v="3.8904109589041093E-2"/>
        <n v="3.7693006357856496E-2"/>
        <n v="3.6486486486486489E-2"/>
        <n v="3.49025974025974E-2"/>
        <n v="3.2380952380952378E-2"/>
        <n v="2.6911314984709479E-2"/>
        <n v="3.1413612565445025E-2"/>
        <n v="4.230769230769231E-2"/>
        <n v="4.0206185567010312E-2"/>
        <n v="3.5616438356164383E-2"/>
        <n v="3.1780821917808219E-2"/>
        <n v="4.1144901610017888E-2"/>
        <n v="3.5678391959798994E-2"/>
        <n v="2.4181360201511334E-2"/>
        <n v="3.6395759717314485E-2"/>
        <n v="3.9808917197452227E-2"/>
        <n v="3.9002932551319647E-2"/>
        <n v="3.6883116883116886E-2"/>
        <n v="3.2394366197183097E-2"/>
        <n v="2.2257053291536051E-2"/>
        <n v="2.1813031161473088E-2"/>
        <n v="3.5648994515539302E-2"/>
        <n v="3.5447761194029849E-2"/>
        <n v="3.5200000000000002E-2"/>
        <n v="3.3604336043360432E-2"/>
        <n v="2.302158273381295E-2"/>
        <n v="2.0615384615384615E-2"/>
        <n v="2.0556745182012847E-2"/>
        <n v="0"/>
        <n v="2.271186440677966E-2"/>
        <n v="3.3789954337899546E-2"/>
        <n v="2.4767801857585141E-2"/>
        <n v="2.4050632911392405E-2"/>
        <n v="3.7373737373737372E-2"/>
        <n v="2.4413145539906103E-2"/>
        <n v="4.1314553990610327E-2"/>
        <n v="4.0050590219224282E-2"/>
        <n v="4.2777433353998758E-2"/>
        <n v="4.2639138240574505E-2"/>
        <n v="3.6661026508742242E-2"/>
        <n v="4.1630901287553645E-2"/>
        <n v="4.1904761904761903E-2"/>
        <n v="4.1703248463564532E-2"/>
        <n v="4.0209790209790208E-2"/>
        <n v="3.8707102952913006E-2"/>
        <n v="4.2372881355932202E-2"/>
        <n v="3.9512400168137875E-2"/>
        <n v="3.861342694164107E-2"/>
        <n v="4.3462771642322762E-2"/>
        <n v="3.8971474487746086E-2"/>
        <n v="3.889585947302384E-2"/>
        <n v="3.5403050108932459E-2"/>
        <n v="3.4358974358974358E-2"/>
        <n v="3.1534263189812006E-2"/>
        <n v="3.0454318522216674E-2"/>
        <n v="3.81139489194499E-2"/>
        <n v="3.552923760177646E-2"/>
        <n v="3.4546292031321972E-2"/>
        <n v="2.9526462395543174E-2"/>
        <n v="3.5175879396984924E-2"/>
        <n v="3.4802784222737818E-2"/>
        <n v="3.6860068259385668E-2"/>
        <n v="4.0441176470588237E-2"/>
        <n v="3.5989717223650387E-2"/>
        <n v="3.3753148614609575E-2"/>
        <n v="3.3251833740831294E-2"/>
        <n v="3.3112582781456956E-2"/>
        <n v="3.4458259325044406E-2"/>
        <n v="4.2173913043478263E-2"/>
        <n v="4.0332640332640335E-2"/>
        <n v="3.7773359840954271E-2"/>
        <n v="3.7109375E-2"/>
        <n v="3.3816425120772944E-2"/>
        <n v="3.3333333333333333E-2"/>
        <n v="3.1850117096018739E-2"/>
        <n v="2.6196473551637279E-2"/>
        <n v="3.2911392405063293E-2"/>
        <n v="3.2178217821782179E-2"/>
        <n v="4.1322314049586778E-2"/>
        <n v="3.7797863599013971E-2"/>
        <n v="3.6216216216216214E-2"/>
        <n v="3.3198081888601995E-2"/>
        <n v="3.2194155522535906E-2"/>
        <n v="3.1441048034934499E-2"/>
        <n v="3.1235431235431235E-2"/>
        <n v="3.0805687203791468E-2"/>
        <n v="3.048780487804878E-2"/>
        <n v="2.9504327301337528E-2"/>
        <n v="4.536082474226804E-2"/>
        <n v="3.8240917782026769E-2"/>
        <n v="3.425692695214106E-2"/>
        <n v="3.4090909090909088E-2"/>
        <n v="3.3936651583710405E-2"/>
        <n v="3.3048433048433051E-2"/>
        <n v="3.2445520581113801E-2"/>
        <n v="3.1914893617021274E-2"/>
        <n v="3.0243902439024389E-2"/>
        <n v="2.808349146110057E-2"/>
        <n v="4.0955631399317405E-2"/>
        <n v="4.0740740740740744E-2"/>
        <n v="3.6022514071294559E-2"/>
        <n v="3.4517766497461931E-2"/>
        <n v="3.4096692111959287E-2"/>
        <n v="3.4013605442176874E-2"/>
        <n v="3.3583959899749376E-2"/>
        <n v="3.3580246913580247E-2"/>
        <n v="3.1180400890868598E-2"/>
        <n v="3.4967555875991346E-2"/>
        <n v="3.3987915407854986E-2"/>
        <n v="3.3533356865513592E-2"/>
        <n v="3.2856590645535366E-2"/>
        <n v="7.2909915748541804E-2"/>
        <n v="5.0847457627118647E-2"/>
        <n v="5.0528249885163065E-2"/>
        <n v="4.9860853432282005E-2"/>
        <n v="4.9350649350649353E-2"/>
        <n v="4.7923322683706068E-2"/>
        <n v="4.771260174010665E-2"/>
        <n v="4.6587215601300108E-2"/>
        <n v="4.5703839122486288E-2"/>
        <n v="4.5611610228058048E-2"/>
        <n v="4.4679122664500408E-2"/>
        <n v="4.433361041839845E-2"/>
        <n v="4.3693562481794346E-2"/>
        <n v="4.3655413271245634E-2"/>
        <n v="4.0786136939983092E-2"/>
        <n v="4.0591475790084083E-2"/>
        <n v="3.988300983780909E-2"/>
        <n v="3.7100456621004564E-2"/>
        <n v="3.9752650176678443E-2"/>
        <n v="3.8738738738738739E-2"/>
        <n v="3.5805626598465472E-2"/>
        <n v="2.9900332225913623E-2"/>
        <n v="3.7965072133637055E-2"/>
        <n v="3.7137069547602972E-2"/>
        <n v="3.0532131433556268E-2"/>
        <n v="3.0469226081657527E-2"/>
        <n v="3.0413625304136254E-2"/>
        <n v="3.0039050765995796E-2"/>
        <n v="2.8034405861739407E-2"/>
        <n v="2.6650514839491216E-2"/>
        <n v="3.9201710620099785E-2"/>
        <n v="3.9202508960573479E-2"/>
        <n v="3.6831969186326433E-2"/>
        <n v="3.662109375E-2"/>
        <n v="3.6326942482341071E-2"/>
        <n v="3.5819637589549091E-2"/>
        <n v="3.4046692607003888E-2"/>
        <n v="3.8634321653189578E-2"/>
        <n v="3.7629350893697081E-2"/>
        <n v="3.7375415282392029E-2"/>
        <n v="3.6968576709796676E-2"/>
        <n v="3.5908141962421709E-2"/>
        <n v="4.4895316209799266E-2"/>
        <n v="4.2966983265490727E-2"/>
        <n v="4.084967320261438E-2"/>
        <n v="3.9908779931584946E-2"/>
        <n v="3.8605521759475903E-2"/>
        <n v="3.8540596094552931E-2"/>
        <n v="3.705497699200775E-2"/>
        <n v="3.679175864606328E-2"/>
        <n v="3.6275695284159616E-2"/>
        <n v="3.5906642728904849E-2"/>
        <n v="3.442914260328743E-2"/>
        <n v="3.2603632976245925E-2"/>
        <n v="3.1722791605661299E-2"/>
        <n v="3.67965367965368E-2"/>
        <n v="2.9987505206164097E-2"/>
        <n v="4.3284789644012944E-2"/>
        <n v="3.5855145213338116E-2"/>
        <n v="3.3955857385398983E-2"/>
        <n v="3.3643063120794618E-2"/>
        <n v="3.2713498622589529E-2"/>
        <n v="3.0506406345332519E-2"/>
        <n v="2.9129427341939754E-2"/>
        <n v="5.3763440860215055E-2"/>
        <n v="4.9126637554585149E-2"/>
        <n v="4.5799528919131118E-2"/>
        <n v="4.5445364572813576E-2"/>
        <n v="4.5406546990496302E-2"/>
        <n v="4.4130626654898503E-2"/>
        <n v="4.2682926829268296E-2"/>
        <n v="3.998384491114701E-2"/>
        <n v="4.0008890864636583E-2"/>
        <n v="3.971405877680699E-2"/>
        <n v="3.6527718091963902E-2"/>
        <n v="3.6359077231695083E-2"/>
        <n v="3.6213614485445793E-2"/>
        <n v="3.5521803037726604E-2"/>
        <n v="3.5402407363700733E-2"/>
        <n v="3.4039951080309827E-2"/>
        <n v="3.3894111825828799E-2"/>
        <n v="3.3602150537634407E-2"/>
        <n v="3.0018010806483891E-2"/>
        <n v="3.5294117647058823E-2"/>
        <n v="3.2639738882088945E-2"/>
        <n v="3.447087211306446E-2"/>
        <n v="3.0625402965828497E-2"/>
        <n v="3.0286343612334801E-2"/>
        <n v="2.9976019184652279E-2"/>
        <n v="2.9061721561029614E-2"/>
        <n v="2.6448029621793177E-2"/>
        <n v="3.5236081747709654E-2"/>
        <n v="3.3808258874667957E-2"/>
        <n v="3.3654924837334531E-2"/>
        <n v="3.192168546499255E-2"/>
        <n v="3.0185424752048298E-2"/>
        <n v="3.1451307313376281E-2"/>
        <n v="3.0092592592592591E-2"/>
        <n v="3.61961171437973E-2"/>
        <n v="3.4317089910775568E-2"/>
        <n v="3.2506702412868634E-2"/>
        <n v="3.0355594102341718E-2"/>
        <n v="2.9490616621983913E-2"/>
        <n v="2.9105392156862746E-2"/>
        <n v="2.8154594317890965E-2"/>
        <n v="2.8028651510432889E-2"/>
        <n v="2.6943802925327175E-2"/>
        <n v="2.5099075297225892E-2"/>
        <n v="2.2799240025332488E-2"/>
        <n v="2.097902097902098E-2"/>
        <n v="4.0706847585989268E-2"/>
        <n v="3.6418166238217649E-2"/>
        <n v="3.4150884818379384E-2"/>
        <n v="3.3348154735437972E-2"/>
        <n v="3.2657657657657657E-2"/>
        <n v="3.1780115954477134E-2"/>
        <n v="3.5769828926905133E-2"/>
        <n v="3.5033259423503327E-2"/>
        <n v="2.8070175438596492E-2"/>
        <n v="2.7726432532347505E-2"/>
        <n v="2.5552825552825554E-2"/>
        <n v="3.1315240083507306E-2"/>
        <n v="3.093102381688834E-2"/>
        <n v="3.017832647462277E-2"/>
        <n v="2.9752583777012214E-2"/>
        <n v="2.9173419773095625E-2"/>
        <n v="2.7389756231169543E-2"/>
        <n v="2.6892430278884463E-2"/>
        <n v="2.1824286513710128E-2"/>
        <n v="4.1095890410958902E-2"/>
        <n v="3.9946737683089213E-2"/>
        <n v="3.8071065989847719E-2"/>
        <n v="3.6061684460260972E-2"/>
        <n v="3.5758323057953144E-2"/>
        <n v="3.5799522673031027E-2"/>
        <n v="3.3591731266149873E-2"/>
        <n v="3.3214709371292998E-2"/>
        <n v="3.0287733467945482E-2"/>
        <n v="4.1739130434782612E-2"/>
        <n v="3.7122969837587005E-2"/>
        <n v="3.2304900181488204E-2"/>
        <n v="3.2116788321167884E-2"/>
        <n v="3.0716723549488054E-2"/>
        <n v="3.125E-2"/>
        <n v="3.0656934306569343E-2"/>
        <n v="2.7801418439716313E-2"/>
        <n v="2.7548209366391185E-2"/>
        <n v="4.3930635838150288E-2"/>
        <n v="4.2654028436018961E-2"/>
        <n v="4.0816326530612242E-2"/>
        <n v="3.7371134020618556E-2"/>
        <n v="3.5024154589371984E-2"/>
        <n v="3.4371395617070359E-2"/>
        <n v="3.0267753201396973E-2"/>
        <n v="2.7093596059113302E-2"/>
        <n v="3.825136612021858E-2"/>
        <n v="3.6666666666666667E-2"/>
        <n v="3.3632286995515695E-2"/>
        <n v="3.2352941176470591E-2"/>
        <n v="3.1554524361948957E-2"/>
        <n v="2.9772329246935202E-2"/>
        <n v="4.7895500725689405E-2"/>
        <n v="3.519061583577713E-2"/>
        <n v="3.1065088757396449E-2"/>
        <n v="3.0386740331491711E-2"/>
        <n v="3.0110935023771792E-2"/>
        <n v="2.9702970297029702E-2"/>
        <n v="2.9154518950437316E-2"/>
        <n v="2.866779089376054E-2"/>
        <n v="2.8037383177570093E-2"/>
        <n v="2.7687296416938109E-2"/>
        <n v="4.3369734789391573E-2"/>
        <n v="4.2335766423357665E-2"/>
        <n v="3.8935574229691877E-2"/>
        <n v="3.7483266398929051E-2"/>
        <n v="3.4313725490196081E-2"/>
        <n v="3.2689450222882617E-2"/>
        <n v="4.1775456919060053E-2"/>
        <n v="3.5211267605633804E-2"/>
        <n v="3.3707865168539325E-2"/>
        <n v="3.255813953488372E-2"/>
        <n v="3.1818181818181815E-2"/>
        <n v="3.0449826989619379E-2"/>
        <n v="2.9962546816479401E-2"/>
        <n v="4.4315992292870907E-2"/>
        <n v="4.2592592592592592E-2"/>
        <n v="3.543913713405239E-2"/>
        <n v="3.273809523809524E-2"/>
        <n v="2.8428093645484948E-2"/>
        <n v="2.7565084226646247E-2"/>
        <n v="3.5550458715596332E-2"/>
        <n v="3.5248041775456922E-2"/>
        <n v="3.5027133695115932E-2"/>
        <n v="3.4892541087231353E-2"/>
        <n v="3.4674063800277391E-2"/>
        <n v="3.4630872483221477E-2"/>
        <n v="3.3854166666666664E-2"/>
        <n v="3.2051282051282048E-2"/>
        <n v="2.6315789473684209E-2"/>
        <n v="3.7499999999999999E-2"/>
        <n v="3.3607169529499624E-2"/>
        <n v="3.3018867924528301E-2"/>
        <n v="3.0662020905923345E-2"/>
        <n v="2.9970029970029972E-2"/>
        <n v="2.6619343389529725E-2"/>
        <n v="3.5220125786163521E-2"/>
        <n v="3.5114503816793895E-2"/>
        <n v="3.4133333333333335E-2"/>
        <n v="3.3734939759036145E-2"/>
        <n v="3.1878557874762806E-2"/>
        <n v="3.1784841075794622E-2"/>
        <n v="2.8442437923250564E-2"/>
        <n v="2.7310924369747899E-2"/>
        <n v="4.0366972477064222E-2"/>
        <n v="3.2210834553440704E-2"/>
        <n v="2.8758169934640521E-2"/>
        <n v="2.4531024531024532E-2"/>
        <n v="2.8187919463087248E-2"/>
        <n v="3.6743215031315238E-2"/>
        <n v="3.6601307189542485E-2"/>
        <n v="3.5589941972920695E-2"/>
        <n v="3.5443037974683546E-2"/>
        <n v="3.3781190019193857E-2"/>
        <n v="3.3267326732673269E-2"/>
        <n v="3.3009708737864081E-2"/>
        <n v="3.2941176470588238E-2"/>
        <n v="3.2906764168190127E-2"/>
        <n v="3.2111692844677138E-2"/>
        <n v="3.0824372759856632E-2"/>
        <n v="3.0508474576271188E-2"/>
        <n v="3.0147058823529412E-2"/>
        <n v="3.0095238095238095E-2"/>
        <n v="2.9647058823529412E-2"/>
        <n v="3.9506172839506172E-2"/>
        <n v="3.7351443123938878E-2"/>
        <n v="2.8192371475953566E-2"/>
      </sharedItems>
    </cacheField>
    <cacheField name="acceleration" numFmtId="0">
      <sharedItems containsSemiMixedTypes="0" containsString="0" containsNumber="1" minValue="8" maxValue="24.8"/>
    </cacheField>
    <cacheField name="model_year" numFmtId="0">
      <sharedItems containsSemiMixedTypes="0" containsString="0" containsNumber="1" containsInteger="1" minValue="70" maxValue="82" count="13">
        <n v="70"/>
        <n v="71"/>
        <n v="72"/>
        <n v="73"/>
        <n v="74"/>
        <n v="75"/>
        <n v="76"/>
        <n v="77"/>
        <n v="78"/>
        <n v="79"/>
        <n v="80"/>
        <n v="81"/>
        <n v="82"/>
      </sharedItems>
    </cacheField>
    <cacheField name="origin" numFmtId="0">
      <sharedItems count="3">
        <s v="europe"/>
        <s v="japan"/>
        <s v="usa"/>
      </sharedItems>
    </cacheField>
  </cacheFields>
  <extLst>
    <ext xmlns:x14="http://schemas.microsoft.com/office/spreadsheetml/2009/9/main" uri="{725AE2AE-9491-48be-B2B4-4EB974FC3084}">
      <x14:pivotCacheDefinition pivotCacheId="4106435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8">
  <r>
    <x v="0"/>
    <n v="18"/>
    <x v="0"/>
    <n v="307"/>
    <n v="130"/>
    <n v="3504"/>
    <n v="12"/>
    <x v="0"/>
    <x v="0"/>
  </r>
  <r>
    <x v="1"/>
    <n v="15"/>
    <x v="0"/>
    <n v="350"/>
    <n v="165"/>
    <n v="3693"/>
    <n v="11.5"/>
    <x v="0"/>
    <x v="0"/>
  </r>
  <r>
    <x v="2"/>
    <n v="18"/>
    <x v="0"/>
    <n v="318"/>
    <n v="150"/>
    <n v="3436"/>
    <n v="11"/>
    <x v="0"/>
    <x v="0"/>
  </r>
  <r>
    <x v="3"/>
    <n v="16"/>
    <x v="0"/>
    <n v="304"/>
    <n v="150"/>
    <n v="3433"/>
    <n v="12"/>
    <x v="0"/>
    <x v="0"/>
  </r>
  <r>
    <x v="4"/>
    <n v="17"/>
    <x v="0"/>
    <n v="302"/>
    <n v="140"/>
    <n v="3449"/>
    <n v="10.5"/>
    <x v="0"/>
    <x v="0"/>
  </r>
  <r>
    <x v="5"/>
    <n v="15"/>
    <x v="0"/>
    <n v="429"/>
    <n v="198"/>
    <n v="4341"/>
    <n v="10"/>
    <x v="0"/>
    <x v="0"/>
  </r>
  <r>
    <x v="6"/>
    <n v="14"/>
    <x v="0"/>
    <n v="454"/>
    <n v="220"/>
    <n v="4354"/>
    <n v="9"/>
    <x v="0"/>
    <x v="0"/>
  </r>
  <r>
    <x v="7"/>
    <n v="14"/>
    <x v="0"/>
    <n v="440"/>
    <n v="215"/>
    <n v="4312"/>
    <n v="8.5"/>
    <x v="0"/>
    <x v="0"/>
  </r>
  <r>
    <x v="8"/>
    <n v="14"/>
    <x v="0"/>
    <n v="455"/>
    <n v="225"/>
    <n v="4425"/>
    <n v="10"/>
    <x v="0"/>
    <x v="0"/>
  </r>
  <r>
    <x v="9"/>
    <n v="15"/>
    <x v="0"/>
    <n v="390"/>
    <n v="190"/>
    <n v="3850"/>
    <n v="8.5"/>
    <x v="0"/>
    <x v="0"/>
  </r>
  <r>
    <x v="10"/>
    <n v="15"/>
    <x v="0"/>
    <n v="383"/>
    <n v="170"/>
    <n v="3563"/>
    <n v="10"/>
    <x v="0"/>
    <x v="0"/>
  </r>
  <r>
    <x v="11"/>
    <n v="14"/>
    <x v="0"/>
    <n v="340"/>
    <n v="160"/>
    <n v="3609"/>
    <n v="8"/>
    <x v="0"/>
    <x v="0"/>
  </r>
  <r>
    <x v="12"/>
    <n v="15"/>
    <x v="0"/>
    <n v="400"/>
    <n v="150"/>
    <n v="3761"/>
    <n v="9.5"/>
    <x v="0"/>
    <x v="0"/>
  </r>
  <r>
    <x v="13"/>
    <n v="14"/>
    <x v="0"/>
    <n v="455"/>
    <n v="225"/>
    <n v="3086"/>
    <n v="10"/>
    <x v="0"/>
    <x v="0"/>
  </r>
  <r>
    <x v="14"/>
    <n v="24"/>
    <x v="1"/>
    <n v="113"/>
    <n v="95"/>
    <n v="2372"/>
    <n v="15"/>
    <x v="0"/>
    <x v="1"/>
  </r>
  <r>
    <x v="15"/>
    <n v="22"/>
    <x v="2"/>
    <n v="198"/>
    <n v="95"/>
    <n v="2833"/>
    <n v="15.5"/>
    <x v="0"/>
    <x v="0"/>
  </r>
  <r>
    <x v="16"/>
    <n v="18"/>
    <x v="2"/>
    <n v="199"/>
    <n v="97"/>
    <n v="2774"/>
    <n v="15.5"/>
    <x v="0"/>
    <x v="0"/>
  </r>
  <r>
    <x v="17"/>
    <n v="21"/>
    <x v="2"/>
    <n v="200"/>
    <n v="85"/>
    <n v="2587"/>
    <n v="16"/>
    <x v="0"/>
    <x v="0"/>
  </r>
  <r>
    <x v="18"/>
    <n v="27"/>
    <x v="1"/>
    <n v="97"/>
    <n v="88"/>
    <n v="2130"/>
    <n v="14.5"/>
    <x v="0"/>
    <x v="1"/>
  </r>
  <r>
    <x v="19"/>
    <n v="26"/>
    <x v="1"/>
    <n v="97"/>
    <n v="46"/>
    <n v="1835"/>
    <n v="20.5"/>
    <x v="0"/>
    <x v="2"/>
  </r>
  <r>
    <x v="20"/>
    <n v="25"/>
    <x v="1"/>
    <n v="110"/>
    <n v="87"/>
    <n v="2672"/>
    <n v="17.5"/>
    <x v="0"/>
    <x v="2"/>
  </r>
  <r>
    <x v="21"/>
    <n v="24"/>
    <x v="1"/>
    <n v="107"/>
    <n v="90"/>
    <n v="2430"/>
    <n v="14.5"/>
    <x v="0"/>
    <x v="2"/>
  </r>
  <r>
    <x v="22"/>
    <n v="25"/>
    <x v="1"/>
    <n v="104"/>
    <n v="95"/>
    <n v="2375"/>
    <n v="17.5"/>
    <x v="0"/>
    <x v="2"/>
  </r>
  <r>
    <x v="23"/>
    <n v="26"/>
    <x v="1"/>
    <n v="121"/>
    <n v="113"/>
    <n v="2234"/>
    <n v="12.5"/>
    <x v="0"/>
    <x v="2"/>
  </r>
  <r>
    <x v="24"/>
    <n v="21"/>
    <x v="2"/>
    <n v="199"/>
    <n v="90"/>
    <n v="2648"/>
    <n v="15"/>
    <x v="0"/>
    <x v="0"/>
  </r>
  <r>
    <x v="25"/>
    <n v="10"/>
    <x v="0"/>
    <n v="360"/>
    <n v="215"/>
    <n v="4615"/>
    <n v="14"/>
    <x v="0"/>
    <x v="0"/>
  </r>
  <r>
    <x v="26"/>
    <n v="10"/>
    <x v="0"/>
    <n v="307"/>
    <n v="200"/>
    <n v="4376"/>
    <n v="15"/>
    <x v="0"/>
    <x v="0"/>
  </r>
  <r>
    <x v="27"/>
    <n v="11"/>
    <x v="0"/>
    <n v="318"/>
    <n v="210"/>
    <n v="4382"/>
    <n v="13.5"/>
    <x v="0"/>
    <x v="0"/>
  </r>
  <r>
    <x v="28"/>
    <n v="9"/>
    <x v="0"/>
    <n v="304"/>
    <n v="193"/>
    <n v="4732"/>
    <n v="18.5"/>
    <x v="0"/>
    <x v="0"/>
  </r>
  <r>
    <x v="18"/>
    <n v="27"/>
    <x v="1"/>
    <n v="97"/>
    <n v="88"/>
    <n v="2130"/>
    <n v="14.5"/>
    <x v="1"/>
    <x v="1"/>
  </r>
  <r>
    <x v="29"/>
    <n v="28"/>
    <x v="1"/>
    <n v="140"/>
    <n v="90"/>
    <n v="2264"/>
    <n v="15.5"/>
    <x v="1"/>
    <x v="0"/>
  </r>
  <r>
    <x v="30"/>
    <n v="25"/>
    <x v="1"/>
    <n v="113"/>
    <n v="95"/>
    <n v="2228"/>
    <n v="14"/>
    <x v="1"/>
    <x v="1"/>
  </r>
  <r>
    <x v="31"/>
    <n v="25"/>
    <x v="1"/>
    <n v="98"/>
    <m/>
    <n v="2046"/>
    <n v="19"/>
    <x v="1"/>
    <x v="0"/>
  </r>
  <r>
    <x v="24"/>
    <n v="19"/>
    <x v="2"/>
    <n v="232"/>
    <n v="100"/>
    <n v="2634"/>
    <n v="13"/>
    <x v="1"/>
    <x v="0"/>
  </r>
  <r>
    <x v="32"/>
    <n v="16"/>
    <x v="2"/>
    <n v="225"/>
    <n v="105"/>
    <n v="3439"/>
    <n v="15.5"/>
    <x v="1"/>
    <x v="0"/>
  </r>
  <r>
    <x v="0"/>
    <n v="17"/>
    <x v="2"/>
    <n v="250"/>
    <n v="100"/>
    <n v="3329"/>
    <n v="15.5"/>
    <x v="1"/>
    <x v="0"/>
  </r>
  <r>
    <x v="33"/>
    <n v="19"/>
    <x v="2"/>
    <n v="250"/>
    <n v="88"/>
    <n v="3302"/>
    <n v="15.5"/>
    <x v="1"/>
    <x v="0"/>
  </r>
  <r>
    <x v="34"/>
    <n v="18"/>
    <x v="2"/>
    <n v="232"/>
    <n v="100"/>
    <n v="3288"/>
    <n v="15.5"/>
    <x v="1"/>
    <x v="0"/>
  </r>
  <r>
    <x v="6"/>
    <n v="14"/>
    <x v="0"/>
    <n v="350"/>
    <n v="165"/>
    <n v="4209"/>
    <n v="12"/>
    <x v="1"/>
    <x v="0"/>
  </r>
  <r>
    <x v="35"/>
    <n v="14"/>
    <x v="0"/>
    <n v="400"/>
    <n v="175"/>
    <n v="4464"/>
    <n v="11.5"/>
    <x v="1"/>
    <x v="0"/>
  </r>
  <r>
    <x v="5"/>
    <n v="14"/>
    <x v="0"/>
    <n v="351"/>
    <n v="153"/>
    <n v="4154"/>
    <n v="13.5"/>
    <x v="1"/>
    <x v="0"/>
  </r>
  <r>
    <x v="7"/>
    <n v="14"/>
    <x v="0"/>
    <n v="318"/>
    <n v="150"/>
    <n v="4096"/>
    <n v="13"/>
    <x v="1"/>
    <x v="0"/>
  </r>
  <r>
    <x v="36"/>
    <n v="12"/>
    <x v="0"/>
    <n v="383"/>
    <n v="180"/>
    <n v="4955"/>
    <n v="11.5"/>
    <x v="1"/>
    <x v="0"/>
  </r>
  <r>
    <x v="37"/>
    <n v="13"/>
    <x v="0"/>
    <n v="400"/>
    <n v="170"/>
    <n v="4746"/>
    <n v="12"/>
    <x v="1"/>
    <x v="0"/>
  </r>
  <r>
    <x v="38"/>
    <n v="13"/>
    <x v="0"/>
    <n v="400"/>
    <n v="175"/>
    <n v="5140"/>
    <n v="12"/>
    <x v="1"/>
    <x v="0"/>
  </r>
  <r>
    <x v="39"/>
    <n v="18"/>
    <x v="2"/>
    <n v="258"/>
    <n v="110"/>
    <n v="2962"/>
    <n v="13.5"/>
    <x v="1"/>
    <x v="0"/>
  </r>
  <r>
    <x v="40"/>
    <n v="22"/>
    <x v="1"/>
    <n v="140"/>
    <n v="72"/>
    <n v="2408"/>
    <n v="19"/>
    <x v="1"/>
    <x v="0"/>
  </r>
  <r>
    <x v="41"/>
    <n v="19"/>
    <x v="2"/>
    <n v="250"/>
    <n v="100"/>
    <n v="3282"/>
    <n v="15"/>
    <x v="1"/>
    <x v="0"/>
  </r>
  <r>
    <x v="42"/>
    <n v="18"/>
    <x v="2"/>
    <n v="250"/>
    <n v="88"/>
    <n v="3139"/>
    <n v="14.5"/>
    <x v="1"/>
    <x v="0"/>
  </r>
  <r>
    <x v="43"/>
    <n v="23"/>
    <x v="1"/>
    <n v="122"/>
    <n v="86"/>
    <n v="2220"/>
    <n v="14"/>
    <x v="1"/>
    <x v="0"/>
  </r>
  <r>
    <x v="44"/>
    <n v="28"/>
    <x v="1"/>
    <n v="116"/>
    <n v="90"/>
    <n v="2123"/>
    <n v="14"/>
    <x v="1"/>
    <x v="2"/>
  </r>
  <r>
    <x v="45"/>
    <n v="30"/>
    <x v="1"/>
    <n v="79"/>
    <n v="70"/>
    <n v="2074"/>
    <n v="19.5"/>
    <x v="1"/>
    <x v="2"/>
  </r>
  <r>
    <x v="46"/>
    <n v="30"/>
    <x v="1"/>
    <n v="88"/>
    <n v="76"/>
    <n v="2065"/>
    <n v="14.5"/>
    <x v="1"/>
    <x v="2"/>
  </r>
  <r>
    <x v="47"/>
    <n v="31"/>
    <x v="1"/>
    <n v="71"/>
    <n v="65"/>
    <n v="1773"/>
    <n v="19"/>
    <x v="1"/>
    <x v="1"/>
  </r>
  <r>
    <x v="48"/>
    <n v="35"/>
    <x v="1"/>
    <n v="72"/>
    <n v="69"/>
    <n v="1613"/>
    <n v="18"/>
    <x v="1"/>
    <x v="1"/>
  </r>
  <r>
    <x v="49"/>
    <n v="27"/>
    <x v="1"/>
    <n v="97"/>
    <n v="60"/>
    <n v="1834"/>
    <n v="19"/>
    <x v="1"/>
    <x v="2"/>
  </r>
  <r>
    <x v="50"/>
    <n v="26"/>
    <x v="1"/>
    <n v="91"/>
    <n v="70"/>
    <n v="1955"/>
    <n v="20.5"/>
    <x v="1"/>
    <x v="0"/>
  </r>
  <r>
    <x v="51"/>
    <n v="24"/>
    <x v="1"/>
    <n v="113"/>
    <n v="95"/>
    <n v="2278"/>
    <n v="15.5"/>
    <x v="2"/>
    <x v="1"/>
  </r>
  <r>
    <x v="52"/>
    <n v="25"/>
    <x v="1"/>
    <n v="97.5"/>
    <n v="80"/>
    <n v="2126"/>
    <n v="17"/>
    <x v="2"/>
    <x v="0"/>
  </r>
  <r>
    <x v="53"/>
    <n v="23"/>
    <x v="1"/>
    <n v="97"/>
    <n v="54"/>
    <n v="2254"/>
    <n v="23.5"/>
    <x v="2"/>
    <x v="2"/>
  </r>
  <r>
    <x v="54"/>
    <n v="20"/>
    <x v="1"/>
    <n v="140"/>
    <n v="90"/>
    <n v="2408"/>
    <n v="19.5"/>
    <x v="2"/>
    <x v="0"/>
  </r>
  <r>
    <x v="55"/>
    <n v="21"/>
    <x v="1"/>
    <n v="122"/>
    <n v="86"/>
    <n v="2226"/>
    <n v="16.5"/>
    <x v="2"/>
    <x v="0"/>
  </r>
  <r>
    <x v="6"/>
    <n v="13"/>
    <x v="0"/>
    <n v="350"/>
    <n v="165"/>
    <n v="4274"/>
    <n v="12"/>
    <x v="2"/>
    <x v="0"/>
  </r>
  <r>
    <x v="8"/>
    <n v="14"/>
    <x v="0"/>
    <n v="400"/>
    <n v="175"/>
    <n v="4385"/>
    <n v="12"/>
    <x v="2"/>
    <x v="0"/>
  </r>
  <r>
    <x v="7"/>
    <n v="15"/>
    <x v="0"/>
    <n v="318"/>
    <n v="150"/>
    <n v="4135"/>
    <n v="13.5"/>
    <x v="2"/>
    <x v="0"/>
  </r>
  <r>
    <x v="5"/>
    <n v="14"/>
    <x v="0"/>
    <n v="351"/>
    <n v="153"/>
    <n v="4129"/>
    <n v="13"/>
    <x v="2"/>
    <x v="0"/>
  </r>
  <r>
    <x v="56"/>
    <n v="17"/>
    <x v="0"/>
    <n v="304"/>
    <n v="150"/>
    <n v="3672"/>
    <n v="11.5"/>
    <x v="2"/>
    <x v="0"/>
  </r>
  <r>
    <x v="57"/>
    <n v="11"/>
    <x v="0"/>
    <n v="429"/>
    <n v="208"/>
    <n v="4633"/>
    <n v="11"/>
    <x v="2"/>
    <x v="0"/>
  </r>
  <r>
    <x v="58"/>
    <n v="13"/>
    <x v="0"/>
    <n v="350"/>
    <n v="155"/>
    <n v="4502"/>
    <n v="13.5"/>
    <x v="2"/>
    <x v="0"/>
  </r>
  <r>
    <x v="59"/>
    <n v="12"/>
    <x v="0"/>
    <n v="350"/>
    <n v="160"/>
    <n v="4456"/>
    <n v="13.5"/>
    <x v="2"/>
    <x v="0"/>
  </r>
  <r>
    <x v="60"/>
    <n v="13"/>
    <x v="0"/>
    <n v="400"/>
    <n v="190"/>
    <n v="4422"/>
    <n v="12.5"/>
    <x v="2"/>
    <x v="0"/>
  </r>
  <r>
    <x v="61"/>
    <n v="19"/>
    <x v="3"/>
    <n v="70"/>
    <n v="97"/>
    <n v="2330"/>
    <n v="13.5"/>
    <x v="2"/>
    <x v="1"/>
  </r>
  <r>
    <x v="62"/>
    <n v="15"/>
    <x v="0"/>
    <n v="304"/>
    <n v="150"/>
    <n v="3892"/>
    <n v="12.5"/>
    <x v="2"/>
    <x v="0"/>
  </r>
  <r>
    <x v="63"/>
    <n v="13"/>
    <x v="0"/>
    <n v="307"/>
    <n v="130"/>
    <n v="4098"/>
    <n v="14"/>
    <x v="2"/>
    <x v="0"/>
  </r>
  <r>
    <x v="64"/>
    <n v="13"/>
    <x v="0"/>
    <n v="302"/>
    <n v="140"/>
    <n v="4294"/>
    <n v="16"/>
    <x v="2"/>
    <x v="0"/>
  </r>
  <r>
    <x v="65"/>
    <n v="14"/>
    <x v="0"/>
    <n v="318"/>
    <n v="150"/>
    <n v="4077"/>
    <n v="14"/>
    <x v="2"/>
    <x v="0"/>
  </r>
  <r>
    <x v="66"/>
    <n v="18"/>
    <x v="1"/>
    <n v="121"/>
    <n v="112"/>
    <n v="2933"/>
    <n v="14.5"/>
    <x v="2"/>
    <x v="2"/>
  </r>
  <r>
    <x v="67"/>
    <n v="22"/>
    <x v="1"/>
    <n v="121"/>
    <n v="76"/>
    <n v="2511"/>
    <n v="18"/>
    <x v="2"/>
    <x v="2"/>
  </r>
  <r>
    <x v="68"/>
    <n v="21"/>
    <x v="1"/>
    <n v="120"/>
    <n v="87"/>
    <n v="2979"/>
    <n v="19.5"/>
    <x v="2"/>
    <x v="2"/>
  </r>
  <r>
    <x v="69"/>
    <n v="26"/>
    <x v="1"/>
    <n v="96"/>
    <n v="69"/>
    <n v="2189"/>
    <n v="18"/>
    <x v="2"/>
    <x v="2"/>
  </r>
  <r>
    <x v="70"/>
    <n v="22"/>
    <x v="1"/>
    <n v="122"/>
    <n v="86"/>
    <n v="2395"/>
    <n v="16"/>
    <x v="2"/>
    <x v="0"/>
  </r>
  <r>
    <x v="71"/>
    <n v="28"/>
    <x v="1"/>
    <n v="97"/>
    <n v="92"/>
    <n v="2288"/>
    <n v="17"/>
    <x v="2"/>
    <x v="1"/>
  </r>
  <r>
    <x v="72"/>
    <n v="23"/>
    <x v="1"/>
    <n v="120"/>
    <n v="97"/>
    <n v="2506"/>
    <n v="14.5"/>
    <x v="2"/>
    <x v="1"/>
  </r>
  <r>
    <x v="73"/>
    <n v="28"/>
    <x v="1"/>
    <n v="98"/>
    <n v="80"/>
    <n v="2164"/>
    <n v="15"/>
    <x v="2"/>
    <x v="0"/>
  </r>
  <r>
    <x v="74"/>
    <n v="27"/>
    <x v="1"/>
    <n v="97"/>
    <n v="88"/>
    <n v="2100"/>
    <n v="16.5"/>
    <x v="2"/>
    <x v="1"/>
  </r>
  <r>
    <x v="75"/>
    <n v="13"/>
    <x v="0"/>
    <n v="350"/>
    <n v="175"/>
    <n v="4100"/>
    <n v="13"/>
    <x v="3"/>
    <x v="0"/>
  </r>
  <r>
    <x v="34"/>
    <n v="14"/>
    <x v="0"/>
    <n v="304"/>
    <n v="150"/>
    <n v="3672"/>
    <n v="11.5"/>
    <x v="3"/>
    <x v="0"/>
  </r>
  <r>
    <x v="76"/>
    <n v="13"/>
    <x v="0"/>
    <n v="350"/>
    <n v="145"/>
    <n v="3988"/>
    <n v="13"/>
    <x v="3"/>
    <x v="0"/>
  </r>
  <r>
    <x v="77"/>
    <n v="14"/>
    <x v="0"/>
    <n v="302"/>
    <n v="137"/>
    <n v="4042"/>
    <n v="14.5"/>
    <x v="3"/>
    <x v="0"/>
  </r>
  <r>
    <x v="78"/>
    <n v="15"/>
    <x v="0"/>
    <n v="318"/>
    <n v="150"/>
    <n v="3777"/>
    <n v="12.5"/>
    <x v="3"/>
    <x v="0"/>
  </r>
  <r>
    <x v="79"/>
    <n v="12"/>
    <x v="0"/>
    <n v="429"/>
    <n v="198"/>
    <n v="4952"/>
    <n v="11.5"/>
    <x v="3"/>
    <x v="0"/>
  </r>
  <r>
    <x v="80"/>
    <n v="13"/>
    <x v="0"/>
    <n v="400"/>
    <n v="150"/>
    <n v="4464"/>
    <n v="12"/>
    <x v="3"/>
    <x v="0"/>
  </r>
  <r>
    <x v="81"/>
    <n v="13"/>
    <x v="0"/>
    <n v="351"/>
    <n v="158"/>
    <n v="4363"/>
    <n v="13"/>
    <x v="3"/>
    <x v="0"/>
  </r>
  <r>
    <x v="82"/>
    <n v="14"/>
    <x v="0"/>
    <n v="318"/>
    <n v="150"/>
    <n v="4237"/>
    <n v="14.5"/>
    <x v="3"/>
    <x v="0"/>
  </r>
  <r>
    <x v="83"/>
    <n v="13"/>
    <x v="0"/>
    <n v="440"/>
    <n v="215"/>
    <n v="4735"/>
    <n v="11"/>
    <x v="3"/>
    <x v="0"/>
  </r>
  <r>
    <x v="84"/>
    <n v="12"/>
    <x v="0"/>
    <n v="455"/>
    <n v="225"/>
    <n v="4951"/>
    <n v="11"/>
    <x v="3"/>
    <x v="0"/>
  </r>
  <r>
    <x v="85"/>
    <n v="13"/>
    <x v="0"/>
    <n v="360"/>
    <n v="175"/>
    <n v="3821"/>
    <n v="11"/>
    <x v="3"/>
    <x v="0"/>
  </r>
  <r>
    <x v="86"/>
    <n v="18"/>
    <x v="2"/>
    <n v="225"/>
    <n v="105"/>
    <n v="3121"/>
    <n v="16.5"/>
    <x v="3"/>
    <x v="0"/>
  </r>
  <r>
    <x v="87"/>
    <n v="16"/>
    <x v="2"/>
    <n v="250"/>
    <n v="100"/>
    <n v="3278"/>
    <n v="18"/>
    <x v="3"/>
    <x v="0"/>
  </r>
  <r>
    <x v="16"/>
    <n v="18"/>
    <x v="2"/>
    <n v="232"/>
    <n v="100"/>
    <n v="2945"/>
    <n v="16"/>
    <x v="3"/>
    <x v="0"/>
  </r>
  <r>
    <x v="17"/>
    <n v="18"/>
    <x v="2"/>
    <n v="250"/>
    <n v="88"/>
    <n v="3021"/>
    <n v="16.5"/>
    <x v="3"/>
    <x v="0"/>
  </r>
  <r>
    <x v="15"/>
    <n v="23"/>
    <x v="2"/>
    <n v="198"/>
    <n v="95"/>
    <n v="2904"/>
    <n v="16"/>
    <x v="3"/>
    <x v="0"/>
  </r>
  <r>
    <x v="88"/>
    <n v="26"/>
    <x v="1"/>
    <n v="97"/>
    <n v="46"/>
    <n v="1950"/>
    <n v="21"/>
    <x v="3"/>
    <x v="2"/>
  </r>
  <r>
    <x v="6"/>
    <n v="11"/>
    <x v="0"/>
    <n v="400"/>
    <n v="150"/>
    <n v="4997"/>
    <n v="14"/>
    <x v="3"/>
    <x v="0"/>
  </r>
  <r>
    <x v="89"/>
    <n v="12"/>
    <x v="0"/>
    <n v="400"/>
    <n v="167"/>
    <n v="4906"/>
    <n v="12.5"/>
    <x v="3"/>
    <x v="0"/>
  </r>
  <r>
    <x v="90"/>
    <n v="13"/>
    <x v="0"/>
    <n v="360"/>
    <n v="170"/>
    <n v="4654"/>
    <n v="13"/>
    <x v="3"/>
    <x v="0"/>
  </r>
  <r>
    <x v="91"/>
    <n v="12"/>
    <x v="0"/>
    <n v="350"/>
    <n v="180"/>
    <n v="4499"/>
    <n v="12.5"/>
    <x v="3"/>
    <x v="0"/>
  </r>
  <r>
    <x v="24"/>
    <n v="18"/>
    <x v="2"/>
    <n v="232"/>
    <n v="100"/>
    <n v="2789"/>
    <n v="15"/>
    <x v="3"/>
    <x v="0"/>
  </r>
  <r>
    <x v="92"/>
    <n v="20"/>
    <x v="1"/>
    <n v="97"/>
    <n v="88"/>
    <n v="2279"/>
    <n v="19"/>
    <x v="3"/>
    <x v="1"/>
  </r>
  <r>
    <x v="54"/>
    <n v="21"/>
    <x v="1"/>
    <n v="140"/>
    <n v="72"/>
    <n v="2401"/>
    <n v="19.5"/>
    <x v="3"/>
    <x v="0"/>
  </r>
  <r>
    <x v="93"/>
    <n v="22"/>
    <x v="1"/>
    <n v="108"/>
    <n v="94"/>
    <n v="2379"/>
    <n v="16.5"/>
    <x v="3"/>
    <x v="1"/>
  </r>
  <r>
    <x v="94"/>
    <n v="18"/>
    <x v="3"/>
    <n v="70"/>
    <n v="90"/>
    <n v="2124"/>
    <n v="13.5"/>
    <x v="3"/>
    <x v="1"/>
  </r>
  <r>
    <x v="31"/>
    <n v="19"/>
    <x v="1"/>
    <n v="122"/>
    <n v="85"/>
    <n v="2310"/>
    <n v="18.5"/>
    <x v="3"/>
    <x v="0"/>
  </r>
  <r>
    <x v="95"/>
    <n v="21"/>
    <x v="2"/>
    <n v="155"/>
    <n v="107"/>
    <n v="2472"/>
    <n v="14"/>
    <x v="3"/>
    <x v="0"/>
  </r>
  <r>
    <x v="96"/>
    <n v="26"/>
    <x v="1"/>
    <n v="98"/>
    <n v="90"/>
    <n v="2265"/>
    <n v="15.5"/>
    <x v="3"/>
    <x v="2"/>
  </r>
  <r>
    <x v="97"/>
    <n v="15"/>
    <x v="0"/>
    <n v="350"/>
    <n v="145"/>
    <n v="4082"/>
    <n v="13"/>
    <x v="3"/>
    <x v="0"/>
  </r>
  <r>
    <x v="98"/>
    <n v="16"/>
    <x v="0"/>
    <n v="400"/>
    <n v="230"/>
    <n v="4278"/>
    <n v="9.5"/>
    <x v="3"/>
    <x v="0"/>
  </r>
  <r>
    <x v="99"/>
    <n v="29"/>
    <x v="1"/>
    <n v="68"/>
    <n v="49"/>
    <n v="1867"/>
    <n v="19.5"/>
    <x v="3"/>
    <x v="2"/>
  </r>
  <r>
    <x v="100"/>
    <n v="24"/>
    <x v="1"/>
    <n v="116"/>
    <n v="75"/>
    <n v="2158"/>
    <n v="15.5"/>
    <x v="3"/>
    <x v="2"/>
  </r>
  <r>
    <x v="101"/>
    <n v="20"/>
    <x v="1"/>
    <n v="114"/>
    <n v="91"/>
    <n v="2582"/>
    <n v="14"/>
    <x v="3"/>
    <x v="2"/>
  </r>
  <r>
    <x v="102"/>
    <n v="19"/>
    <x v="1"/>
    <n v="121"/>
    <n v="112"/>
    <n v="2868"/>
    <n v="15.5"/>
    <x v="3"/>
    <x v="2"/>
  </r>
  <r>
    <x v="103"/>
    <n v="15"/>
    <x v="0"/>
    <n v="318"/>
    <n v="150"/>
    <n v="3399"/>
    <n v="11"/>
    <x v="3"/>
    <x v="0"/>
  </r>
  <r>
    <x v="104"/>
    <n v="24"/>
    <x v="1"/>
    <n v="121"/>
    <n v="110"/>
    <n v="2660"/>
    <n v="14"/>
    <x v="3"/>
    <x v="2"/>
  </r>
  <r>
    <x v="105"/>
    <n v="20"/>
    <x v="2"/>
    <n v="156"/>
    <n v="122"/>
    <n v="2807"/>
    <n v="13.5"/>
    <x v="3"/>
    <x v="1"/>
  </r>
  <r>
    <x v="106"/>
    <n v="11"/>
    <x v="0"/>
    <n v="350"/>
    <n v="180"/>
    <n v="3664"/>
    <n v="11"/>
    <x v="3"/>
    <x v="0"/>
  </r>
  <r>
    <x v="15"/>
    <n v="20"/>
    <x v="2"/>
    <n v="198"/>
    <n v="95"/>
    <n v="3102"/>
    <n v="16.5"/>
    <x v="4"/>
    <x v="0"/>
  </r>
  <r>
    <x v="17"/>
    <n v="21"/>
    <x v="2"/>
    <n v="200"/>
    <m/>
    <n v="2875"/>
    <n v="17"/>
    <x v="4"/>
    <x v="0"/>
  </r>
  <r>
    <x v="16"/>
    <n v="19"/>
    <x v="2"/>
    <n v="232"/>
    <n v="100"/>
    <n v="2901"/>
    <n v="16"/>
    <x v="4"/>
    <x v="0"/>
  </r>
  <r>
    <x v="107"/>
    <n v="15"/>
    <x v="2"/>
    <n v="250"/>
    <n v="100"/>
    <n v="3336"/>
    <n v="17"/>
    <x v="4"/>
    <x v="0"/>
  </r>
  <r>
    <x v="108"/>
    <n v="31"/>
    <x v="1"/>
    <n v="79"/>
    <n v="67"/>
    <n v="1950"/>
    <n v="19"/>
    <x v="4"/>
    <x v="1"/>
  </r>
  <r>
    <x v="31"/>
    <n v="26"/>
    <x v="1"/>
    <n v="122"/>
    <n v="80"/>
    <n v="2451"/>
    <n v="16.5"/>
    <x v="4"/>
    <x v="0"/>
  </r>
  <r>
    <x v="47"/>
    <n v="32"/>
    <x v="1"/>
    <n v="71"/>
    <n v="65"/>
    <n v="1836"/>
    <n v="21"/>
    <x v="4"/>
    <x v="1"/>
  </r>
  <r>
    <x v="54"/>
    <n v="25"/>
    <x v="1"/>
    <n v="140"/>
    <n v="75"/>
    <n v="2542"/>
    <n v="17"/>
    <x v="4"/>
    <x v="0"/>
  </r>
  <r>
    <x v="109"/>
    <n v="16"/>
    <x v="2"/>
    <n v="250"/>
    <n v="100"/>
    <n v="3781"/>
    <n v="17"/>
    <x v="4"/>
    <x v="0"/>
  </r>
  <r>
    <x v="34"/>
    <n v="16"/>
    <x v="2"/>
    <n v="258"/>
    <n v="110"/>
    <n v="3632"/>
    <n v="18"/>
    <x v="4"/>
    <x v="0"/>
  </r>
  <r>
    <x v="110"/>
    <n v="18"/>
    <x v="2"/>
    <n v="225"/>
    <n v="105"/>
    <n v="3613"/>
    <n v="16.5"/>
    <x v="4"/>
    <x v="0"/>
  </r>
  <r>
    <x v="77"/>
    <n v="16"/>
    <x v="0"/>
    <n v="302"/>
    <n v="140"/>
    <n v="4141"/>
    <n v="14"/>
    <x v="4"/>
    <x v="0"/>
  </r>
  <r>
    <x v="111"/>
    <n v="13"/>
    <x v="0"/>
    <n v="350"/>
    <n v="150"/>
    <n v="4699"/>
    <n v="14.5"/>
    <x v="4"/>
    <x v="0"/>
  </r>
  <r>
    <x v="112"/>
    <n v="14"/>
    <x v="0"/>
    <n v="318"/>
    <n v="150"/>
    <n v="4457"/>
    <n v="13.5"/>
    <x v="4"/>
    <x v="0"/>
  </r>
  <r>
    <x v="64"/>
    <n v="14"/>
    <x v="0"/>
    <n v="302"/>
    <n v="140"/>
    <n v="4638"/>
    <n v="16"/>
    <x v="4"/>
    <x v="0"/>
  </r>
  <r>
    <x v="62"/>
    <n v="14"/>
    <x v="0"/>
    <n v="304"/>
    <n v="150"/>
    <n v="4257"/>
    <n v="15.5"/>
    <x v="4"/>
    <x v="0"/>
  </r>
  <r>
    <x v="113"/>
    <n v="29"/>
    <x v="1"/>
    <n v="98"/>
    <n v="83"/>
    <n v="2219"/>
    <n v="16.5"/>
    <x v="4"/>
    <x v="2"/>
  </r>
  <r>
    <x v="114"/>
    <n v="26"/>
    <x v="1"/>
    <n v="79"/>
    <n v="67"/>
    <n v="1963"/>
    <n v="15.5"/>
    <x v="4"/>
    <x v="2"/>
  </r>
  <r>
    <x v="100"/>
    <n v="26"/>
    <x v="1"/>
    <n v="97"/>
    <n v="78"/>
    <n v="2300"/>
    <n v="14.5"/>
    <x v="4"/>
    <x v="2"/>
  </r>
  <r>
    <x v="30"/>
    <n v="31"/>
    <x v="1"/>
    <n v="76"/>
    <n v="52"/>
    <n v="1649"/>
    <n v="16.5"/>
    <x v="4"/>
    <x v="1"/>
  </r>
  <r>
    <x v="115"/>
    <n v="32"/>
    <x v="1"/>
    <n v="83"/>
    <n v="61"/>
    <n v="2003"/>
    <n v="19"/>
    <x v="4"/>
    <x v="1"/>
  </r>
  <r>
    <x v="116"/>
    <n v="28"/>
    <x v="1"/>
    <n v="90"/>
    <n v="75"/>
    <n v="2125"/>
    <n v="14.5"/>
    <x v="4"/>
    <x v="0"/>
  </r>
  <r>
    <x v="99"/>
    <n v="24"/>
    <x v="1"/>
    <n v="90"/>
    <n v="75"/>
    <n v="2108"/>
    <n v="15.5"/>
    <x v="4"/>
    <x v="2"/>
  </r>
  <r>
    <x v="117"/>
    <n v="26"/>
    <x v="1"/>
    <n v="116"/>
    <n v="75"/>
    <n v="2246"/>
    <n v="14"/>
    <x v="4"/>
    <x v="2"/>
  </r>
  <r>
    <x v="118"/>
    <n v="24"/>
    <x v="1"/>
    <n v="120"/>
    <n v="97"/>
    <n v="2489"/>
    <n v="15"/>
    <x v="4"/>
    <x v="1"/>
  </r>
  <r>
    <x v="119"/>
    <n v="26"/>
    <x v="1"/>
    <n v="108"/>
    <n v="93"/>
    <n v="2391"/>
    <n v="15.5"/>
    <x v="4"/>
    <x v="1"/>
  </r>
  <r>
    <x v="120"/>
    <n v="31"/>
    <x v="1"/>
    <n v="79"/>
    <n v="67"/>
    <n v="2000"/>
    <n v="16"/>
    <x v="4"/>
    <x v="2"/>
  </r>
  <r>
    <x v="121"/>
    <n v="19"/>
    <x v="2"/>
    <n v="225"/>
    <n v="95"/>
    <n v="3264"/>
    <n v="16"/>
    <x v="5"/>
    <x v="0"/>
  </r>
  <r>
    <x v="107"/>
    <n v="18"/>
    <x v="2"/>
    <n v="250"/>
    <n v="105"/>
    <n v="3459"/>
    <n v="16"/>
    <x v="5"/>
    <x v="0"/>
  </r>
  <r>
    <x v="122"/>
    <n v="15"/>
    <x v="2"/>
    <n v="250"/>
    <n v="72"/>
    <n v="3432"/>
    <n v="21"/>
    <x v="5"/>
    <x v="0"/>
  </r>
  <r>
    <x v="17"/>
    <n v="15"/>
    <x v="2"/>
    <n v="250"/>
    <n v="72"/>
    <n v="3158"/>
    <n v="19.5"/>
    <x v="5"/>
    <x v="0"/>
  </r>
  <r>
    <x v="8"/>
    <n v="16"/>
    <x v="0"/>
    <n v="400"/>
    <n v="170"/>
    <n v="4668"/>
    <n v="11.5"/>
    <x v="5"/>
    <x v="0"/>
  </r>
  <r>
    <x v="123"/>
    <n v="15"/>
    <x v="0"/>
    <n v="350"/>
    <n v="145"/>
    <n v="4440"/>
    <n v="14"/>
    <x v="5"/>
    <x v="0"/>
  </r>
  <r>
    <x v="124"/>
    <n v="16"/>
    <x v="0"/>
    <n v="318"/>
    <n v="150"/>
    <n v="4498"/>
    <n v="14.5"/>
    <x v="5"/>
    <x v="0"/>
  </r>
  <r>
    <x v="81"/>
    <n v="14"/>
    <x v="0"/>
    <n v="351"/>
    <n v="148"/>
    <n v="4657"/>
    <n v="13.5"/>
    <x v="5"/>
    <x v="0"/>
  </r>
  <r>
    <x v="125"/>
    <n v="17"/>
    <x v="2"/>
    <n v="231"/>
    <n v="110"/>
    <n v="3907"/>
    <n v="21"/>
    <x v="5"/>
    <x v="0"/>
  </r>
  <r>
    <x v="126"/>
    <n v="16"/>
    <x v="2"/>
    <n v="250"/>
    <n v="105"/>
    <n v="3897"/>
    <n v="18.5"/>
    <x v="5"/>
    <x v="0"/>
  </r>
  <r>
    <x v="34"/>
    <n v="15"/>
    <x v="2"/>
    <n v="258"/>
    <n v="110"/>
    <n v="3730"/>
    <n v="19"/>
    <x v="5"/>
    <x v="0"/>
  </r>
  <r>
    <x v="127"/>
    <n v="18"/>
    <x v="2"/>
    <n v="225"/>
    <n v="95"/>
    <n v="3785"/>
    <n v="19"/>
    <x v="5"/>
    <x v="0"/>
  </r>
  <r>
    <x v="128"/>
    <n v="21"/>
    <x v="2"/>
    <n v="231"/>
    <n v="110"/>
    <n v="3039"/>
    <n v="15"/>
    <x v="5"/>
    <x v="0"/>
  </r>
  <r>
    <x v="129"/>
    <n v="20"/>
    <x v="0"/>
    <n v="262"/>
    <n v="110"/>
    <n v="3221"/>
    <n v="13.5"/>
    <x v="5"/>
    <x v="0"/>
  </r>
  <r>
    <x v="130"/>
    <n v="13"/>
    <x v="0"/>
    <n v="302"/>
    <n v="129"/>
    <n v="3169"/>
    <n v="12"/>
    <x v="5"/>
    <x v="0"/>
  </r>
  <r>
    <x v="131"/>
    <n v="29"/>
    <x v="1"/>
    <n v="97"/>
    <n v="75"/>
    <n v="2171"/>
    <n v="16"/>
    <x v="5"/>
    <x v="1"/>
  </r>
  <r>
    <x v="31"/>
    <n v="23"/>
    <x v="1"/>
    <n v="140"/>
    <n v="83"/>
    <n v="2639"/>
    <n v="17"/>
    <x v="5"/>
    <x v="0"/>
  </r>
  <r>
    <x v="24"/>
    <n v="20"/>
    <x v="2"/>
    <n v="232"/>
    <n v="100"/>
    <n v="2914"/>
    <n v="16"/>
    <x v="5"/>
    <x v="0"/>
  </r>
  <r>
    <x v="132"/>
    <n v="23"/>
    <x v="1"/>
    <n v="140"/>
    <n v="78"/>
    <n v="2592"/>
    <n v="18.5"/>
    <x v="5"/>
    <x v="0"/>
  </r>
  <r>
    <x v="30"/>
    <n v="24"/>
    <x v="1"/>
    <n v="134"/>
    <n v="96"/>
    <n v="2702"/>
    <n v="13.5"/>
    <x v="5"/>
    <x v="1"/>
  </r>
  <r>
    <x v="114"/>
    <n v="25"/>
    <x v="1"/>
    <n v="90"/>
    <n v="71"/>
    <n v="2223"/>
    <n v="16.5"/>
    <x v="5"/>
    <x v="2"/>
  </r>
  <r>
    <x v="115"/>
    <n v="24"/>
    <x v="1"/>
    <n v="119"/>
    <n v="97"/>
    <n v="2545"/>
    <n v="17"/>
    <x v="5"/>
    <x v="1"/>
  </r>
  <r>
    <x v="31"/>
    <n v="18"/>
    <x v="2"/>
    <n v="171"/>
    <n v="97"/>
    <n v="2984"/>
    <n v="14.5"/>
    <x v="5"/>
    <x v="0"/>
  </r>
  <r>
    <x v="133"/>
    <n v="29"/>
    <x v="1"/>
    <n v="90"/>
    <n v="70"/>
    <n v="1937"/>
    <n v="14"/>
    <x v="5"/>
    <x v="2"/>
  </r>
  <r>
    <x v="134"/>
    <n v="19"/>
    <x v="2"/>
    <n v="232"/>
    <n v="90"/>
    <n v="3211"/>
    <n v="17"/>
    <x v="5"/>
    <x v="0"/>
  </r>
  <r>
    <x v="101"/>
    <n v="23"/>
    <x v="1"/>
    <n v="115"/>
    <n v="95"/>
    <n v="2694"/>
    <n v="15"/>
    <x v="5"/>
    <x v="2"/>
  </r>
  <r>
    <x v="20"/>
    <n v="23"/>
    <x v="1"/>
    <n v="120"/>
    <n v="88"/>
    <n v="2957"/>
    <n v="17"/>
    <x v="5"/>
    <x v="2"/>
  </r>
  <r>
    <x v="135"/>
    <n v="22"/>
    <x v="1"/>
    <n v="121"/>
    <n v="98"/>
    <n v="2945"/>
    <n v="14.5"/>
    <x v="5"/>
    <x v="2"/>
  </r>
  <r>
    <x v="104"/>
    <n v="25"/>
    <x v="1"/>
    <n v="121"/>
    <n v="115"/>
    <n v="2671"/>
    <n v="13.5"/>
    <x v="5"/>
    <x v="2"/>
  </r>
  <r>
    <x v="136"/>
    <n v="33"/>
    <x v="1"/>
    <n v="91"/>
    <n v="53"/>
    <n v="1795"/>
    <n v="17.5"/>
    <x v="5"/>
    <x v="1"/>
  </r>
  <r>
    <x v="137"/>
    <n v="28"/>
    <x v="1"/>
    <n v="107"/>
    <n v="86"/>
    <n v="2464"/>
    <n v="15.5"/>
    <x v="6"/>
    <x v="2"/>
  </r>
  <r>
    <x v="44"/>
    <n v="25"/>
    <x v="1"/>
    <n v="116"/>
    <n v="81"/>
    <n v="2220"/>
    <n v="16.899999999999999"/>
    <x v="6"/>
    <x v="2"/>
  </r>
  <r>
    <x v="138"/>
    <n v="25"/>
    <x v="1"/>
    <n v="140"/>
    <n v="92"/>
    <n v="2572"/>
    <n v="14.9"/>
    <x v="6"/>
    <x v="0"/>
  </r>
  <r>
    <x v="116"/>
    <n v="26"/>
    <x v="1"/>
    <n v="98"/>
    <n v="79"/>
    <n v="2255"/>
    <n v="17.7"/>
    <x v="6"/>
    <x v="0"/>
  </r>
  <r>
    <x v="139"/>
    <n v="27"/>
    <x v="1"/>
    <n v="101"/>
    <n v="83"/>
    <n v="2202"/>
    <n v="15.3"/>
    <x v="6"/>
    <x v="2"/>
  </r>
  <r>
    <x v="109"/>
    <n v="17.5"/>
    <x v="0"/>
    <n v="305"/>
    <n v="140"/>
    <n v="4215"/>
    <n v="13"/>
    <x v="6"/>
    <x v="0"/>
  </r>
  <r>
    <x v="140"/>
    <n v="16"/>
    <x v="0"/>
    <n v="318"/>
    <n v="150"/>
    <n v="4190"/>
    <n v="13"/>
    <x v="6"/>
    <x v="0"/>
  </r>
  <r>
    <x v="34"/>
    <n v="15.5"/>
    <x v="0"/>
    <n v="304"/>
    <n v="120"/>
    <n v="3962"/>
    <n v="13.9"/>
    <x v="6"/>
    <x v="0"/>
  </r>
  <r>
    <x v="77"/>
    <n v="14.5"/>
    <x v="0"/>
    <n v="351"/>
    <n v="152"/>
    <n v="4215"/>
    <n v="12.8"/>
    <x v="6"/>
    <x v="0"/>
  </r>
  <r>
    <x v="86"/>
    <n v="22"/>
    <x v="2"/>
    <n v="225"/>
    <n v="100"/>
    <n v="3233"/>
    <n v="15.4"/>
    <x v="6"/>
    <x v="0"/>
  </r>
  <r>
    <x v="107"/>
    <n v="22"/>
    <x v="2"/>
    <n v="250"/>
    <n v="105"/>
    <n v="3353"/>
    <n v="14.5"/>
    <x v="6"/>
    <x v="0"/>
  </r>
  <r>
    <x v="17"/>
    <n v="24"/>
    <x v="2"/>
    <n v="200"/>
    <n v="81"/>
    <n v="3012"/>
    <n v="17.600000000000001"/>
    <x v="6"/>
    <x v="0"/>
  </r>
  <r>
    <x v="16"/>
    <n v="22.5"/>
    <x v="2"/>
    <n v="232"/>
    <n v="90"/>
    <n v="3085"/>
    <n v="17.600000000000001"/>
    <x v="6"/>
    <x v="0"/>
  </r>
  <r>
    <x v="141"/>
    <n v="29"/>
    <x v="1"/>
    <n v="85"/>
    <n v="52"/>
    <n v="2035"/>
    <n v="22.2"/>
    <x v="6"/>
    <x v="0"/>
  </r>
  <r>
    <x v="142"/>
    <n v="24.5"/>
    <x v="1"/>
    <n v="98"/>
    <n v="60"/>
    <n v="2164"/>
    <n v="22.1"/>
    <x v="6"/>
    <x v="0"/>
  </r>
  <r>
    <x v="143"/>
    <n v="29"/>
    <x v="1"/>
    <n v="90"/>
    <n v="70"/>
    <n v="1937"/>
    <n v="14.2"/>
    <x v="6"/>
    <x v="2"/>
  </r>
  <r>
    <x v="118"/>
    <n v="33"/>
    <x v="1"/>
    <n v="91"/>
    <n v="53"/>
    <n v="1795"/>
    <n v="17.399999999999999"/>
    <x v="6"/>
    <x v="1"/>
  </r>
  <r>
    <x v="144"/>
    <n v="20"/>
    <x v="2"/>
    <n v="225"/>
    <n v="100"/>
    <n v="3651"/>
    <n v="17.7"/>
    <x v="6"/>
    <x v="0"/>
  </r>
  <r>
    <x v="145"/>
    <n v="18"/>
    <x v="2"/>
    <n v="250"/>
    <n v="78"/>
    <n v="3574"/>
    <n v="21"/>
    <x v="6"/>
    <x v="0"/>
  </r>
  <r>
    <x v="146"/>
    <n v="18.5"/>
    <x v="2"/>
    <n v="250"/>
    <n v="110"/>
    <n v="3645"/>
    <n v="16.2"/>
    <x v="6"/>
    <x v="0"/>
  </r>
  <r>
    <x v="147"/>
    <n v="17.5"/>
    <x v="2"/>
    <n v="258"/>
    <n v="95"/>
    <n v="3193"/>
    <n v="17.8"/>
    <x v="6"/>
    <x v="0"/>
  </r>
  <r>
    <x v="133"/>
    <n v="29.5"/>
    <x v="1"/>
    <n v="97"/>
    <n v="71"/>
    <n v="1825"/>
    <n v="12.2"/>
    <x v="6"/>
    <x v="2"/>
  </r>
  <r>
    <x v="148"/>
    <n v="32"/>
    <x v="1"/>
    <n v="85"/>
    <n v="70"/>
    <n v="1990"/>
    <n v="17"/>
    <x v="6"/>
    <x v="1"/>
  </r>
  <r>
    <x v="131"/>
    <n v="28"/>
    <x v="1"/>
    <n v="97"/>
    <n v="75"/>
    <n v="2155"/>
    <n v="16.399999999999999"/>
    <x v="6"/>
    <x v="1"/>
  </r>
  <r>
    <x v="31"/>
    <n v="26.5"/>
    <x v="1"/>
    <n v="140"/>
    <n v="72"/>
    <n v="2565"/>
    <n v="13.6"/>
    <x v="6"/>
    <x v="0"/>
  </r>
  <r>
    <x v="149"/>
    <n v="20"/>
    <x v="1"/>
    <n v="130"/>
    <n v="102"/>
    <n v="3150"/>
    <n v="15.7"/>
    <x v="6"/>
    <x v="2"/>
  </r>
  <r>
    <x v="150"/>
    <n v="13"/>
    <x v="0"/>
    <n v="318"/>
    <n v="150"/>
    <n v="3940"/>
    <n v="13.2"/>
    <x v="6"/>
    <x v="0"/>
  </r>
  <r>
    <x v="20"/>
    <n v="19"/>
    <x v="1"/>
    <n v="120"/>
    <n v="88"/>
    <n v="3270"/>
    <n v="21.9"/>
    <x v="6"/>
    <x v="2"/>
  </r>
  <r>
    <x v="105"/>
    <n v="19"/>
    <x v="2"/>
    <n v="156"/>
    <n v="108"/>
    <n v="2930"/>
    <n v="15.5"/>
    <x v="6"/>
    <x v="1"/>
  </r>
  <r>
    <x v="151"/>
    <n v="16.5"/>
    <x v="2"/>
    <n v="168"/>
    <n v="120"/>
    <n v="3820"/>
    <n v="16.7"/>
    <x v="6"/>
    <x v="2"/>
  </r>
  <r>
    <x v="152"/>
    <n v="16.5"/>
    <x v="0"/>
    <n v="350"/>
    <n v="180"/>
    <n v="4380"/>
    <n v="12.1"/>
    <x v="6"/>
    <x v="0"/>
  </r>
  <r>
    <x v="153"/>
    <n v="13"/>
    <x v="0"/>
    <n v="350"/>
    <n v="145"/>
    <n v="4055"/>
    <n v="12"/>
    <x v="6"/>
    <x v="0"/>
  </r>
  <r>
    <x v="154"/>
    <n v="13"/>
    <x v="0"/>
    <n v="302"/>
    <n v="130"/>
    <n v="3870"/>
    <n v="15"/>
    <x v="6"/>
    <x v="0"/>
  </r>
  <r>
    <x v="155"/>
    <n v="13"/>
    <x v="0"/>
    <n v="318"/>
    <n v="150"/>
    <n v="3755"/>
    <n v="14"/>
    <x v="6"/>
    <x v="0"/>
  </r>
  <r>
    <x v="156"/>
    <n v="31.5"/>
    <x v="1"/>
    <n v="98"/>
    <n v="68"/>
    <n v="2045"/>
    <n v="18.5"/>
    <x v="7"/>
    <x v="1"/>
  </r>
  <r>
    <x v="157"/>
    <n v="30"/>
    <x v="1"/>
    <n v="111"/>
    <n v="80"/>
    <n v="2155"/>
    <n v="14.8"/>
    <x v="7"/>
    <x v="0"/>
  </r>
  <r>
    <x v="158"/>
    <n v="36"/>
    <x v="1"/>
    <n v="79"/>
    <n v="58"/>
    <n v="1825"/>
    <n v="18.600000000000001"/>
    <x v="7"/>
    <x v="2"/>
  </r>
  <r>
    <x v="159"/>
    <n v="25.5"/>
    <x v="1"/>
    <n v="122"/>
    <n v="96"/>
    <n v="2300"/>
    <n v="15.5"/>
    <x v="7"/>
    <x v="0"/>
  </r>
  <r>
    <x v="160"/>
    <n v="33.5"/>
    <x v="1"/>
    <n v="85"/>
    <n v="70"/>
    <n v="1945"/>
    <n v="16.8"/>
    <x v="7"/>
    <x v="1"/>
  </r>
  <r>
    <x v="80"/>
    <n v="17.5"/>
    <x v="0"/>
    <n v="305"/>
    <n v="145"/>
    <n v="3880"/>
    <n v="12.5"/>
    <x v="7"/>
    <x v="0"/>
  </r>
  <r>
    <x v="161"/>
    <n v="17"/>
    <x v="0"/>
    <n v="260"/>
    <n v="110"/>
    <n v="4060"/>
    <n v="19"/>
    <x v="7"/>
    <x v="0"/>
  </r>
  <r>
    <x v="162"/>
    <n v="15.5"/>
    <x v="0"/>
    <n v="318"/>
    <n v="145"/>
    <n v="4140"/>
    <n v="13.7"/>
    <x v="7"/>
    <x v="0"/>
  </r>
  <r>
    <x v="163"/>
    <n v="15"/>
    <x v="0"/>
    <n v="302"/>
    <n v="130"/>
    <n v="4295"/>
    <n v="14.9"/>
    <x v="7"/>
    <x v="0"/>
  </r>
  <r>
    <x v="164"/>
    <n v="17.5"/>
    <x v="2"/>
    <n v="250"/>
    <n v="110"/>
    <n v="3520"/>
    <n v="16.399999999999999"/>
    <x v="7"/>
    <x v="0"/>
  </r>
  <r>
    <x v="165"/>
    <n v="20.5"/>
    <x v="2"/>
    <n v="231"/>
    <n v="105"/>
    <n v="3425"/>
    <n v="16.899999999999999"/>
    <x v="7"/>
    <x v="0"/>
  </r>
  <r>
    <x v="166"/>
    <n v="19"/>
    <x v="2"/>
    <n v="225"/>
    <n v="100"/>
    <n v="3630"/>
    <n v="17.7"/>
    <x v="7"/>
    <x v="0"/>
  </r>
  <r>
    <x v="167"/>
    <n v="18.5"/>
    <x v="2"/>
    <n v="250"/>
    <n v="98"/>
    <n v="3525"/>
    <n v="19"/>
    <x v="7"/>
    <x v="0"/>
  </r>
  <r>
    <x v="168"/>
    <n v="16"/>
    <x v="0"/>
    <n v="400"/>
    <n v="180"/>
    <n v="4220"/>
    <n v="11.1"/>
    <x v="7"/>
    <x v="0"/>
  </r>
  <r>
    <x v="169"/>
    <n v="15.5"/>
    <x v="0"/>
    <n v="350"/>
    <n v="170"/>
    <n v="4165"/>
    <n v="11.4"/>
    <x v="7"/>
    <x v="0"/>
  </r>
  <r>
    <x v="170"/>
    <n v="15.5"/>
    <x v="0"/>
    <n v="400"/>
    <n v="190"/>
    <n v="4325"/>
    <n v="12.2"/>
    <x v="7"/>
    <x v="0"/>
  </r>
  <r>
    <x v="171"/>
    <n v="16"/>
    <x v="0"/>
    <n v="351"/>
    <n v="149"/>
    <n v="4335"/>
    <n v="14.5"/>
    <x v="7"/>
    <x v="0"/>
  </r>
  <r>
    <x v="172"/>
    <n v="29"/>
    <x v="1"/>
    <n v="97"/>
    <n v="78"/>
    <n v="1940"/>
    <n v="14.5"/>
    <x v="7"/>
    <x v="2"/>
  </r>
  <r>
    <x v="173"/>
    <n v="24.5"/>
    <x v="1"/>
    <n v="151"/>
    <n v="88"/>
    <n v="2740"/>
    <n v="16"/>
    <x v="7"/>
    <x v="0"/>
  </r>
  <r>
    <x v="174"/>
    <n v="26"/>
    <x v="1"/>
    <n v="97"/>
    <n v="75"/>
    <n v="2265"/>
    <n v="18.2"/>
    <x v="7"/>
    <x v="1"/>
  </r>
  <r>
    <x v="175"/>
    <n v="25.5"/>
    <x v="1"/>
    <n v="140"/>
    <n v="89"/>
    <n v="2755"/>
    <n v="15.8"/>
    <x v="7"/>
    <x v="0"/>
  </r>
  <r>
    <x v="141"/>
    <n v="30.5"/>
    <x v="1"/>
    <n v="98"/>
    <n v="63"/>
    <n v="2051"/>
    <n v="17"/>
    <x v="7"/>
    <x v="0"/>
  </r>
  <r>
    <x v="176"/>
    <n v="33.5"/>
    <x v="1"/>
    <n v="98"/>
    <n v="83"/>
    <n v="2075"/>
    <n v="15.9"/>
    <x v="7"/>
    <x v="0"/>
  </r>
  <r>
    <x v="177"/>
    <n v="30"/>
    <x v="1"/>
    <n v="97"/>
    <n v="67"/>
    <n v="1985"/>
    <n v="16.399999999999999"/>
    <x v="7"/>
    <x v="1"/>
  </r>
  <r>
    <x v="114"/>
    <n v="30.5"/>
    <x v="1"/>
    <n v="97"/>
    <n v="78"/>
    <n v="2190"/>
    <n v="14.1"/>
    <x v="7"/>
    <x v="2"/>
  </r>
  <r>
    <x v="178"/>
    <n v="22"/>
    <x v="2"/>
    <n v="146"/>
    <n v="97"/>
    <n v="2815"/>
    <n v="14.5"/>
    <x v="7"/>
    <x v="1"/>
  </r>
  <r>
    <x v="179"/>
    <n v="21.5"/>
    <x v="1"/>
    <n v="121"/>
    <n v="110"/>
    <n v="2600"/>
    <n v="12.8"/>
    <x v="7"/>
    <x v="2"/>
  </r>
  <r>
    <x v="180"/>
    <n v="21.5"/>
    <x v="3"/>
    <n v="80"/>
    <n v="110"/>
    <n v="2720"/>
    <n v="13.5"/>
    <x v="7"/>
    <x v="1"/>
  </r>
  <r>
    <x v="181"/>
    <n v="43.1"/>
    <x v="1"/>
    <n v="90"/>
    <n v="48"/>
    <n v="1985"/>
    <n v="21.5"/>
    <x v="8"/>
    <x v="2"/>
  </r>
  <r>
    <x v="182"/>
    <n v="36.1"/>
    <x v="1"/>
    <n v="98"/>
    <n v="66"/>
    <n v="1800"/>
    <n v="14.4"/>
    <x v="8"/>
    <x v="0"/>
  </r>
  <r>
    <x v="183"/>
    <n v="32.799999999999997"/>
    <x v="1"/>
    <n v="78"/>
    <n v="52"/>
    <n v="1985"/>
    <n v="19.399999999999999"/>
    <x v="8"/>
    <x v="1"/>
  </r>
  <r>
    <x v="184"/>
    <n v="39.4"/>
    <x v="1"/>
    <n v="85"/>
    <n v="70"/>
    <n v="2070"/>
    <n v="18.600000000000001"/>
    <x v="8"/>
    <x v="1"/>
  </r>
  <r>
    <x v="136"/>
    <n v="36.1"/>
    <x v="1"/>
    <n v="91"/>
    <n v="60"/>
    <n v="1800"/>
    <n v="16.399999999999999"/>
    <x v="8"/>
    <x v="1"/>
  </r>
  <r>
    <x v="185"/>
    <n v="19.899999999999999"/>
    <x v="0"/>
    <n v="260"/>
    <n v="110"/>
    <n v="3365"/>
    <n v="15.5"/>
    <x v="8"/>
    <x v="0"/>
  </r>
  <r>
    <x v="186"/>
    <n v="19.399999999999999"/>
    <x v="0"/>
    <n v="318"/>
    <n v="140"/>
    <n v="3735"/>
    <n v="13.2"/>
    <x v="8"/>
    <x v="0"/>
  </r>
  <r>
    <x v="187"/>
    <n v="20.2"/>
    <x v="0"/>
    <n v="302"/>
    <n v="139"/>
    <n v="3570"/>
    <n v="12.8"/>
    <x v="8"/>
    <x v="0"/>
  </r>
  <r>
    <x v="188"/>
    <n v="19.2"/>
    <x v="2"/>
    <n v="231"/>
    <n v="105"/>
    <n v="3535"/>
    <n v="19.2"/>
    <x v="8"/>
    <x v="0"/>
  </r>
  <r>
    <x v="76"/>
    <n v="20.5"/>
    <x v="2"/>
    <n v="200"/>
    <n v="95"/>
    <n v="3155"/>
    <n v="18.2"/>
    <x v="8"/>
    <x v="0"/>
  </r>
  <r>
    <x v="189"/>
    <n v="20.2"/>
    <x v="2"/>
    <n v="200"/>
    <n v="85"/>
    <n v="2965"/>
    <n v="15.8"/>
    <x v="8"/>
    <x v="0"/>
  </r>
  <r>
    <x v="190"/>
    <n v="25.1"/>
    <x v="1"/>
    <n v="140"/>
    <n v="88"/>
    <n v="2720"/>
    <n v="15.4"/>
    <x v="8"/>
    <x v="0"/>
  </r>
  <r>
    <x v="191"/>
    <n v="20.5"/>
    <x v="2"/>
    <n v="225"/>
    <n v="100"/>
    <n v="3430"/>
    <n v="17.2"/>
    <x v="8"/>
    <x v="0"/>
  </r>
  <r>
    <x v="192"/>
    <n v="19.399999999999999"/>
    <x v="2"/>
    <n v="232"/>
    <n v="90"/>
    <n v="3210"/>
    <n v="17.2"/>
    <x v="8"/>
    <x v="0"/>
  </r>
  <r>
    <x v="193"/>
    <n v="20.6"/>
    <x v="2"/>
    <n v="231"/>
    <n v="105"/>
    <n v="3380"/>
    <n v="15.8"/>
    <x v="8"/>
    <x v="0"/>
  </r>
  <r>
    <x v="194"/>
    <n v="20.8"/>
    <x v="2"/>
    <n v="200"/>
    <n v="85"/>
    <n v="3070"/>
    <n v="16.7"/>
    <x v="8"/>
    <x v="0"/>
  </r>
  <r>
    <x v="195"/>
    <n v="18.600000000000001"/>
    <x v="2"/>
    <n v="225"/>
    <n v="110"/>
    <n v="3620"/>
    <n v="18.7"/>
    <x v="8"/>
    <x v="0"/>
  </r>
  <r>
    <x v="196"/>
    <n v="18.100000000000001"/>
    <x v="2"/>
    <n v="258"/>
    <n v="120"/>
    <n v="3410"/>
    <n v="15.1"/>
    <x v="8"/>
    <x v="0"/>
  </r>
  <r>
    <x v="169"/>
    <n v="19.2"/>
    <x v="0"/>
    <n v="305"/>
    <n v="145"/>
    <n v="3425"/>
    <n v="13.2"/>
    <x v="8"/>
    <x v="0"/>
  </r>
  <r>
    <x v="197"/>
    <n v="17.7"/>
    <x v="2"/>
    <n v="231"/>
    <n v="165"/>
    <n v="3445"/>
    <n v="13.4"/>
    <x v="8"/>
    <x v="0"/>
  </r>
  <r>
    <x v="198"/>
    <n v="18.100000000000001"/>
    <x v="0"/>
    <n v="302"/>
    <n v="139"/>
    <n v="3205"/>
    <n v="11.2"/>
    <x v="8"/>
    <x v="0"/>
  </r>
  <r>
    <x v="199"/>
    <n v="17.5"/>
    <x v="0"/>
    <n v="318"/>
    <n v="140"/>
    <n v="4080"/>
    <n v="13.7"/>
    <x v="8"/>
    <x v="0"/>
  </r>
  <r>
    <x v="141"/>
    <n v="30"/>
    <x v="1"/>
    <n v="98"/>
    <n v="68"/>
    <n v="2155"/>
    <n v="16.5"/>
    <x v="8"/>
    <x v="0"/>
  </r>
  <r>
    <x v="30"/>
    <n v="27.5"/>
    <x v="1"/>
    <n v="134"/>
    <n v="95"/>
    <n v="2560"/>
    <n v="14.2"/>
    <x v="8"/>
    <x v="1"/>
  </r>
  <r>
    <x v="200"/>
    <n v="27.2"/>
    <x v="1"/>
    <n v="119"/>
    <n v="97"/>
    <n v="2300"/>
    <n v="14.7"/>
    <x v="8"/>
    <x v="1"/>
  </r>
  <r>
    <x v="201"/>
    <n v="30.9"/>
    <x v="1"/>
    <n v="105"/>
    <n v="75"/>
    <n v="2230"/>
    <n v="14.5"/>
    <x v="8"/>
    <x v="0"/>
  </r>
  <r>
    <x v="202"/>
    <n v="21.1"/>
    <x v="1"/>
    <n v="134"/>
    <n v="95"/>
    <n v="2515"/>
    <n v="14.8"/>
    <x v="8"/>
    <x v="1"/>
  </r>
  <r>
    <x v="203"/>
    <n v="23.2"/>
    <x v="1"/>
    <n v="156"/>
    <n v="105"/>
    <n v="2745"/>
    <n v="16.7"/>
    <x v="8"/>
    <x v="0"/>
  </r>
  <r>
    <x v="204"/>
    <n v="23.8"/>
    <x v="1"/>
    <n v="151"/>
    <n v="85"/>
    <n v="2855"/>
    <n v="17.600000000000001"/>
    <x v="8"/>
    <x v="0"/>
  </r>
  <r>
    <x v="205"/>
    <n v="23.9"/>
    <x v="1"/>
    <n v="119"/>
    <n v="97"/>
    <n v="2405"/>
    <n v="14.9"/>
    <x v="8"/>
    <x v="1"/>
  </r>
  <r>
    <x v="206"/>
    <n v="20.3"/>
    <x v="4"/>
    <n v="131"/>
    <n v="103"/>
    <n v="2830"/>
    <n v="15.9"/>
    <x v="8"/>
    <x v="2"/>
  </r>
  <r>
    <x v="207"/>
    <n v="17"/>
    <x v="2"/>
    <n v="163"/>
    <n v="125"/>
    <n v="3140"/>
    <n v="13.6"/>
    <x v="8"/>
    <x v="2"/>
  </r>
  <r>
    <x v="208"/>
    <n v="21.6"/>
    <x v="1"/>
    <n v="121"/>
    <n v="115"/>
    <n v="2795"/>
    <n v="15.7"/>
    <x v="8"/>
    <x v="2"/>
  </r>
  <r>
    <x v="209"/>
    <n v="16.2"/>
    <x v="2"/>
    <n v="163"/>
    <n v="133"/>
    <n v="3410"/>
    <n v="15.8"/>
    <x v="8"/>
    <x v="2"/>
  </r>
  <r>
    <x v="210"/>
    <n v="31.5"/>
    <x v="1"/>
    <n v="89"/>
    <n v="71"/>
    <n v="1990"/>
    <n v="14.9"/>
    <x v="8"/>
    <x v="2"/>
  </r>
  <r>
    <x v="211"/>
    <n v="29.5"/>
    <x v="1"/>
    <n v="98"/>
    <n v="68"/>
    <n v="2135"/>
    <n v="16.600000000000001"/>
    <x v="8"/>
    <x v="1"/>
  </r>
  <r>
    <x v="212"/>
    <n v="21.5"/>
    <x v="2"/>
    <n v="231"/>
    <n v="115"/>
    <n v="3245"/>
    <n v="15.4"/>
    <x v="9"/>
    <x v="0"/>
  </r>
  <r>
    <x v="213"/>
    <n v="19.8"/>
    <x v="2"/>
    <n v="200"/>
    <n v="85"/>
    <n v="2990"/>
    <n v="18.2"/>
    <x v="9"/>
    <x v="0"/>
  </r>
  <r>
    <x v="214"/>
    <n v="22.3"/>
    <x v="1"/>
    <n v="140"/>
    <n v="88"/>
    <n v="2890"/>
    <n v="17.3"/>
    <x v="9"/>
    <x v="0"/>
  </r>
  <r>
    <x v="215"/>
    <n v="20.2"/>
    <x v="2"/>
    <n v="232"/>
    <n v="90"/>
    <n v="3265"/>
    <n v="18.2"/>
    <x v="9"/>
    <x v="0"/>
  </r>
  <r>
    <x v="216"/>
    <n v="20.6"/>
    <x v="2"/>
    <n v="225"/>
    <n v="110"/>
    <n v="3360"/>
    <n v="16.600000000000001"/>
    <x v="9"/>
    <x v="0"/>
  </r>
  <r>
    <x v="80"/>
    <n v="17"/>
    <x v="0"/>
    <n v="305"/>
    <n v="130"/>
    <n v="3840"/>
    <n v="15.4"/>
    <x v="9"/>
    <x v="0"/>
  </r>
  <r>
    <x v="217"/>
    <n v="17.600000000000001"/>
    <x v="0"/>
    <n v="302"/>
    <n v="129"/>
    <n v="3725"/>
    <n v="13.4"/>
    <x v="9"/>
    <x v="0"/>
  </r>
  <r>
    <x v="218"/>
    <n v="16.5"/>
    <x v="0"/>
    <n v="351"/>
    <n v="138"/>
    <n v="3955"/>
    <n v="13.2"/>
    <x v="9"/>
    <x v="0"/>
  </r>
  <r>
    <x v="219"/>
    <n v="18.2"/>
    <x v="0"/>
    <n v="318"/>
    <n v="135"/>
    <n v="3830"/>
    <n v="15.2"/>
    <x v="9"/>
    <x v="0"/>
  </r>
  <r>
    <x v="13"/>
    <n v="16.899999999999999"/>
    <x v="0"/>
    <n v="350"/>
    <n v="155"/>
    <n v="4360"/>
    <n v="14.9"/>
    <x v="9"/>
    <x v="0"/>
  </r>
  <r>
    <x v="37"/>
    <n v="15.5"/>
    <x v="0"/>
    <n v="351"/>
    <n v="142"/>
    <n v="4054"/>
    <n v="14.3"/>
    <x v="9"/>
    <x v="0"/>
  </r>
  <r>
    <x v="220"/>
    <n v="19.2"/>
    <x v="0"/>
    <n v="267"/>
    <n v="125"/>
    <n v="3605"/>
    <n v="15"/>
    <x v="9"/>
    <x v="0"/>
  </r>
  <r>
    <x v="221"/>
    <n v="18.5"/>
    <x v="0"/>
    <n v="360"/>
    <n v="150"/>
    <n v="3940"/>
    <n v="13"/>
    <x v="9"/>
    <x v="0"/>
  </r>
  <r>
    <x v="222"/>
    <n v="31.9"/>
    <x v="1"/>
    <n v="89"/>
    <n v="71"/>
    <n v="1925"/>
    <n v="14"/>
    <x v="9"/>
    <x v="2"/>
  </r>
  <r>
    <x v="223"/>
    <n v="34.1"/>
    <x v="1"/>
    <n v="86"/>
    <n v="65"/>
    <n v="1975"/>
    <n v="15.2"/>
    <x v="9"/>
    <x v="1"/>
  </r>
  <r>
    <x v="224"/>
    <n v="35.700000000000003"/>
    <x v="1"/>
    <n v="98"/>
    <n v="80"/>
    <n v="1915"/>
    <n v="14.4"/>
    <x v="9"/>
    <x v="0"/>
  </r>
  <r>
    <x v="225"/>
    <n v="27.4"/>
    <x v="1"/>
    <n v="121"/>
    <n v="80"/>
    <n v="2670"/>
    <n v="15"/>
    <x v="9"/>
    <x v="0"/>
  </r>
  <r>
    <x v="226"/>
    <n v="25.4"/>
    <x v="4"/>
    <n v="183"/>
    <n v="77"/>
    <n v="3530"/>
    <n v="20.100000000000001"/>
    <x v="9"/>
    <x v="2"/>
  </r>
  <r>
    <x v="227"/>
    <n v="23"/>
    <x v="0"/>
    <n v="350"/>
    <n v="125"/>
    <n v="3900"/>
    <n v="17.399999999999999"/>
    <x v="9"/>
    <x v="0"/>
  </r>
  <r>
    <x v="20"/>
    <n v="27.2"/>
    <x v="1"/>
    <n v="141"/>
    <n v="71"/>
    <n v="3190"/>
    <n v="24.8"/>
    <x v="9"/>
    <x v="2"/>
  </r>
  <r>
    <x v="185"/>
    <n v="23.9"/>
    <x v="0"/>
    <n v="260"/>
    <n v="90"/>
    <n v="3420"/>
    <n v="22.2"/>
    <x v="9"/>
    <x v="0"/>
  </r>
  <r>
    <x v="228"/>
    <n v="34.200000000000003"/>
    <x v="1"/>
    <n v="105"/>
    <n v="70"/>
    <n v="2200"/>
    <n v="13.2"/>
    <x v="9"/>
    <x v="0"/>
  </r>
  <r>
    <x v="229"/>
    <n v="34.5"/>
    <x v="1"/>
    <n v="105"/>
    <n v="70"/>
    <n v="2150"/>
    <n v="14.9"/>
    <x v="9"/>
    <x v="0"/>
  </r>
  <r>
    <x v="230"/>
    <n v="31.8"/>
    <x v="1"/>
    <n v="85"/>
    <n v="65"/>
    <n v="2020"/>
    <n v="19.2"/>
    <x v="9"/>
    <x v="1"/>
  </r>
  <r>
    <x v="231"/>
    <n v="37.299999999999997"/>
    <x v="1"/>
    <n v="91"/>
    <n v="69"/>
    <n v="2130"/>
    <n v="14.7"/>
    <x v="9"/>
    <x v="2"/>
  </r>
  <r>
    <x v="232"/>
    <n v="28.4"/>
    <x v="1"/>
    <n v="151"/>
    <n v="90"/>
    <n v="2670"/>
    <n v="16"/>
    <x v="9"/>
    <x v="0"/>
  </r>
  <r>
    <x v="233"/>
    <n v="28.8"/>
    <x v="2"/>
    <n v="173"/>
    <n v="115"/>
    <n v="2595"/>
    <n v="11.3"/>
    <x v="9"/>
    <x v="0"/>
  </r>
  <r>
    <x v="234"/>
    <n v="26.8"/>
    <x v="2"/>
    <n v="173"/>
    <n v="115"/>
    <n v="2700"/>
    <n v="12.9"/>
    <x v="9"/>
    <x v="0"/>
  </r>
  <r>
    <x v="235"/>
    <n v="33.5"/>
    <x v="1"/>
    <n v="151"/>
    <n v="90"/>
    <n v="2556"/>
    <n v="13.2"/>
    <x v="9"/>
    <x v="0"/>
  </r>
  <r>
    <x v="143"/>
    <n v="41.5"/>
    <x v="1"/>
    <n v="98"/>
    <n v="76"/>
    <n v="2144"/>
    <n v="14.7"/>
    <x v="10"/>
    <x v="2"/>
  </r>
  <r>
    <x v="236"/>
    <n v="38.1"/>
    <x v="1"/>
    <n v="89"/>
    <n v="60"/>
    <n v="1968"/>
    <n v="18.8"/>
    <x v="10"/>
    <x v="1"/>
  </r>
  <r>
    <x v="141"/>
    <n v="32.1"/>
    <x v="1"/>
    <n v="98"/>
    <n v="70"/>
    <n v="2120"/>
    <n v="15.5"/>
    <x v="10"/>
    <x v="0"/>
  </r>
  <r>
    <x v="237"/>
    <n v="37.200000000000003"/>
    <x v="1"/>
    <n v="86"/>
    <n v="65"/>
    <n v="2019"/>
    <n v="16.399999999999999"/>
    <x v="10"/>
    <x v="1"/>
  </r>
  <r>
    <x v="233"/>
    <n v="28"/>
    <x v="1"/>
    <n v="151"/>
    <n v="90"/>
    <n v="2678"/>
    <n v="16.5"/>
    <x v="10"/>
    <x v="0"/>
  </r>
  <r>
    <x v="238"/>
    <n v="26.4"/>
    <x v="1"/>
    <n v="140"/>
    <n v="88"/>
    <n v="2870"/>
    <n v="18.100000000000001"/>
    <x v="10"/>
    <x v="0"/>
  </r>
  <r>
    <x v="192"/>
    <n v="24.3"/>
    <x v="1"/>
    <n v="151"/>
    <n v="90"/>
    <n v="3003"/>
    <n v="20.100000000000001"/>
    <x v="10"/>
    <x v="0"/>
  </r>
  <r>
    <x v="195"/>
    <n v="19.100000000000001"/>
    <x v="2"/>
    <n v="225"/>
    <n v="90"/>
    <n v="3381"/>
    <n v="18.7"/>
    <x v="10"/>
    <x v="0"/>
  </r>
  <r>
    <x v="239"/>
    <n v="34.299999999999997"/>
    <x v="1"/>
    <n v="97"/>
    <n v="78"/>
    <n v="2188"/>
    <n v="15.8"/>
    <x v="10"/>
    <x v="2"/>
  </r>
  <r>
    <x v="240"/>
    <n v="29.8"/>
    <x v="1"/>
    <n v="134"/>
    <n v="90"/>
    <n v="2711"/>
    <n v="15.5"/>
    <x v="10"/>
    <x v="1"/>
  </r>
  <r>
    <x v="241"/>
    <n v="31.3"/>
    <x v="1"/>
    <n v="120"/>
    <n v="75"/>
    <n v="2542"/>
    <n v="17.5"/>
    <x v="10"/>
    <x v="1"/>
  </r>
  <r>
    <x v="242"/>
    <n v="37"/>
    <x v="1"/>
    <n v="119"/>
    <n v="92"/>
    <n v="2434"/>
    <n v="15"/>
    <x v="10"/>
    <x v="1"/>
  </r>
  <r>
    <x v="131"/>
    <n v="32.200000000000003"/>
    <x v="1"/>
    <n v="108"/>
    <n v="75"/>
    <n v="2265"/>
    <n v="15.2"/>
    <x v="10"/>
    <x v="1"/>
  </r>
  <r>
    <x v="243"/>
    <n v="46.6"/>
    <x v="1"/>
    <n v="86"/>
    <n v="65"/>
    <n v="2110"/>
    <n v="17.899999999999999"/>
    <x v="10"/>
    <x v="1"/>
  </r>
  <r>
    <x v="116"/>
    <n v="27.9"/>
    <x v="1"/>
    <n v="156"/>
    <n v="105"/>
    <n v="2800"/>
    <n v="14.4"/>
    <x v="10"/>
    <x v="0"/>
  </r>
  <r>
    <x v="230"/>
    <n v="40.799999999999997"/>
    <x v="1"/>
    <n v="85"/>
    <n v="65"/>
    <n v="2110"/>
    <n v="19.2"/>
    <x v="10"/>
    <x v="1"/>
  </r>
  <r>
    <x v="244"/>
    <n v="44.3"/>
    <x v="1"/>
    <n v="90"/>
    <n v="48"/>
    <n v="2085"/>
    <n v="21.7"/>
    <x v="10"/>
    <x v="2"/>
  </r>
  <r>
    <x v="245"/>
    <n v="43.4"/>
    <x v="1"/>
    <n v="90"/>
    <n v="48"/>
    <n v="2335"/>
    <n v="23.7"/>
    <x v="10"/>
    <x v="2"/>
  </r>
  <r>
    <x v="246"/>
    <n v="36.4"/>
    <x v="4"/>
    <n v="121"/>
    <n v="67"/>
    <n v="2950"/>
    <n v="19.899999999999999"/>
    <x v="10"/>
    <x v="2"/>
  </r>
  <r>
    <x v="247"/>
    <n v="30"/>
    <x v="1"/>
    <n v="146"/>
    <n v="67"/>
    <n v="3250"/>
    <n v="21.8"/>
    <x v="10"/>
    <x v="2"/>
  </r>
  <r>
    <x v="248"/>
    <n v="44.6"/>
    <x v="1"/>
    <n v="91"/>
    <n v="67"/>
    <n v="1850"/>
    <n v="13.8"/>
    <x v="10"/>
    <x v="1"/>
  </r>
  <r>
    <x v="249"/>
    <n v="40.9"/>
    <x v="1"/>
    <n v="85"/>
    <m/>
    <n v="1835"/>
    <n v="17.3"/>
    <x v="10"/>
    <x v="2"/>
  </r>
  <r>
    <x v="177"/>
    <n v="33.799999999999997"/>
    <x v="1"/>
    <n v="97"/>
    <n v="67"/>
    <n v="2145"/>
    <n v="18"/>
    <x v="10"/>
    <x v="1"/>
  </r>
  <r>
    <x v="250"/>
    <n v="29.8"/>
    <x v="1"/>
    <n v="89"/>
    <n v="62"/>
    <n v="1845"/>
    <n v="15.3"/>
    <x v="10"/>
    <x v="2"/>
  </r>
  <r>
    <x v="251"/>
    <n v="32.700000000000003"/>
    <x v="2"/>
    <n v="168"/>
    <n v="132"/>
    <n v="2910"/>
    <n v="11.4"/>
    <x v="10"/>
    <x v="1"/>
  </r>
  <r>
    <x v="252"/>
    <n v="23.7"/>
    <x v="3"/>
    <n v="70"/>
    <n v="100"/>
    <n v="2420"/>
    <n v="12.5"/>
    <x v="10"/>
    <x v="1"/>
  </r>
  <r>
    <x v="253"/>
    <n v="35"/>
    <x v="1"/>
    <n v="122"/>
    <n v="88"/>
    <n v="2500"/>
    <n v="15.1"/>
    <x v="10"/>
    <x v="2"/>
  </r>
  <r>
    <x v="254"/>
    <n v="23.6"/>
    <x v="1"/>
    <n v="140"/>
    <m/>
    <n v="2905"/>
    <n v="14.3"/>
    <x v="10"/>
    <x v="0"/>
  </r>
  <r>
    <x v="255"/>
    <n v="32.4"/>
    <x v="1"/>
    <n v="107"/>
    <n v="72"/>
    <n v="2290"/>
    <n v="17"/>
    <x v="10"/>
    <x v="1"/>
  </r>
  <r>
    <x v="256"/>
    <n v="27.2"/>
    <x v="1"/>
    <n v="135"/>
    <n v="84"/>
    <n v="2490"/>
    <n v="15.7"/>
    <x v="11"/>
    <x v="0"/>
  </r>
  <r>
    <x v="165"/>
    <n v="26.6"/>
    <x v="1"/>
    <n v="151"/>
    <n v="84"/>
    <n v="2635"/>
    <n v="16.399999999999999"/>
    <x v="11"/>
    <x v="0"/>
  </r>
  <r>
    <x v="257"/>
    <n v="25.8"/>
    <x v="1"/>
    <n v="156"/>
    <n v="92"/>
    <n v="2620"/>
    <n v="14.4"/>
    <x v="11"/>
    <x v="0"/>
  </r>
  <r>
    <x v="233"/>
    <n v="23.5"/>
    <x v="2"/>
    <n v="173"/>
    <n v="110"/>
    <n v="2725"/>
    <n v="12.6"/>
    <x v="11"/>
    <x v="0"/>
  </r>
  <r>
    <x v="256"/>
    <n v="30"/>
    <x v="1"/>
    <n v="135"/>
    <n v="84"/>
    <n v="2385"/>
    <n v="12.9"/>
    <x v="11"/>
    <x v="0"/>
  </r>
  <r>
    <x v="258"/>
    <n v="39.1"/>
    <x v="1"/>
    <n v="79"/>
    <n v="58"/>
    <n v="1755"/>
    <n v="16.899999999999999"/>
    <x v="11"/>
    <x v="1"/>
  </r>
  <r>
    <x v="259"/>
    <n v="39"/>
    <x v="1"/>
    <n v="86"/>
    <n v="64"/>
    <n v="1875"/>
    <n v="16.399999999999999"/>
    <x v="11"/>
    <x v="0"/>
  </r>
  <r>
    <x v="260"/>
    <n v="35.1"/>
    <x v="1"/>
    <n v="81"/>
    <n v="60"/>
    <n v="1760"/>
    <n v="16.100000000000001"/>
    <x v="11"/>
    <x v="1"/>
  </r>
  <r>
    <x v="119"/>
    <n v="32.299999999999997"/>
    <x v="1"/>
    <n v="97"/>
    <n v="67"/>
    <n v="2065"/>
    <n v="17.8"/>
    <x v="11"/>
    <x v="1"/>
  </r>
  <r>
    <x v="261"/>
    <n v="37"/>
    <x v="1"/>
    <n v="85"/>
    <n v="65"/>
    <n v="1975"/>
    <n v="19.399999999999999"/>
    <x v="11"/>
    <x v="1"/>
  </r>
  <r>
    <x v="262"/>
    <n v="37.700000000000003"/>
    <x v="1"/>
    <n v="89"/>
    <n v="62"/>
    <n v="2050"/>
    <n v="17.3"/>
    <x v="11"/>
    <x v="1"/>
  </r>
  <r>
    <x v="263"/>
    <n v="34.1"/>
    <x v="1"/>
    <n v="91"/>
    <n v="68"/>
    <n v="1985"/>
    <n v="16"/>
    <x v="11"/>
    <x v="1"/>
  </r>
  <r>
    <x v="264"/>
    <n v="34.700000000000003"/>
    <x v="1"/>
    <n v="105"/>
    <n v="63"/>
    <n v="2215"/>
    <n v="14.9"/>
    <x v="11"/>
    <x v="0"/>
  </r>
  <r>
    <x v="265"/>
    <n v="34.4"/>
    <x v="1"/>
    <n v="98"/>
    <n v="65"/>
    <n v="2045"/>
    <n v="16.2"/>
    <x v="11"/>
    <x v="0"/>
  </r>
  <r>
    <x v="266"/>
    <n v="29.9"/>
    <x v="1"/>
    <n v="98"/>
    <n v="65"/>
    <n v="2380"/>
    <n v="20.7"/>
    <x v="11"/>
    <x v="0"/>
  </r>
  <r>
    <x v="267"/>
    <n v="33"/>
    <x v="1"/>
    <n v="105"/>
    <n v="74"/>
    <n v="2190"/>
    <n v="14.2"/>
    <x v="11"/>
    <x v="2"/>
  </r>
  <r>
    <x v="268"/>
    <n v="34.5"/>
    <x v="1"/>
    <n v="100"/>
    <m/>
    <n v="2320"/>
    <n v="15.8"/>
    <x v="11"/>
    <x v="2"/>
  </r>
  <r>
    <x v="269"/>
    <n v="33.700000000000003"/>
    <x v="1"/>
    <n v="107"/>
    <n v="75"/>
    <n v="2210"/>
    <n v="14.4"/>
    <x v="11"/>
    <x v="1"/>
  </r>
  <r>
    <x v="131"/>
    <n v="32.4"/>
    <x v="1"/>
    <n v="108"/>
    <n v="75"/>
    <n v="2350"/>
    <n v="16.8"/>
    <x v="11"/>
    <x v="1"/>
  </r>
  <r>
    <x v="270"/>
    <n v="32.9"/>
    <x v="1"/>
    <n v="119"/>
    <n v="100"/>
    <n v="2615"/>
    <n v="14.8"/>
    <x v="11"/>
    <x v="1"/>
  </r>
  <r>
    <x v="241"/>
    <n v="31.6"/>
    <x v="1"/>
    <n v="120"/>
    <n v="74"/>
    <n v="2635"/>
    <n v="18.3"/>
    <x v="11"/>
    <x v="1"/>
  </r>
  <r>
    <x v="271"/>
    <n v="28.1"/>
    <x v="1"/>
    <n v="141"/>
    <n v="80"/>
    <n v="3230"/>
    <n v="20.399999999999999"/>
    <x v="11"/>
    <x v="2"/>
  </r>
  <r>
    <x v="272"/>
    <n v="30.7"/>
    <x v="2"/>
    <n v="145"/>
    <n v="76"/>
    <n v="3160"/>
    <n v="19.600000000000001"/>
    <x v="11"/>
    <x v="2"/>
  </r>
  <r>
    <x v="273"/>
    <n v="25.4"/>
    <x v="2"/>
    <n v="168"/>
    <n v="116"/>
    <n v="2900"/>
    <n v="12.6"/>
    <x v="11"/>
    <x v="1"/>
  </r>
  <r>
    <x v="274"/>
    <n v="24.2"/>
    <x v="2"/>
    <n v="146"/>
    <n v="120"/>
    <n v="2930"/>
    <n v="13.8"/>
    <x v="11"/>
    <x v="1"/>
  </r>
  <r>
    <x v="125"/>
    <n v="22.4"/>
    <x v="2"/>
    <n v="231"/>
    <n v="110"/>
    <n v="3415"/>
    <n v="15.8"/>
    <x v="11"/>
    <x v="0"/>
  </r>
  <r>
    <x v="275"/>
    <n v="26.6"/>
    <x v="0"/>
    <n v="350"/>
    <n v="105"/>
    <n v="3725"/>
    <n v="19"/>
    <x v="11"/>
    <x v="0"/>
  </r>
  <r>
    <x v="276"/>
    <n v="20.2"/>
    <x v="2"/>
    <n v="200"/>
    <n v="88"/>
    <n v="3060"/>
    <n v="17.100000000000001"/>
    <x v="11"/>
    <x v="0"/>
  </r>
  <r>
    <x v="277"/>
    <n v="17.600000000000001"/>
    <x v="2"/>
    <n v="225"/>
    <n v="85"/>
    <n v="3465"/>
    <n v="16.600000000000001"/>
    <x v="11"/>
    <x v="0"/>
  </r>
  <r>
    <x v="278"/>
    <n v="28"/>
    <x v="1"/>
    <n v="112"/>
    <n v="88"/>
    <n v="2605"/>
    <n v="19.600000000000001"/>
    <x v="12"/>
    <x v="0"/>
  </r>
  <r>
    <x v="279"/>
    <n v="27"/>
    <x v="1"/>
    <n v="112"/>
    <n v="88"/>
    <n v="2640"/>
    <n v="18.600000000000001"/>
    <x v="12"/>
    <x v="0"/>
  </r>
  <r>
    <x v="280"/>
    <n v="34"/>
    <x v="1"/>
    <n v="112"/>
    <n v="88"/>
    <n v="2395"/>
    <n v="18"/>
    <x v="12"/>
    <x v="0"/>
  </r>
  <r>
    <x v="281"/>
    <n v="31"/>
    <x v="1"/>
    <n v="112"/>
    <n v="85"/>
    <n v="2575"/>
    <n v="16.2"/>
    <x v="12"/>
    <x v="0"/>
  </r>
  <r>
    <x v="282"/>
    <n v="29"/>
    <x v="1"/>
    <n v="135"/>
    <n v="84"/>
    <n v="2525"/>
    <n v="16"/>
    <x v="12"/>
    <x v="0"/>
  </r>
  <r>
    <x v="235"/>
    <n v="27"/>
    <x v="1"/>
    <n v="151"/>
    <n v="90"/>
    <n v="2735"/>
    <n v="18"/>
    <x v="12"/>
    <x v="0"/>
  </r>
  <r>
    <x v="283"/>
    <n v="24"/>
    <x v="1"/>
    <n v="140"/>
    <n v="92"/>
    <n v="2865"/>
    <n v="16.399999999999999"/>
    <x v="12"/>
    <x v="0"/>
  </r>
  <r>
    <x v="284"/>
    <n v="23"/>
    <x v="1"/>
    <n v="151"/>
    <m/>
    <n v="3035"/>
    <n v="20.5"/>
    <x v="12"/>
    <x v="0"/>
  </r>
  <r>
    <x v="285"/>
    <n v="36"/>
    <x v="1"/>
    <n v="105"/>
    <n v="74"/>
    <n v="1980"/>
    <n v="15.3"/>
    <x v="12"/>
    <x v="2"/>
  </r>
  <r>
    <x v="286"/>
    <n v="37"/>
    <x v="1"/>
    <n v="91"/>
    <n v="68"/>
    <n v="2025"/>
    <n v="18.2"/>
    <x v="12"/>
    <x v="1"/>
  </r>
  <r>
    <x v="287"/>
    <n v="31"/>
    <x v="1"/>
    <n v="91"/>
    <n v="68"/>
    <n v="1970"/>
    <n v="17.600000000000001"/>
    <x v="12"/>
    <x v="1"/>
  </r>
  <r>
    <x v="288"/>
    <n v="38"/>
    <x v="1"/>
    <n v="105"/>
    <n v="63"/>
    <n v="2125"/>
    <n v="14.7"/>
    <x v="12"/>
    <x v="0"/>
  </r>
  <r>
    <x v="289"/>
    <n v="36"/>
    <x v="1"/>
    <n v="98"/>
    <n v="70"/>
    <n v="2125"/>
    <n v="17.3"/>
    <x v="12"/>
    <x v="0"/>
  </r>
  <r>
    <x v="290"/>
    <n v="36"/>
    <x v="1"/>
    <n v="120"/>
    <n v="88"/>
    <n v="2160"/>
    <n v="14.5"/>
    <x v="12"/>
    <x v="1"/>
  </r>
  <r>
    <x v="255"/>
    <n v="36"/>
    <x v="1"/>
    <n v="107"/>
    <n v="75"/>
    <n v="2205"/>
    <n v="14.5"/>
    <x v="12"/>
    <x v="1"/>
  </r>
  <r>
    <x v="131"/>
    <n v="34"/>
    <x v="1"/>
    <n v="108"/>
    <n v="70"/>
    <n v="2245"/>
    <n v="16.899999999999999"/>
    <x v="12"/>
    <x v="1"/>
  </r>
  <r>
    <x v="118"/>
    <n v="38"/>
    <x v="1"/>
    <n v="91"/>
    <n v="67"/>
    <n v="1965"/>
    <n v="15"/>
    <x v="12"/>
    <x v="1"/>
  </r>
  <r>
    <x v="291"/>
    <n v="32"/>
    <x v="1"/>
    <n v="91"/>
    <n v="67"/>
    <n v="1965"/>
    <n v="15.7"/>
    <x v="12"/>
    <x v="1"/>
  </r>
  <r>
    <x v="292"/>
    <n v="38"/>
    <x v="1"/>
    <n v="91"/>
    <n v="67"/>
    <n v="1995"/>
    <n v="16.2"/>
    <x v="12"/>
    <x v="1"/>
  </r>
  <r>
    <x v="293"/>
    <n v="25"/>
    <x v="2"/>
    <n v="181"/>
    <n v="110"/>
    <n v="2945"/>
    <n v="16.399999999999999"/>
    <x v="12"/>
    <x v="0"/>
  </r>
  <r>
    <x v="294"/>
    <n v="38"/>
    <x v="2"/>
    <n v="262"/>
    <n v="85"/>
    <n v="3015"/>
    <n v="17"/>
    <x v="12"/>
    <x v="0"/>
  </r>
  <r>
    <x v="295"/>
    <n v="26"/>
    <x v="1"/>
    <n v="156"/>
    <n v="92"/>
    <n v="2585"/>
    <n v="14.5"/>
    <x v="12"/>
    <x v="0"/>
  </r>
  <r>
    <x v="296"/>
    <n v="22"/>
    <x v="2"/>
    <n v="232"/>
    <n v="112"/>
    <n v="2835"/>
    <n v="14.7"/>
    <x v="12"/>
    <x v="0"/>
  </r>
  <r>
    <x v="297"/>
    <n v="32"/>
    <x v="1"/>
    <n v="144"/>
    <n v="96"/>
    <n v="2665"/>
    <n v="13.9"/>
    <x v="12"/>
    <x v="1"/>
  </r>
  <r>
    <x v="298"/>
    <n v="36"/>
    <x v="1"/>
    <n v="135"/>
    <n v="84"/>
    <n v="2370"/>
    <n v="13"/>
    <x v="12"/>
    <x v="0"/>
  </r>
  <r>
    <x v="299"/>
    <n v="27"/>
    <x v="1"/>
    <n v="151"/>
    <n v="90"/>
    <n v="2950"/>
    <n v="17.3"/>
    <x v="12"/>
    <x v="0"/>
  </r>
  <r>
    <x v="300"/>
    <n v="27"/>
    <x v="1"/>
    <n v="140"/>
    <n v="86"/>
    <n v="2790"/>
    <n v="15.6"/>
    <x v="12"/>
    <x v="0"/>
  </r>
  <r>
    <x v="301"/>
    <n v="44"/>
    <x v="1"/>
    <n v="97"/>
    <n v="52"/>
    <n v="2130"/>
    <n v="24.6"/>
    <x v="12"/>
    <x v="2"/>
  </r>
  <r>
    <x v="302"/>
    <n v="32"/>
    <x v="1"/>
    <n v="135"/>
    <n v="84"/>
    <n v="2295"/>
    <n v="11.6"/>
    <x v="12"/>
    <x v="0"/>
  </r>
  <r>
    <x v="303"/>
    <n v="28"/>
    <x v="1"/>
    <n v="120"/>
    <n v="79"/>
    <n v="2625"/>
    <n v="18.600000000000001"/>
    <x v="12"/>
    <x v="0"/>
  </r>
  <r>
    <x v="304"/>
    <n v="31"/>
    <x v="1"/>
    <n v="119"/>
    <n v="82"/>
    <n v="2720"/>
    <n v="19.399999999999999"/>
    <x v="1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8">
  <r>
    <s v="bmw 2002"/>
    <n v="26"/>
    <n v="113"/>
    <n v="12.5"/>
    <x v="0"/>
    <x v="0"/>
  </r>
  <r>
    <s v="saab 99e"/>
    <n v="25"/>
    <n v="95"/>
    <n v="17.5"/>
    <x v="0"/>
    <x v="1"/>
  </r>
  <r>
    <s v="audi 100 ls"/>
    <n v="24"/>
    <n v="90"/>
    <n v="14.5"/>
    <x v="0"/>
    <x v="1"/>
  </r>
  <r>
    <s v="peugeot 504"/>
    <n v="25"/>
    <n v="87"/>
    <n v="17.5"/>
    <x v="0"/>
    <x v="1"/>
  </r>
  <r>
    <s v="volkswagen 1131 deluxe sedan"/>
    <n v="26"/>
    <n v="46"/>
    <n v="20.5"/>
    <x v="0"/>
    <x v="0"/>
  </r>
  <r>
    <s v="opel 1900"/>
    <n v="28"/>
    <n v="90"/>
    <n v="14"/>
    <x v="1"/>
    <x v="1"/>
  </r>
  <r>
    <s v="fiat 124b"/>
    <n v="30"/>
    <n v="76"/>
    <n v="14.5"/>
    <x v="1"/>
    <x v="1"/>
  </r>
  <r>
    <s v="peugeot 304"/>
    <n v="30"/>
    <n v="70"/>
    <n v="19.5"/>
    <x v="1"/>
    <x v="0"/>
  </r>
  <r>
    <s v="volkswagen model 111"/>
    <n v="27"/>
    <n v="60"/>
    <n v="19"/>
    <x v="1"/>
    <x v="1"/>
  </r>
  <r>
    <s v="volvo 145e (sw)"/>
    <n v="18"/>
    <n v="112"/>
    <n v="14.5"/>
    <x v="2"/>
    <x v="0"/>
  </r>
  <r>
    <s v="renault 12 (sw)"/>
    <n v="26"/>
    <n v="69"/>
    <n v="18"/>
    <x v="2"/>
    <x v="1"/>
  </r>
  <r>
    <s v="volkswagen 411 (sw)"/>
    <n v="22"/>
    <n v="76"/>
    <n v="18"/>
    <x v="2"/>
    <x v="1"/>
  </r>
  <r>
    <s v="peugeot 504 (sw)"/>
    <n v="21"/>
    <n v="87"/>
    <n v="19.5"/>
    <x v="2"/>
    <x v="0"/>
  </r>
  <r>
    <s v="volkswagen type 3"/>
    <n v="23"/>
    <n v="54"/>
    <n v="23.5"/>
    <x v="2"/>
    <x v="0"/>
  </r>
  <r>
    <s v="saab 99le"/>
    <n v="24"/>
    <n v="110"/>
    <n v="14"/>
    <x v="3"/>
    <x v="0"/>
  </r>
  <r>
    <s v="fiat 124 sport coupe"/>
    <n v="26"/>
    <n v="90"/>
    <n v="15.5"/>
    <x v="3"/>
    <x v="1"/>
  </r>
  <r>
    <s v="volvo 144ea"/>
    <n v="19"/>
    <n v="112"/>
    <n v="15.5"/>
    <x v="3"/>
    <x v="0"/>
  </r>
  <r>
    <s v="audi 100ls"/>
    <n v="20"/>
    <n v="91"/>
    <n v="14"/>
    <x v="3"/>
    <x v="1"/>
  </r>
  <r>
    <s v="opel manta"/>
    <n v="24"/>
    <n v="75"/>
    <n v="15.5"/>
    <x v="3"/>
    <x v="1"/>
  </r>
  <r>
    <s v="fiat 128"/>
    <n v="29"/>
    <n v="49"/>
    <n v="19.5"/>
    <x v="3"/>
    <x v="0"/>
  </r>
  <r>
    <s v="volkswagen super beetle"/>
    <n v="26"/>
    <n v="46"/>
    <n v="21"/>
    <x v="3"/>
    <x v="0"/>
  </r>
  <r>
    <s v="audi fox"/>
    <n v="29"/>
    <n v="83"/>
    <n v="16.5"/>
    <x v="4"/>
    <x v="1"/>
  </r>
  <r>
    <s v="fiat 128"/>
    <n v="24"/>
    <n v="75"/>
    <n v="15.5"/>
    <x v="4"/>
    <x v="1"/>
  </r>
  <r>
    <s v="volkswagen dasher"/>
    <n v="26"/>
    <n v="67"/>
    <n v="15.5"/>
    <x v="4"/>
    <x v="1"/>
  </r>
  <r>
    <s v="opel manta"/>
    <n v="26"/>
    <n v="78"/>
    <n v="14.5"/>
    <x v="4"/>
    <x v="1"/>
  </r>
  <r>
    <s v="fiat x1.9"/>
    <n v="31"/>
    <n v="67"/>
    <n v="16"/>
    <x v="4"/>
    <x v="1"/>
  </r>
  <r>
    <s v="fiat 124 tc"/>
    <n v="26"/>
    <n v="75"/>
    <n v="14"/>
    <x v="4"/>
    <x v="1"/>
  </r>
  <r>
    <s v="saab 99le"/>
    <n v="25"/>
    <n v="115"/>
    <n v="13.5"/>
    <x v="5"/>
    <x v="0"/>
  </r>
  <r>
    <s v="volkswagen rabbit"/>
    <n v="29"/>
    <n v="70"/>
    <n v="14"/>
    <x v="5"/>
    <x v="1"/>
  </r>
  <r>
    <s v="audi 100ls"/>
    <n v="23"/>
    <n v="95"/>
    <n v="15"/>
    <x v="5"/>
    <x v="1"/>
  </r>
  <r>
    <s v="volvo 244dl"/>
    <n v="22"/>
    <n v="98"/>
    <n v="14.5"/>
    <x v="5"/>
    <x v="1"/>
  </r>
  <r>
    <s v="volkswagen dasher"/>
    <n v="25"/>
    <n v="71"/>
    <n v="16.5"/>
    <x v="5"/>
    <x v="1"/>
  </r>
  <r>
    <s v="peugeot 504"/>
    <n v="23"/>
    <n v="88"/>
    <n v="17"/>
    <x v="5"/>
    <x v="1"/>
  </r>
  <r>
    <s v="volkswagen rabbit"/>
    <n v="29.5"/>
    <n v="71"/>
    <n v="12.2"/>
    <x v="6"/>
    <x v="0"/>
  </r>
  <r>
    <s v="renault 12tl"/>
    <n v="27"/>
    <n v="83"/>
    <n v="15.3"/>
    <x v="6"/>
    <x v="1"/>
  </r>
  <r>
    <s v="opel 1900"/>
    <n v="25"/>
    <n v="81"/>
    <n v="16.899999999999999"/>
    <x v="6"/>
    <x v="1"/>
  </r>
  <r>
    <s v="vw rabbit"/>
    <n v="29"/>
    <n v="70"/>
    <n v="14.2"/>
    <x v="6"/>
    <x v="1"/>
  </r>
  <r>
    <s v="fiat 131"/>
    <n v="28"/>
    <n v="86"/>
    <n v="15.5"/>
    <x v="6"/>
    <x v="1"/>
  </r>
  <r>
    <s v="volvo 245"/>
    <n v="20"/>
    <n v="102"/>
    <n v="15.7"/>
    <x v="6"/>
    <x v="0"/>
  </r>
  <r>
    <s v="peugeot 504"/>
    <n v="19"/>
    <n v="88"/>
    <n v="21.9"/>
    <x v="6"/>
    <x v="0"/>
  </r>
  <r>
    <s v="mercedes-benz 280s"/>
    <n v="16.5"/>
    <n v="120"/>
    <n v="16.7"/>
    <x v="6"/>
    <x v="0"/>
  </r>
  <r>
    <s v="bmw 320i"/>
    <n v="21.5"/>
    <n v="110"/>
    <n v="12.8"/>
    <x v="7"/>
    <x v="0"/>
  </r>
  <r>
    <s v="volkswagen rabbit custom"/>
    <n v="29"/>
    <n v="78"/>
    <n v="14.5"/>
    <x v="7"/>
    <x v="1"/>
  </r>
  <r>
    <s v="volkswagen dasher"/>
    <n v="30.5"/>
    <n v="78"/>
    <n v="14.1"/>
    <x v="7"/>
    <x v="1"/>
  </r>
  <r>
    <s v="renault 5 gtl"/>
    <n v="36"/>
    <n v="58"/>
    <n v="18.600000000000001"/>
    <x v="7"/>
    <x v="0"/>
  </r>
  <r>
    <s v="saab 99gle"/>
    <n v="21.6"/>
    <n v="115"/>
    <n v="15.7"/>
    <x v="8"/>
    <x v="0"/>
  </r>
  <r>
    <s v="volkswagen scirocco"/>
    <n v="31.5"/>
    <n v="71"/>
    <n v="14.9"/>
    <x v="8"/>
    <x v="1"/>
  </r>
  <r>
    <s v="volkswagen rabbit custom diesel"/>
    <n v="43.1"/>
    <n v="48"/>
    <n v="21.5"/>
    <x v="8"/>
    <x v="0"/>
  </r>
  <r>
    <s v="audi 5000"/>
    <n v="20.3"/>
    <n v="103"/>
    <n v="15.9"/>
    <x v="8"/>
    <x v="0"/>
  </r>
  <r>
    <s v="volvo 264gl"/>
    <n v="17"/>
    <n v="125"/>
    <n v="13.6"/>
    <x v="8"/>
    <x v="0"/>
  </r>
  <r>
    <s v="peugeot 604sl"/>
    <n v="16.2"/>
    <n v="133"/>
    <n v="15.8"/>
    <x v="8"/>
    <x v="0"/>
  </r>
  <r>
    <s v="vw rabbit custom"/>
    <n v="31.9"/>
    <n v="71"/>
    <n v="14"/>
    <x v="9"/>
    <x v="1"/>
  </r>
  <r>
    <s v="fiat strada custom"/>
    <n v="37.299999999999997"/>
    <n v="69"/>
    <n v="14.7"/>
    <x v="9"/>
    <x v="0"/>
  </r>
  <r>
    <s v="peugeot 504"/>
    <n v="27.2"/>
    <n v="71"/>
    <n v="24.8"/>
    <x v="9"/>
    <x v="0"/>
  </r>
  <r>
    <s v="mercedes benz 300d"/>
    <n v="25.4"/>
    <n v="77"/>
    <n v="20.100000000000001"/>
    <x v="9"/>
    <x v="0"/>
  </r>
  <r>
    <s v="audi 4000"/>
    <n v="34.299999999999997"/>
    <n v="78"/>
    <n v="15.8"/>
    <x v="10"/>
    <x v="0"/>
  </r>
  <r>
    <s v="vw rabbit"/>
    <n v="41.5"/>
    <n v="76"/>
    <n v="14.7"/>
    <x v="10"/>
    <x v="0"/>
  </r>
  <r>
    <s v="triumph tr7 coupe"/>
    <n v="35"/>
    <n v="88"/>
    <n v="15.1"/>
    <x v="10"/>
    <x v="0"/>
  </r>
  <r>
    <s v="vokswagen rabbit"/>
    <n v="29.8"/>
    <n v="62"/>
    <n v="15.3"/>
    <x v="10"/>
    <x v="1"/>
  </r>
  <r>
    <s v="vw rabbit c (diesel)"/>
    <n v="44.3"/>
    <n v="48"/>
    <n v="21.7"/>
    <x v="10"/>
    <x v="0"/>
  </r>
  <r>
    <s v="mercedes-benz 240d"/>
    <n v="30"/>
    <n v="67"/>
    <n v="21.8"/>
    <x v="10"/>
    <x v="0"/>
  </r>
  <r>
    <s v="vw dasher (diesel)"/>
    <n v="43.4"/>
    <n v="48"/>
    <n v="23.7"/>
    <x v="10"/>
    <x v="0"/>
  </r>
  <r>
    <s v="renault lecar deluxe"/>
    <n v="40.9"/>
    <m/>
    <n v="17.3"/>
    <x v="10"/>
    <x v="0"/>
  </r>
  <r>
    <s v="audi 5000s (diesel)"/>
    <n v="36.4"/>
    <n v="67"/>
    <n v="19.899999999999999"/>
    <x v="10"/>
    <x v="0"/>
  </r>
  <r>
    <s v="volkswagen jetta"/>
    <n v="33"/>
    <n v="74"/>
    <n v="14.2"/>
    <x v="11"/>
    <x v="0"/>
  </r>
  <r>
    <s v="peugeot 505s turbo diesel"/>
    <n v="28.1"/>
    <n v="80"/>
    <n v="20.399999999999999"/>
    <x v="11"/>
    <x v="0"/>
  </r>
  <r>
    <s v="renault 18i"/>
    <n v="34.5"/>
    <m/>
    <n v="15.8"/>
    <x v="11"/>
    <x v="0"/>
  </r>
  <r>
    <s v="volvo diesel"/>
    <n v="30.7"/>
    <n v="76"/>
    <n v="19.600000000000001"/>
    <x v="11"/>
    <x v="0"/>
  </r>
  <r>
    <s v="volkswagen rabbit l"/>
    <n v="36"/>
    <n v="74"/>
    <n v="15.3"/>
    <x v="12"/>
    <x v="0"/>
  </r>
  <r>
    <s v="vw pickup"/>
    <n v="44"/>
    <n v="52"/>
    <n v="24.6"/>
    <x v="12"/>
    <x v="0"/>
  </r>
  <r>
    <s v="datsun pl510"/>
    <n v="27"/>
    <n v="88"/>
    <n v="14.5"/>
    <x v="0"/>
    <x v="1"/>
  </r>
  <r>
    <s v="toyota corona mark ii"/>
    <n v="24"/>
    <n v="95"/>
    <n v="15"/>
    <x v="0"/>
    <x v="1"/>
  </r>
  <r>
    <s v="datsun 1200"/>
    <n v="35"/>
    <n v="69"/>
    <n v="18"/>
    <x v="1"/>
    <x v="0"/>
  </r>
  <r>
    <s v="toyota corona"/>
    <n v="25"/>
    <n v="95"/>
    <n v="14"/>
    <x v="1"/>
    <x v="1"/>
  </r>
  <r>
    <s v="datsun pl510"/>
    <n v="27"/>
    <n v="88"/>
    <n v="14.5"/>
    <x v="1"/>
    <x v="1"/>
  </r>
  <r>
    <s v="toyota corolla 1200"/>
    <n v="31"/>
    <n v="65"/>
    <n v="19"/>
    <x v="1"/>
    <x v="1"/>
  </r>
  <r>
    <s v="mazda rx2 coupe"/>
    <n v="19"/>
    <n v="97"/>
    <n v="13.5"/>
    <x v="2"/>
    <x v="1"/>
  </r>
  <r>
    <s v="toyota corolla 1600 (sw)"/>
    <n v="27"/>
    <n v="88"/>
    <n v="16.5"/>
    <x v="2"/>
    <x v="1"/>
  </r>
  <r>
    <s v="toyota corona hardtop"/>
    <n v="24"/>
    <n v="95"/>
    <n v="15.5"/>
    <x v="2"/>
    <x v="1"/>
  </r>
  <r>
    <s v="datsun 510 (sw)"/>
    <n v="28"/>
    <n v="92"/>
    <n v="17"/>
    <x v="2"/>
    <x v="1"/>
  </r>
  <r>
    <s v="toyouta corona mark ii (sw)"/>
    <n v="23"/>
    <n v="97"/>
    <n v="14.5"/>
    <x v="2"/>
    <x v="1"/>
  </r>
  <r>
    <s v="maxda rx3"/>
    <n v="18"/>
    <n v="90"/>
    <n v="13.5"/>
    <x v="3"/>
    <x v="1"/>
  </r>
  <r>
    <s v="datsun 610"/>
    <n v="22"/>
    <n v="94"/>
    <n v="16.5"/>
    <x v="3"/>
    <x v="1"/>
  </r>
  <r>
    <s v="toyota carina"/>
    <n v="20"/>
    <n v="88"/>
    <n v="19"/>
    <x v="3"/>
    <x v="1"/>
  </r>
  <r>
    <s v="toyota mark ii"/>
    <n v="20"/>
    <n v="122"/>
    <n v="13.5"/>
    <x v="3"/>
    <x v="0"/>
  </r>
  <r>
    <s v="honda civic"/>
    <n v="24"/>
    <n v="97"/>
    <n v="15"/>
    <x v="4"/>
    <x v="1"/>
  </r>
  <r>
    <s v="subaru"/>
    <n v="26"/>
    <n v="93"/>
    <n v="15.5"/>
    <x v="4"/>
    <x v="1"/>
  </r>
  <r>
    <s v="toyota corolla 1200"/>
    <n v="32"/>
    <n v="65"/>
    <n v="21"/>
    <x v="4"/>
    <x v="0"/>
  </r>
  <r>
    <s v="datsun b210"/>
    <n v="31"/>
    <n v="67"/>
    <n v="19"/>
    <x v="4"/>
    <x v="1"/>
  </r>
  <r>
    <s v="toyota corona"/>
    <n v="31"/>
    <n v="52"/>
    <n v="16.5"/>
    <x v="4"/>
    <x v="0"/>
  </r>
  <r>
    <s v="datsun 710"/>
    <n v="32"/>
    <n v="61"/>
    <n v="19"/>
    <x v="4"/>
    <x v="1"/>
  </r>
  <r>
    <s v="datsun 710"/>
    <n v="24"/>
    <n v="97"/>
    <n v="17"/>
    <x v="5"/>
    <x v="1"/>
  </r>
  <r>
    <s v="toyota corona"/>
    <n v="24"/>
    <n v="96"/>
    <n v="13.5"/>
    <x v="5"/>
    <x v="1"/>
  </r>
  <r>
    <s v="toyota corolla"/>
    <n v="29"/>
    <n v="75"/>
    <n v="16"/>
    <x v="5"/>
    <x v="1"/>
  </r>
  <r>
    <s v="honda civic cvcc"/>
    <n v="33"/>
    <n v="53"/>
    <n v="17.5"/>
    <x v="5"/>
    <x v="0"/>
  </r>
  <r>
    <s v="datsun b-210"/>
    <n v="32"/>
    <n v="70"/>
    <n v="17"/>
    <x v="6"/>
    <x v="1"/>
  </r>
  <r>
    <s v="toyota corolla"/>
    <n v="28"/>
    <n v="75"/>
    <n v="16.399999999999999"/>
    <x v="6"/>
    <x v="1"/>
  </r>
  <r>
    <s v="honda civic"/>
    <n v="33"/>
    <n v="53"/>
    <n v="17.399999999999999"/>
    <x v="6"/>
    <x v="0"/>
  </r>
  <r>
    <s v="toyota mark ii"/>
    <n v="19"/>
    <n v="108"/>
    <n v="15.5"/>
    <x v="6"/>
    <x v="0"/>
  </r>
  <r>
    <s v="mazda rx-4"/>
    <n v="21.5"/>
    <n v="110"/>
    <n v="13.5"/>
    <x v="7"/>
    <x v="0"/>
  </r>
  <r>
    <s v="datsun f-10 hatchback"/>
    <n v="33.5"/>
    <n v="70"/>
    <n v="16.8"/>
    <x v="7"/>
    <x v="0"/>
  </r>
  <r>
    <s v="subaru dl"/>
    <n v="30"/>
    <n v="67"/>
    <n v="16.399999999999999"/>
    <x v="7"/>
    <x v="1"/>
  </r>
  <r>
    <s v="honda accord cvcc"/>
    <n v="31.5"/>
    <n v="68"/>
    <n v="18.5"/>
    <x v="7"/>
    <x v="1"/>
  </r>
  <r>
    <s v="toyota corolla liftback"/>
    <n v="26"/>
    <n v="75"/>
    <n v="18.2"/>
    <x v="7"/>
    <x v="1"/>
  </r>
  <r>
    <s v="datsun 810"/>
    <n v="22"/>
    <n v="97"/>
    <n v="14.5"/>
    <x v="7"/>
    <x v="1"/>
  </r>
  <r>
    <s v="datsun 510"/>
    <n v="27.2"/>
    <n v="97"/>
    <n v="14.7"/>
    <x v="8"/>
    <x v="1"/>
  </r>
  <r>
    <s v="datsun 200-sx"/>
    <n v="23.9"/>
    <n v="97"/>
    <n v="14.9"/>
    <x v="8"/>
    <x v="1"/>
  </r>
  <r>
    <s v="toyota celica gt liftback"/>
    <n v="21.1"/>
    <n v="95"/>
    <n v="14.8"/>
    <x v="8"/>
    <x v="1"/>
  </r>
  <r>
    <s v="toyota corona"/>
    <n v="27.5"/>
    <n v="95"/>
    <n v="14.2"/>
    <x v="8"/>
    <x v="1"/>
  </r>
  <r>
    <s v="datsun b210 gx"/>
    <n v="39.4"/>
    <n v="70"/>
    <n v="18.600000000000001"/>
    <x v="8"/>
    <x v="0"/>
  </r>
  <r>
    <s v="honda civic cvcc"/>
    <n v="36.1"/>
    <n v="60"/>
    <n v="16.399999999999999"/>
    <x v="8"/>
    <x v="0"/>
  </r>
  <r>
    <s v="honda accord lx"/>
    <n v="29.5"/>
    <n v="68"/>
    <n v="16.600000000000001"/>
    <x v="8"/>
    <x v="1"/>
  </r>
  <r>
    <s v="mazda glc deluxe"/>
    <n v="32.799999999999997"/>
    <n v="52"/>
    <n v="19.399999999999999"/>
    <x v="8"/>
    <x v="0"/>
  </r>
  <r>
    <s v="maxda glc deluxe"/>
    <n v="34.1"/>
    <n v="65"/>
    <n v="15.2"/>
    <x v="9"/>
    <x v="0"/>
  </r>
  <r>
    <s v="datsun 210"/>
    <n v="31.8"/>
    <n v="65"/>
    <n v="19.2"/>
    <x v="9"/>
    <x v="0"/>
  </r>
  <r>
    <s v="mazda rx-7 gs"/>
    <n v="23.7"/>
    <n v="100"/>
    <n v="12.5"/>
    <x v="10"/>
    <x v="0"/>
  </r>
  <r>
    <s v="datsun 510 hatchback"/>
    <n v="37"/>
    <n v="92"/>
    <n v="15"/>
    <x v="10"/>
    <x v="0"/>
  </r>
  <r>
    <s v="honda civic 1500 gl"/>
    <n v="44.6"/>
    <n v="67"/>
    <n v="13.8"/>
    <x v="10"/>
    <x v="0"/>
  </r>
  <r>
    <s v="toyota corona liftback"/>
    <n v="29.8"/>
    <n v="90"/>
    <n v="15.5"/>
    <x v="10"/>
    <x v="1"/>
  </r>
  <r>
    <s v="toyota corolla"/>
    <n v="32.200000000000003"/>
    <n v="75"/>
    <n v="15.2"/>
    <x v="10"/>
    <x v="1"/>
  </r>
  <r>
    <s v="datsun 310"/>
    <n v="37.200000000000003"/>
    <n v="65"/>
    <n v="16.399999999999999"/>
    <x v="10"/>
    <x v="0"/>
  </r>
  <r>
    <s v="honda accord"/>
    <n v="32.4"/>
    <n v="72"/>
    <n v="17"/>
    <x v="10"/>
    <x v="1"/>
  </r>
  <r>
    <s v="subaru dl"/>
    <n v="33.799999999999997"/>
    <n v="67"/>
    <n v="18"/>
    <x v="10"/>
    <x v="0"/>
  </r>
  <r>
    <s v="datsun 210"/>
    <n v="40.799999999999997"/>
    <n v="65"/>
    <n v="19.2"/>
    <x v="10"/>
    <x v="0"/>
  </r>
  <r>
    <s v="mazda glc"/>
    <n v="46.6"/>
    <n v="65"/>
    <n v="17.899999999999999"/>
    <x v="10"/>
    <x v="0"/>
  </r>
  <r>
    <s v="toyota corolla tercel"/>
    <n v="38.1"/>
    <n v="60"/>
    <n v="18.8"/>
    <x v="10"/>
    <x v="0"/>
  </r>
  <r>
    <s v="mazda 626"/>
    <n v="31.3"/>
    <n v="75"/>
    <n v="17.5"/>
    <x v="10"/>
    <x v="1"/>
  </r>
  <r>
    <s v="datsun 280-zx"/>
    <n v="32.700000000000003"/>
    <n v="132"/>
    <n v="11.4"/>
    <x v="10"/>
    <x v="2"/>
  </r>
  <r>
    <s v="datsun 200sx"/>
    <n v="32.9"/>
    <n v="100"/>
    <n v="14.8"/>
    <x v="11"/>
    <x v="0"/>
  </r>
  <r>
    <s v="mazda glc 4"/>
    <n v="34.1"/>
    <n v="68"/>
    <n v="16"/>
    <x v="11"/>
    <x v="0"/>
  </r>
  <r>
    <s v="honda civic 1300"/>
    <n v="35.1"/>
    <n v="60"/>
    <n v="16.100000000000001"/>
    <x v="11"/>
    <x v="0"/>
  </r>
  <r>
    <s v="honda prelude"/>
    <n v="33.700000000000003"/>
    <n v="75"/>
    <n v="14.4"/>
    <x v="11"/>
    <x v="0"/>
  </r>
  <r>
    <s v="toyota starlet"/>
    <n v="39.1"/>
    <n v="58"/>
    <n v="16.899999999999999"/>
    <x v="11"/>
    <x v="0"/>
  </r>
  <r>
    <s v="datsun 210 mpg"/>
    <n v="37"/>
    <n v="65"/>
    <n v="19.399999999999999"/>
    <x v="11"/>
    <x v="0"/>
  </r>
  <r>
    <s v="subaru"/>
    <n v="32.299999999999997"/>
    <n v="67"/>
    <n v="17.8"/>
    <x v="11"/>
    <x v="1"/>
  </r>
  <r>
    <s v="toyota corolla"/>
    <n v="32.4"/>
    <n v="75"/>
    <n v="16.8"/>
    <x v="11"/>
    <x v="1"/>
  </r>
  <r>
    <s v="toyota tercel"/>
    <n v="37.700000000000003"/>
    <n v="62"/>
    <n v="17.3"/>
    <x v="11"/>
    <x v="0"/>
  </r>
  <r>
    <s v="mazda 626"/>
    <n v="31.6"/>
    <n v="74"/>
    <n v="18.3"/>
    <x v="11"/>
    <x v="1"/>
  </r>
  <r>
    <s v="datsun 810 maxima"/>
    <n v="24.2"/>
    <n v="120"/>
    <n v="13.8"/>
    <x v="11"/>
    <x v="0"/>
  </r>
  <r>
    <s v="toyota cressida"/>
    <n v="25.4"/>
    <n v="116"/>
    <n v="12.6"/>
    <x v="11"/>
    <x v="0"/>
  </r>
  <r>
    <s v="nissan stanza xe"/>
    <n v="36"/>
    <n v="88"/>
    <n v="14.5"/>
    <x v="12"/>
    <x v="0"/>
  </r>
  <r>
    <s v="toyota celica gt"/>
    <n v="32"/>
    <n v="96"/>
    <n v="13.9"/>
    <x v="12"/>
    <x v="1"/>
  </r>
  <r>
    <s v="mazda glc custom"/>
    <n v="31"/>
    <n v="68"/>
    <n v="17.600000000000001"/>
    <x v="12"/>
    <x v="1"/>
  </r>
  <r>
    <s v="honda civic"/>
    <n v="38"/>
    <n v="67"/>
    <n v="15"/>
    <x v="12"/>
    <x v="0"/>
  </r>
  <r>
    <s v="honda civic (auto)"/>
    <n v="32"/>
    <n v="67"/>
    <n v="15.7"/>
    <x v="12"/>
    <x v="1"/>
  </r>
  <r>
    <s v="honda accord"/>
    <n v="36"/>
    <n v="75"/>
    <n v="14.5"/>
    <x v="12"/>
    <x v="0"/>
  </r>
  <r>
    <s v="datsun 310 gx"/>
    <n v="38"/>
    <n v="67"/>
    <n v="16.2"/>
    <x v="12"/>
    <x v="0"/>
  </r>
  <r>
    <s v="mazda glc custom l"/>
    <n v="37"/>
    <n v="68"/>
    <n v="18.2"/>
    <x v="12"/>
    <x v="0"/>
  </r>
  <r>
    <s v="toyota corolla"/>
    <n v="34"/>
    <n v="70"/>
    <n v="16.899999999999999"/>
    <x v="12"/>
    <x v="0"/>
  </r>
  <r>
    <s v="amc hornet"/>
    <n v="18"/>
    <n v="97"/>
    <n v="15.5"/>
    <x v="0"/>
    <x v="1"/>
  </r>
  <r>
    <s v="amc gremlin"/>
    <n v="21"/>
    <n v="90"/>
    <n v="15"/>
    <x v="0"/>
    <x v="1"/>
  </r>
  <r>
    <s v="plymouth duster"/>
    <n v="22"/>
    <n v="95"/>
    <n v="15.5"/>
    <x v="0"/>
    <x v="1"/>
  </r>
  <r>
    <s v="ford maverick"/>
    <n v="21"/>
    <n v="85"/>
    <n v="16"/>
    <x v="0"/>
    <x v="1"/>
  </r>
  <r>
    <s v="buick estate wagon (sw)"/>
    <n v="14"/>
    <n v="225"/>
    <n v="10"/>
    <x v="0"/>
    <x v="0"/>
  </r>
  <r>
    <s v="pontiac catalina"/>
    <n v="14"/>
    <n v="225"/>
    <n v="10"/>
    <x v="0"/>
    <x v="0"/>
  </r>
  <r>
    <s v="chevrolet impala"/>
    <n v="14"/>
    <n v="220"/>
    <n v="9"/>
    <x v="0"/>
    <x v="0"/>
  </r>
  <r>
    <s v="plymouth fury iii"/>
    <n v="14"/>
    <n v="215"/>
    <n v="8.5"/>
    <x v="0"/>
    <x v="0"/>
  </r>
  <r>
    <s v="amc ambassador dpl"/>
    <n v="15"/>
    <n v="190"/>
    <n v="8.5"/>
    <x v="0"/>
    <x v="0"/>
  </r>
  <r>
    <s v="dodge d200"/>
    <n v="11"/>
    <n v="210"/>
    <n v="13.5"/>
    <x v="0"/>
    <x v="0"/>
  </r>
  <r>
    <s v="dodge challenger se"/>
    <n v="15"/>
    <n v="170"/>
    <n v="10"/>
    <x v="0"/>
    <x v="0"/>
  </r>
  <r>
    <s v="ford f250"/>
    <n v="10"/>
    <n v="215"/>
    <n v="14"/>
    <x v="0"/>
    <x v="0"/>
  </r>
  <r>
    <s v="chevy c20"/>
    <n v="10"/>
    <n v="200"/>
    <n v="15"/>
    <x v="0"/>
    <x v="0"/>
  </r>
  <r>
    <s v="ford galaxie 500"/>
    <n v="15"/>
    <n v="198"/>
    <n v="10"/>
    <x v="0"/>
    <x v="0"/>
  </r>
  <r>
    <s v="buick skylark 320"/>
    <n v="15"/>
    <n v="165"/>
    <n v="11.5"/>
    <x v="0"/>
    <x v="0"/>
  </r>
  <r>
    <s v="plymouth 'cuda 340"/>
    <n v="14"/>
    <n v="160"/>
    <n v="8"/>
    <x v="0"/>
    <x v="0"/>
  </r>
  <r>
    <s v="amc rebel sst"/>
    <n v="16"/>
    <n v="150"/>
    <n v="12"/>
    <x v="0"/>
    <x v="0"/>
  </r>
  <r>
    <s v="plymouth satellite"/>
    <n v="18"/>
    <n v="150"/>
    <n v="11"/>
    <x v="0"/>
    <x v="0"/>
  </r>
  <r>
    <s v="hi 1200d"/>
    <n v="9"/>
    <n v="193"/>
    <n v="18.5"/>
    <x v="0"/>
    <x v="0"/>
  </r>
  <r>
    <s v="ford torino"/>
    <n v="17"/>
    <n v="140"/>
    <n v="10.5"/>
    <x v="0"/>
    <x v="0"/>
  </r>
  <r>
    <s v="chevrolet monte carlo"/>
    <n v="15"/>
    <n v="150"/>
    <n v="9.5"/>
    <x v="0"/>
    <x v="0"/>
  </r>
  <r>
    <s v="chevrolet chevelle malibu"/>
    <n v="18"/>
    <n v="130"/>
    <n v="12"/>
    <x v="0"/>
    <x v="0"/>
  </r>
  <r>
    <s v="chevrolet vega 2300"/>
    <n v="28"/>
    <n v="90"/>
    <n v="15.5"/>
    <x v="1"/>
    <x v="1"/>
  </r>
  <r>
    <s v="mercury capri 2000"/>
    <n v="23"/>
    <n v="86"/>
    <n v="14"/>
    <x v="1"/>
    <x v="1"/>
  </r>
  <r>
    <s v="plymouth cricket"/>
    <n v="26"/>
    <n v="70"/>
    <n v="20.5"/>
    <x v="1"/>
    <x v="0"/>
  </r>
  <r>
    <s v="chevrolet vega (sw)"/>
    <n v="22"/>
    <n v="72"/>
    <n v="19"/>
    <x v="1"/>
    <x v="1"/>
  </r>
  <r>
    <s v="ford pinto"/>
    <n v="25"/>
    <m/>
    <n v="19"/>
    <x v="1"/>
    <x v="0"/>
  </r>
  <r>
    <s v="amc gremlin"/>
    <n v="19"/>
    <n v="100"/>
    <n v="13"/>
    <x v="1"/>
    <x v="1"/>
  </r>
  <r>
    <s v="amc hornet sportabout (sw)"/>
    <n v="18"/>
    <n v="110"/>
    <n v="13.5"/>
    <x v="1"/>
    <x v="0"/>
  </r>
  <r>
    <s v="plymouth satellite custom"/>
    <n v="16"/>
    <n v="105"/>
    <n v="15.5"/>
    <x v="1"/>
    <x v="0"/>
  </r>
  <r>
    <s v="pontiac firebird"/>
    <n v="19"/>
    <n v="100"/>
    <n v="15"/>
    <x v="1"/>
    <x v="1"/>
  </r>
  <r>
    <s v="amc matador"/>
    <n v="18"/>
    <n v="100"/>
    <n v="15.5"/>
    <x v="1"/>
    <x v="1"/>
  </r>
  <r>
    <s v="chevrolet chevelle malibu"/>
    <n v="17"/>
    <n v="100"/>
    <n v="15.5"/>
    <x v="1"/>
    <x v="1"/>
  </r>
  <r>
    <s v="ford mustang"/>
    <n v="18"/>
    <n v="88"/>
    <n v="14.5"/>
    <x v="1"/>
    <x v="1"/>
  </r>
  <r>
    <s v="ford torino 500"/>
    <n v="19"/>
    <n v="88"/>
    <n v="15.5"/>
    <x v="1"/>
    <x v="1"/>
  </r>
  <r>
    <s v="chevrolet impala"/>
    <n v="14"/>
    <n v="165"/>
    <n v="12"/>
    <x v="1"/>
    <x v="0"/>
  </r>
  <r>
    <s v="pontiac catalina brougham"/>
    <n v="14"/>
    <n v="175"/>
    <n v="11.5"/>
    <x v="1"/>
    <x v="0"/>
  </r>
  <r>
    <s v="ford galaxie 500"/>
    <n v="14"/>
    <n v="153"/>
    <n v="13.5"/>
    <x v="1"/>
    <x v="0"/>
  </r>
  <r>
    <s v="plymouth fury iii"/>
    <n v="14"/>
    <n v="150"/>
    <n v="13"/>
    <x v="1"/>
    <x v="0"/>
  </r>
  <r>
    <s v="dodge monaco (sw)"/>
    <n v="12"/>
    <n v="180"/>
    <n v="11.5"/>
    <x v="1"/>
    <x v="0"/>
  </r>
  <r>
    <s v="ford country squire (sw)"/>
    <n v="13"/>
    <n v="170"/>
    <n v="12"/>
    <x v="1"/>
    <x v="0"/>
  </r>
  <r>
    <s v="pontiac safari (sw)"/>
    <n v="13"/>
    <n v="175"/>
    <n v="12"/>
    <x v="1"/>
    <x v="0"/>
  </r>
  <r>
    <s v="ford pinto runabout"/>
    <n v="21"/>
    <n v="86"/>
    <n v="16.5"/>
    <x v="2"/>
    <x v="1"/>
  </r>
  <r>
    <s v="dodge colt hardtop"/>
    <n v="25"/>
    <n v="80"/>
    <n v="17"/>
    <x v="2"/>
    <x v="1"/>
  </r>
  <r>
    <s v="chevrolet vega"/>
    <n v="20"/>
    <n v="90"/>
    <n v="19.5"/>
    <x v="2"/>
    <x v="0"/>
  </r>
  <r>
    <s v="dodge colt (sw)"/>
    <n v="28"/>
    <n v="80"/>
    <n v="15"/>
    <x v="2"/>
    <x v="1"/>
  </r>
  <r>
    <s v="ford pinto (sw)"/>
    <n v="22"/>
    <n v="86"/>
    <n v="16"/>
    <x v="2"/>
    <x v="1"/>
  </r>
  <r>
    <s v="mercury marquis"/>
    <n v="11"/>
    <n v="208"/>
    <n v="11"/>
    <x v="2"/>
    <x v="0"/>
  </r>
  <r>
    <s v="chrysler newport royal"/>
    <n v="13"/>
    <n v="190"/>
    <n v="12.5"/>
    <x v="2"/>
    <x v="0"/>
  </r>
  <r>
    <s v="amc ambassador sst"/>
    <n v="17"/>
    <n v="150"/>
    <n v="11.5"/>
    <x v="2"/>
    <x v="0"/>
  </r>
  <r>
    <s v="pontiac catalina"/>
    <n v="14"/>
    <n v="175"/>
    <n v="12"/>
    <x v="2"/>
    <x v="0"/>
  </r>
  <r>
    <s v="chevrolet impala"/>
    <n v="13"/>
    <n v="165"/>
    <n v="12"/>
    <x v="2"/>
    <x v="0"/>
  </r>
  <r>
    <s v="amc matador (sw)"/>
    <n v="15"/>
    <n v="150"/>
    <n v="12.5"/>
    <x v="2"/>
    <x v="0"/>
  </r>
  <r>
    <s v="ford galaxie 500"/>
    <n v="14"/>
    <n v="153"/>
    <n v="13"/>
    <x v="2"/>
    <x v="0"/>
  </r>
  <r>
    <s v="plymouth satellite custom (sw)"/>
    <n v="14"/>
    <n v="150"/>
    <n v="14"/>
    <x v="2"/>
    <x v="0"/>
  </r>
  <r>
    <s v="plymouth fury iii"/>
    <n v="15"/>
    <n v="150"/>
    <n v="13.5"/>
    <x v="2"/>
    <x v="0"/>
  </r>
  <r>
    <s v="oldsmobile delta 88 royale"/>
    <n v="12"/>
    <n v="160"/>
    <n v="13.5"/>
    <x v="2"/>
    <x v="0"/>
  </r>
  <r>
    <s v="buick lesabre custom"/>
    <n v="13"/>
    <n v="155"/>
    <n v="13.5"/>
    <x v="2"/>
    <x v="0"/>
  </r>
  <r>
    <s v="ford gran torino (sw)"/>
    <n v="13"/>
    <n v="140"/>
    <n v="16"/>
    <x v="2"/>
    <x v="0"/>
  </r>
  <r>
    <s v="chevrolet chevelle concours (sw)"/>
    <n v="13"/>
    <n v="130"/>
    <n v="14"/>
    <x v="2"/>
    <x v="0"/>
  </r>
  <r>
    <s v="ford pinto"/>
    <n v="19"/>
    <n v="85"/>
    <n v="18.5"/>
    <x v="3"/>
    <x v="1"/>
  </r>
  <r>
    <s v="chevrolet vega"/>
    <n v="21"/>
    <n v="72"/>
    <n v="19.5"/>
    <x v="3"/>
    <x v="0"/>
  </r>
  <r>
    <s v="mercury capri v6"/>
    <n v="21"/>
    <n v="107"/>
    <n v="14"/>
    <x v="3"/>
    <x v="0"/>
  </r>
  <r>
    <s v="amc gremlin"/>
    <n v="18"/>
    <n v="100"/>
    <n v="15"/>
    <x v="3"/>
    <x v="1"/>
  </r>
  <r>
    <s v="amc hornet"/>
    <n v="18"/>
    <n v="100"/>
    <n v="16"/>
    <x v="3"/>
    <x v="1"/>
  </r>
  <r>
    <s v="plymouth valiant"/>
    <n v="18"/>
    <n v="105"/>
    <n v="16.5"/>
    <x v="3"/>
    <x v="0"/>
  </r>
  <r>
    <s v="plymouth duster"/>
    <n v="23"/>
    <n v="95"/>
    <n v="16"/>
    <x v="3"/>
    <x v="1"/>
  </r>
  <r>
    <s v="chevrolet nova custom"/>
    <n v="16"/>
    <n v="100"/>
    <n v="18"/>
    <x v="3"/>
    <x v="0"/>
  </r>
  <r>
    <s v="ford maverick"/>
    <n v="18"/>
    <n v="88"/>
    <n v="16.5"/>
    <x v="3"/>
    <x v="1"/>
  </r>
  <r>
    <s v="pontiac grand prix"/>
    <n v="16"/>
    <n v="230"/>
    <n v="9.5"/>
    <x v="3"/>
    <x v="0"/>
  </r>
  <r>
    <s v="oldsmobile omega"/>
    <n v="11"/>
    <n v="180"/>
    <n v="11"/>
    <x v="3"/>
    <x v="0"/>
  </r>
  <r>
    <s v="amc ambassador brougham"/>
    <n v="13"/>
    <n v="175"/>
    <n v="11"/>
    <x v="3"/>
    <x v="0"/>
  </r>
  <r>
    <s v="buick electra 225 custom"/>
    <n v="12"/>
    <n v="225"/>
    <n v="11"/>
    <x v="3"/>
    <x v="0"/>
  </r>
  <r>
    <s v="chrysler new yorker brougham"/>
    <n v="13"/>
    <n v="215"/>
    <n v="11"/>
    <x v="3"/>
    <x v="0"/>
  </r>
  <r>
    <s v="dodge dart custom"/>
    <n v="15"/>
    <n v="150"/>
    <n v="11"/>
    <x v="3"/>
    <x v="0"/>
  </r>
  <r>
    <s v="buick century 350"/>
    <n v="13"/>
    <n v="175"/>
    <n v="13"/>
    <x v="3"/>
    <x v="0"/>
  </r>
  <r>
    <s v="amc matador"/>
    <n v="14"/>
    <n v="150"/>
    <n v="11.5"/>
    <x v="3"/>
    <x v="0"/>
  </r>
  <r>
    <s v="mercury marquis brougham"/>
    <n v="12"/>
    <n v="198"/>
    <n v="11.5"/>
    <x v="3"/>
    <x v="0"/>
  </r>
  <r>
    <s v="oldsmobile vista cruiser"/>
    <n v="12"/>
    <n v="180"/>
    <n v="12.5"/>
    <x v="3"/>
    <x v="0"/>
  </r>
  <r>
    <s v="dodge coronet custom"/>
    <n v="15"/>
    <n v="150"/>
    <n v="12.5"/>
    <x v="3"/>
    <x v="0"/>
  </r>
  <r>
    <s v="plymouth custom suburb"/>
    <n v="13"/>
    <n v="170"/>
    <n v="13"/>
    <x v="3"/>
    <x v="0"/>
  </r>
  <r>
    <s v="chevrolet malibu"/>
    <n v="13"/>
    <n v="145"/>
    <n v="13"/>
    <x v="3"/>
    <x v="0"/>
  </r>
  <r>
    <s v="ford ltd"/>
    <n v="13"/>
    <n v="158"/>
    <n v="13"/>
    <x v="3"/>
    <x v="0"/>
  </r>
  <r>
    <s v="chevrolet monte carlo s"/>
    <n v="15"/>
    <n v="145"/>
    <n v="13"/>
    <x v="3"/>
    <x v="0"/>
  </r>
  <r>
    <s v="plymouth fury gran sedan"/>
    <n v="14"/>
    <n v="150"/>
    <n v="14.5"/>
    <x v="3"/>
    <x v="0"/>
  </r>
  <r>
    <s v="ford country"/>
    <n v="12"/>
    <n v="167"/>
    <n v="12.5"/>
    <x v="3"/>
    <x v="0"/>
  </r>
  <r>
    <s v="ford gran torino"/>
    <n v="14"/>
    <n v="137"/>
    <n v="14.5"/>
    <x v="3"/>
    <x v="0"/>
  </r>
  <r>
    <s v="chevrolet caprice classic"/>
    <n v="13"/>
    <n v="150"/>
    <n v="12"/>
    <x v="3"/>
    <x v="0"/>
  </r>
  <r>
    <s v="chevrolet impala"/>
    <n v="11"/>
    <n v="150"/>
    <n v="14"/>
    <x v="3"/>
    <x v="0"/>
  </r>
  <r>
    <s v="dodge colt"/>
    <n v="28"/>
    <n v="75"/>
    <n v="14.5"/>
    <x v="4"/>
    <x v="1"/>
  </r>
  <r>
    <s v="ford pinto"/>
    <n v="26"/>
    <n v="80"/>
    <n v="16.5"/>
    <x v="4"/>
    <x v="1"/>
  </r>
  <r>
    <s v="chevrolet vega"/>
    <n v="25"/>
    <n v="75"/>
    <n v="17"/>
    <x v="4"/>
    <x v="1"/>
  </r>
  <r>
    <s v="amc hornet"/>
    <n v="19"/>
    <n v="100"/>
    <n v="16"/>
    <x v="4"/>
    <x v="1"/>
  </r>
  <r>
    <s v="plymouth duster"/>
    <n v="20"/>
    <n v="95"/>
    <n v="16.5"/>
    <x v="4"/>
    <x v="1"/>
  </r>
  <r>
    <s v="amc matador"/>
    <n v="16"/>
    <n v="110"/>
    <n v="18"/>
    <x v="4"/>
    <x v="0"/>
  </r>
  <r>
    <s v="chevrolet nova"/>
    <n v="15"/>
    <n v="100"/>
    <n v="17"/>
    <x v="4"/>
    <x v="0"/>
  </r>
  <r>
    <s v="plymouth satellite sebring"/>
    <n v="18"/>
    <n v="105"/>
    <n v="16.5"/>
    <x v="4"/>
    <x v="0"/>
  </r>
  <r>
    <s v="chevrolet chevelle malibu classic"/>
    <n v="16"/>
    <n v="100"/>
    <n v="17"/>
    <x v="4"/>
    <x v="0"/>
  </r>
  <r>
    <s v="ford maverick"/>
    <n v="21"/>
    <m/>
    <n v="17"/>
    <x v="4"/>
    <x v="0"/>
  </r>
  <r>
    <s v="amc matador (sw)"/>
    <n v="14"/>
    <n v="150"/>
    <n v="15.5"/>
    <x v="4"/>
    <x v="0"/>
  </r>
  <r>
    <s v="ford gran torino"/>
    <n v="16"/>
    <n v="140"/>
    <n v="14"/>
    <x v="4"/>
    <x v="0"/>
  </r>
  <r>
    <s v="dodge coronet custom (sw)"/>
    <n v="14"/>
    <n v="150"/>
    <n v="13.5"/>
    <x v="4"/>
    <x v="0"/>
  </r>
  <r>
    <s v="buick century luxus (sw)"/>
    <n v="13"/>
    <n v="150"/>
    <n v="14.5"/>
    <x v="4"/>
    <x v="0"/>
  </r>
  <r>
    <s v="ford gran torino (sw)"/>
    <n v="14"/>
    <n v="140"/>
    <n v="16"/>
    <x v="4"/>
    <x v="0"/>
  </r>
  <r>
    <s v="ford pinto"/>
    <n v="23"/>
    <n v="83"/>
    <n v="17"/>
    <x v="5"/>
    <x v="1"/>
  </r>
  <r>
    <s v="pontiac astro"/>
    <n v="23"/>
    <n v="78"/>
    <n v="18.5"/>
    <x v="5"/>
    <x v="1"/>
  </r>
  <r>
    <s v="buick skyhawk"/>
    <n v="21"/>
    <n v="110"/>
    <n v="15"/>
    <x v="5"/>
    <x v="0"/>
  </r>
  <r>
    <s v="amc gremlin"/>
    <n v="20"/>
    <n v="100"/>
    <n v="16"/>
    <x v="5"/>
    <x v="1"/>
  </r>
  <r>
    <s v="ford pinto"/>
    <n v="18"/>
    <n v="97"/>
    <n v="14.5"/>
    <x v="5"/>
    <x v="1"/>
  </r>
  <r>
    <s v="chevrolet nova"/>
    <n v="18"/>
    <n v="105"/>
    <n v="16"/>
    <x v="5"/>
    <x v="0"/>
  </r>
  <r>
    <s v="amc matador"/>
    <n v="15"/>
    <n v="110"/>
    <n v="19"/>
    <x v="5"/>
    <x v="0"/>
  </r>
  <r>
    <s v="plymouth valiant custom"/>
    <n v="19"/>
    <n v="95"/>
    <n v="16"/>
    <x v="5"/>
    <x v="1"/>
  </r>
  <r>
    <s v="buick century"/>
    <n v="17"/>
    <n v="110"/>
    <n v="21"/>
    <x v="5"/>
    <x v="0"/>
  </r>
  <r>
    <s v="amc pacer"/>
    <n v="19"/>
    <n v="90"/>
    <n v="17"/>
    <x v="5"/>
    <x v="1"/>
  </r>
  <r>
    <s v="chevroelt chevelle malibu"/>
    <n v="16"/>
    <n v="105"/>
    <n v="18.5"/>
    <x v="5"/>
    <x v="0"/>
  </r>
  <r>
    <s v="plymouth fury"/>
    <n v="18"/>
    <n v="95"/>
    <n v="19"/>
    <x v="5"/>
    <x v="1"/>
  </r>
  <r>
    <s v="ford maverick"/>
    <n v="15"/>
    <n v="72"/>
    <n v="19.5"/>
    <x v="5"/>
    <x v="0"/>
  </r>
  <r>
    <s v="mercury monarch"/>
    <n v="15"/>
    <n v="72"/>
    <n v="21"/>
    <x v="5"/>
    <x v="0"/>
  </r>
  <r>
    <s v="ford mustang ii"/>
    <n v="13"/>
    <n v="129"/>
    <n v="12"/>
    <x v="5"/>
    <x v="0"/>
  </r>
  <r>
    <s v="pontiac catalina"/>
    <n v="16"/>
    <n v="170"/>
    <n v="11.5"/>
    <x v="5"/>
    <x v="0"/>
  </r>
  <r>
    <s v="chevrolet monza 2+2"/>
    <n v="20"/>
    <n v="110"/>
    <n v="13.5"/>
    <x v="5"/>
    <x v="0"/>
  </r>
  <r>
    <s v="plymouth grand fury"/>
    <n v="16"/>
    <n v="150"/>
    <n v="14.5"/>
    <x v="5"/>
    <x v="0"/>
  </r>
  <r>
    <s v="chevrolet bel air"/>
    <n v="15"/>
    <n v="145"/>
    <n v="14"/>
    <x v="5"/>
    <x v="0"/>
  </r>
  <r>
    <s v="ford ltd"/>
    <n v="14"/>
    <n v="148"/>
    <n v="13.5"/>
    <x v="5"/>
    <x v="0"/>
  </r>
  <r>
    <s v="capri ii"/>
    <n v="25"/>
    <n v="92"/>
    <n v="14.9"/>
    <x v="6"/>
    <x v="1"/>
  </r>
  <r>
    <s v="dodge colt"/>
    <n v="26"/>
    <n v="79"/>
    <n v="17.7"/>
    <x v="6"/>
    <x v="1"/>
  </r>
  <r>
    <s v="ford pinto"/>
    <n v="26.5"/>
    <n v="72"/>
    <n v="13.6"/>
    <x v="6"/>
    <x v="1"/>
  </r>
  <r>
    <s v="chevrolet woody"/>
    <n v="24.5"/>
    <n v="60"/>
    <n v="22.1"/>
    <x v="6"/>
    <x v="0"/>
  </r>
  <r>
    <s v="chevrolet chevette"/>
    <n v="29"/>
    <n v="52"/>
    <n v="22.2"/>
    <x v="6"/>
    <x v="0"/>
  </r>
  <r>
    <s v="chevrolet nova"/>
    <n v="22"/>
    <n v="105"/>
    <n v="14.5"/>
    <x v="6"/>
    <x v="0"/>
  </r>
  <r>
    <s v="plymouth valiant"/>
    <n v="22"/>
    <n v="100"/>
    <n v="15.4"/>
    <x v="6"/>
    <x v="1"/>
  </r>
  <r>
    <s v="pontiac ventura sj"/>
    <n v="18.5"/>
    <n v="110"/>
    <n v="16.2"/>
    <x v="6"/>
    <x v="0"/>
  </r>
  <r>
    <s v="amc pacer d/l"/>
    <n v="17.5"/>
    <n v="95"/>
    <n v="17.8"/>
    <x v="6"/>
    <x v="1"/>
  </r>
  <r>
    <s v="amc hornet"/>
    <n v="22.5"/>
    <n v="90"/>
    <n v="17.600000000000001"/>
    <x v="6"/>
    <x v="1"/>
  </r>
  <r>
    <s v="dodge aspen se"/>
    <n v="20"/>
    <n v="100"/>
    <n v="17.7"/>
    <x v="6"/>
    <x v="1"/>
  </r>
  <r>
    <s v="ford maverick"/>
    <n v="24"/>
    <n v="81"/>
    <n v="17.600000000000001"/>
    <x v="6"/>
    <x v="1"/>
  </r>
  <r>
    <s v="ford granada ghia"/>
    <n v="18"/>
    <n v="78"/>
    <n v="21"/>
    <x v="6"/>
    <x v="0"/>
  </r>
  <r>
    <s v="cadillac seville"/>
    <n v="16.5"/>
    <n v="180"/>
    <n v="12.1"/>
    <x v="6"/>
    <x v="0"/>
  </r>
  <r>
    <s v="dodge d100"/>
    <n v="13"/>
    <n v="150"/>
    <n v="14"/>
    <x v="6"/>
    <x v="0"/>
  </r>
  <r>
    <s v="plymouth volare premier v8"/>
    <n v="13"/>
    <n v="150"/>
    <n v="13.2"/>
    <x v="6"/>
    <x v="0"/>
  </r>
  <r>
    <s v="ford gran torino"/>
    <n v="14.5"/>
    <n v="152"/>
    <n v="12.8"/>
    <x v="6"/>
    <x v="0"/>
  </r>
  <r>
    <s v="chevy c10"/>
    <n v="13"/>
    <n v="145"/>
    <n v="12"/>
    <x v="6"/>
    <x v="0"/>
  </r>
  <r>
    <s v="dodge coronet brougham"/>
    <n v="16"/>
    <n v="150"/>
    <n v="13"/>
    <x v="6"/>
    <x v="0"/>
  </r>
  <r>
    <s v="ford f108"/>
    <n v="13"/>
    <n v="130"/>
    <n v="15"/>
    <x v="6"/>
    <x v="0"/>
  </r>
  <r>
    <s v="chevrolet chevelle malibu classic"/>
    <n v="17.5"/>
    <n v="140"/>
    <n v="13"/>
    <x v="6"/>
    <x v="0"/>
  </r>
  <r>
    <s v="amc matador"/>
    <n v="15.5"/>
    <n v="120"/>
    <n v="13.9"/>
    <x v="6"/>
    <x v="0"/>
  </r>
  <r>
    <s v="plymouth arrow gs"/>
    <n v="25.5"/>
    <n v="96"/>
    <n v="15.5"/>
    <x v="7"/>
    <x v="1"/>
  </r>
  <r>
    <s v="dodge colt m/m"/>
    <n v="33.5"/>
    <n v="83"/>
    <n v="15.9"/>
    <x v="7"/>
    <x v="0"/>
  </r>
  <r>
    <s v="buick opel isuzu deluxe"/>
    <n v="30"/>
    <n v="80"/>
    <n v="14.8"/>
    <x v="7"/>
    <x v="1"/>
  </r>
  <r>
    <s v="ford mustang ii 2+2"/>
    <n v="25.5"/>
    <n v="89"/>
    <n v="15.8"/>
    <x v="7"/>
    <x v="1"/>
  </r>
  <r>
    <s v="pontiac sunbird coupe"/>
    <n v="24.5"/>
    <n v="88"/>
    <n v="16"/>
    <x v="7"/>
    <x v="1"/>
  </r>
  <r>
    <s v="chevrolet chevette"/>
    <n v="30.5"/>
    <n v="63"/>
    <n v="17"/>
    <x v="7"/>
    <x v="1"/>
  </r>
  <r>
    <s v="chevrolet concours"/>
    <n v="17.5"/>
    <n v="110"/>
    <n v="16.399999999999999"/>
    <x v="7"/>
    <x v="0"/>
  </r>
  <r>
    <s v="buick skylark"/>
    <n v="20.5"/>
    <n v="105"/>
    <n v="16.899999999999999"/>
    <x v="7"/>
    <x v="0"/>
  </r>
  <r>
    <s v="ford granada"/>
    <n v="18.5"/>
    <n v="98"/>
    <n v="19"/>
    <x v="7"/>
    <x v="1"/>
  </r>
  <r>
    <s v="plymouth volare custom"/>
    <n v="19"/>
    <n v="100"/>
    <n v="17.7"/>
    <x v="7"/>
    <x v="1"/>
  </r>
  <r>
    <s v="chrysler cordoba"/>
    <n v="15.5"/>
    <n v="190"/>
    <n v="12.2"/>
    <x v="7"/>
    <x v="0"/>
  </r>
  <r>
    <s v="pontiac grand prix lj"/>
    <n v="16"/>
    <n v="180"/>
    <n v="11.1"/>
    <x v="7"/>
    <x v="0"/>
  </r>
  <r>
    <s v="chevrolet monte carlo landau"/>
    <n v="15.5"/>
    <n v="170"/>
    <n v="11.4"/>
    <x v="7"/>
    <x v="0"/>
  </r>
  <r>
    <s v="chevrolet caprice classic"/>
    <n v="17.5"/>
    <n v="145"/>
    <n v="12.5"/>
    <x v="7"/>
    <x v="0"/>
  </r>
  <r>
    <s v="dodge monaco brougham"/>
    <n v="15.5"/>
    <n v="145"/>
    <n v="13.7"/>
    <x v="7"/>
    <x v="0"/>
  </r>
  <r>
    <s v="ford thunderbird"/>
    <n v="16"/>
    <n v="149"/>
    <n v="14.5"/>
    <x v="7"/>
    <x v="0"/>
  </r>
  <r>
    <s v="mercury cougar brougham"/>
    <n v="15"/>
    <n v="130"/>
    <n v="14.9"/>
    <x v="7"/>
    <x v="0"/>
  </r>
  <r>
    <s v="oldsmobile cutlass supreme"/>
    <n v="17"/>
    <n v="110"/>
    <n v="19"/>
    <x v="7"/>
    <x v="0"/>
  </r>
  <r>
    <s v="plymouth sapporo"/>
    <n v="23.2"/>
    <n v="105"/>
    <n v="16.7"/>
    <x v="8"/>
    <x v="0"/>
  </r>
  <r>
    <s v="ford fiesta"/>
    <n v="36.1"/>
    <n v="66"/>
    <n v="14.4"/>
    <x v="8"/>
    <x v="0"/>
  </r>
  <r>
    <s v="dodge omni"/>
    <n v="30.9"/>
    <n v="75"/>
    <n v="14.5"/>
    <x v="8"/>
    <x v="1"/>
  </r>
  <r>
    <s v="ford fairmont (man)"/>
    <n v="25.1"/>
    <n v="88"/>
    <n v="15.4"/>
    <x v="8"/>
    <x v="1"/>
  </r>
  <r>
    <s v="chevrolet chevette"/>
    <n v="30"/>
    <n v="68"/>
    <n v="16.5"/>
    <x v="8"/>
    <x v="1"/>
  </r>
  <r>
    <s v="oldsmobile starfire sx"/>
    <n v="23.8"/>
    <n v="85"/>
    <n v="17.600000000000001"/>
    <x v="8"/>
    <x v="1"/>
  </r>
  <r>
    <s v="buick regal sport coupe (turbo)"/>
    <n v="17.7"/>
    <n v="165"/>
    <n v="13.4"/>
    <x v="8"/>
    <x v="0"/>
  </r>
  <r>
    <s v="amc concord d/l"/>
    <n v="18.100000000000001"/>
    <n v="120"/>
    <n v="15.1"/>
    <x v="8"/>
    <x v="0"/>
  </r>
  <r>
    <s v="buick century special"/>
    <n v="20.6"/>
    <n v="105"/>
    <n v="15.8"/>
    <x v="8"/>
    <x v="0"/>
  </r>
  <r>
    <s v="dodge aspen"/>
    <n v="18.600000000000001"/>
    <n v="110"/>
    <n v="18.7"/>
    <x v="8"/>
    <x v="0"/>
  </r>
  <r>
    <s v="chevrolet malibu"/>
    <n v="20.5"/>
    <n v="95"/>
    <n v="18.2"/>
    <x v="8"/>
    <x v="1"/>
  </r>
  <r>
    <s v="pontiac phoenix lj"/>
    <n v="19.2"/>
    <n v="105"/>
    <n v="19.2"/>
    <x v="8"/>
    <x v="0"/>
  </r>
  <r>
    <s v="plymouth volare"/>
    <n v="20.5"/>
    <n v="100"/>
    <n v="17.2"/>
    <x v="8"/>
    <x v="1"/>
  </r>
  <r>
    <s v="ford fairmont (auto)"/>
    <n v="20.2"/>
    <n v="85"/>
    <n v="15.8"/>
    <x v="8"/>
    <x v="1"/>
  </r>
  <r>
    <s v="amc concord"/>
    <n v="19.399999999999999"/>
    <n v="90"/>
    <n v="17.2"/>
    <x v="8"/>
    <x v="1"/>
  </r>
  <r>
    <s v="mercury zephyr"/>
    <n v="20.8"/>
    <n v="85"/>
    <n v="16.7"/>
    <x v="8"/>
    <x v="1"/>
  </r>
  <r>
    <s v="ford futura"/>
    <n v="18.100000000000001"/>
    <n v="139"/>
    <n v="11.2"/>
    <x v="8"/>
    <x v="0"/>
  </r>
  <r>
    <s v="chevrolet monte carlo landau"/>
    <n v="19.2"/>
    <n v="145"/>
    <n v="13.2"/>
    <x v="8"/>
    <x v="0"/>
  </r>
  <r>
    <s v="mercury monarch ghia"/>
    <n v="20.2"/>
    <n v="139"/>
    <n v="12.8"/>
    <x v="8"/>
    <x v="0"/>
  </r>
  <r>
    <s v="dodge diplomat"/>
    <n v="19.399999999999999"/>
    <n v="140"/>
    <n v="13.2"/>
    <x v="8"/>
    <x v="0"/>
  </r>
  <r>
    <s v="dodge magnum xe"/>
    <n v="17.5"/>
    <n v="140"/>
    <n v="13.7"/>
    <x v="8"/>
    <x v="0"/>
  </r>
  <r>
    <s v="oldsmobile cutlass salon brougham"/>
    <n v="19.899999999999999"/>
    <n v="110"/>
    <n v="15.5"/>
    <x v="8"/>
    <x v="0"/>
  </r>
  <r>
    <s v="dodge colt hatchback custom"/>
    <n v="35.700000000000003"/>
    <n v="80"/>
    <n v="14.4"/>
    <x v="9"/>
    <x v="0"/>
  </r>
  <r>
    <s v="pontiac phoenix"/>
    <n v="33.5"/>
    <n v="90"/>
    <n v="13.2"/>
    <x v="9"/>
    <x v="0"/>
  </r>
  <r>
    <s v="buick skylark limited"/>
    <n v="28.4"/>
    <n v="90"/>
    <n v="16"/>
    <x v="9"/>
    <x v="1"/>
  </r>
  <r>
    <s v="plymouth horizon tc3"/>
    <n v="34.5"/>
    <n v="70"/>
    <n v="14.9"/>
    <x v="9"/>
    <x v="0"/>
  </r>
  <r>
    <s v="plymouth horizon"/>
    <n v="34.200000000000003"/>
    <n v="70"/>
    <n v="13.2"/>
    <x v="9"/>
    <x v="0"/>
  </r>
  <r>
    <s v="ford fairmont 4"/>
    <n v="22.3"/>
    <n v="88"/>
    <n v="17.3"/>
    <x v="9"/>
    <x v="1"/>
  </r>
  <r>
    <s v="amc spirit dl"/>
    <n v="27.4"/>
    <n v="80"/>
    <n v="15"/>
    <x v="9"/>
    <x v="1"/>
  </r>
  <r>
    <s v="chevrolet citation"/>
    <n v="28.8"/>
    <n v="115"/>
    <n v="11.3"/>
    <x v="9"/>
    <x v="0"/>
  </r>
  <r>
    <s v="oldsmobile omega brougham"/>
    <n v="26.8"/>
    <n v="115"/>
    <n v="12.9"/>
    <x v="9"/>
    <x v="0"/>
  </r>
  <r>
    <s v="pontiac lemans v6"/>
    <n v="21.5"/>
    <n v="115"/>
    <n v="15.4"/>
    <x v="9"/>
    <x v="0"/>
  </r>
  <r>
    <s v="dodge aspen 6"/>
    <n v="20.6"/>
    <n v="110"/>
    <n v="16.600000000000001"/>
    <x v="9"/>
    <x v="0"/>
  </r>
  <r>
    <s v="mercury zephyr 6"/>
    <n v="19.8"/>
    <n v="85"/>
    <n v="18.2"/>
    <x v="9"/>
    <x v="1"/>
  </r>
  <r>
    <s v="amc concord dl 6"/>
    <n v="20.2"/>
    <n v="90"/>
    <n v="18.2"/>
    <x v="9"/>
    <x v="1"/>
  </r>
  <r>
    <s v="chrysler lebaron town @ country (sw)"/>
    <n v="18.5"/>
    <n v="150"/>
    <n v="13"/>
    <x v="9"/>
    <x v="0"/>
  </r>
  <r>
    <s v="buick estate wagon (sw)"/>
    <n v="16.899999999999999"/>
    <n v="155"/>
    <n v="14.9"/>
    <x v="9"/>
    <x v="0"/>
  </r>
  <r>
    <s v="dodge st. regis"/>
    <n v="18.2"/>
    <n v="135"/>
    <n v="15.2"/>
    <x v="9"/>
    <x v="0"/>
  </r>
  <r>
    <s v="ford country squire (sw)"/>
    <n v="15.5"/>
    <n v="142"/>
    <n v="14.3"/>
    <x v="9"/>
    <x v="0"/>
  </r>
  <r>
    <s v="mercury grand marquis"/>
    <n v="16.5"/>
    <n v="138"/>
    <n v="13.2"/>
    <x v="9"/>
    <x v="0"/>
  </r>
  <r>
    <s v="chevrolet malibu classic (sw)"/>
    <n v="19.2"/>
    <n v="125"/>
    <n v="15"/>
    <x v="9"/>
    <x v="0"/>
  </r>
  <r>
    <s v="ford ltd landau"/>
    <n v="17.600000000000001"/>
    <n v="129"/>
    <n v="13.4"/>
    <x v="9"/>
    <x v="0"/>
  </r>
  <r>
    <s v="chevrolet caprice classic"/>
    <n v="17"/>
    <n v="130"/>
    <n v="15.4"/>
    <x v="9"/>
    <x v="0"/>
  </r>
  <r>
    <s v="cadillac eldorado"/>
    <n v="23"/>
    <n v="125"/>
    <n v="17.399999999999999"/>
    <x v="9"/>
    <x v="0"/>
  </r>
  <r>
    <s v="oldsmobile cutlass salon brougham"/>
    <n v="23.9"/>
    <n v="90"/>
    <n v="22.2"/>
    <x v="9"/>
    <x v="0"/>
  </r>
  <r>
    <s v="dodge colt"/>
    <n v="27.9"/>
    <n v="105"/>
    <n v="14.4"/>
    <x v="10"/>
    <x v="0"/>
  </r>
  <r>
    <s v="chevrolet citation"/>
    <n v="28"/>
    <n v="90"/>
    <n v="16.5"/>
    <x v="10"/>
    <x v="1"/>
  </r>
  <r>
    <s v="chevrolet chevette"/>
    <n v="32.1"/>
    <n v="70"/>
    <n v="15.5"/>
    <x v="10"/>
    <x v="1"/>
  </r>
  <r>
    <s v="ford fairmont"/>
    <n v="26.4"/>
    <n v="88"/>
    <n v="18.100000000000001"/>
    <x v="10"/>
    <x v="1"/>
  </r>
  <r>
    <s v="amc concord"/>
    <n v="24.3"/>
    <n v="90"/>
    <n v="20.100000000000001"/>
    <x v="10"/>
    <x v="0"/>
  </r>
  <r>
    <s v="ford mustang cobra"/>
    <n v="23.6"/>
    <m/>
    <n v="14.3"/>
    <x v="10"/>
    <x v="0"/>
  </r>
  <r>
    <s v="dodge aspen"/>
    <n v="19.100000000000001"/>
    <n v="90"/>
    <n v="18.7"/>
    <x v="10"/>
    <x v="1"/>
  </r>
  <r>
    <s v="plymouth reliant"/>
    <n v="30"/>
    <n v="84"/>
    <n v="12.9"/>
    <x v="11"/>
    <x v="0"/>
  </r>
  <r>
    <s v="dodge aries wagon (sw)"/>
    <n v="25.8"/>
    <n v="92"/>
    <n v="14.4"/>
    <x v="11"/>
    <x v="1"/>
  </r>
  <r>
    <s v="plymouth champ"/>
    <n v="39"/>
    <n v="64"/>
    <n v="16.399999999999999"/>
    <x v="11"/>
    <x v="0"/>
  </r>
  <r>
    <s v="plymouth reliant"/>
    <n v="27.2"/>
    <n v="84"/>
    <n v="15.7"/>
    <x v="11"/>
    <x v="1"/>
  </r>
  <r>
    <s v="buick skylark"/>
    <n v="26.6"/>
    <n v="84"/>
    <n v="16.399999999999999"/>
    <x v="11"/>
    <x v="1"/>
  </r>
  <r>
    <s v="ford escort 4w"/>
    <n v="34.4"/>
    <n v="65"/>
    <n v="16.2"/>
    <x v="11"/>
    <x v="0"/>
  </r>
  <r>
    <s v="plymouth horizon 4"/>
    <n v="34.700000000000003"/>
    <n v="63"/>
    <n v="14.9"/>
    <x v="11"/>
    <x v="0"/>
  </r>
  <r>
    <s v="ford escort 2h"/>
    <n v="29.9"/>
    <n v="65"/>
    <n v="20.7"/>
    <x v="11"/>
    <x v="0"/>
  </r>
  <r>
    <s v="chevrolet citation"/>
    <n v="23.5"/>
    <n v="110"/>
    <n v="12.6"/>
    <x v="11"/>
    <x v="0"/>
  </r>
  <r>
    <s v="buick century"/>
    <n v="22.4"/>
    <n v="110"/>
    <n v="15.8"/>
    <x v="11"/>
    <x v="0"/>
  </r>
  <r>
    <s v="ford granada gl"/>
    <n v="20.2"/>
    <n v="88"/>
    <n v="17.100000000000001"/>
    <x v="11"/>
    <x v="1"/>
  </r>
  <r>
    <s v="chrysler lebaron salon"/>
    <n v="17.600000000000001"/>
    <n v="85"/>
    <n v="16.600000000000001"/>
    <x v="11"/>
    <x v="1"/>
  </r>
  <r>
    <s v="oldsmobile cutlass ls"/>
    <n v="26.6"/>
    <n v="105"/>
    <n v="19"/>
    <x v="11"/>
    <x v="0"/>
  </r>
  <r>
    <s v="chevrolet cavalier 2-door"/>
    <n v="34"/>
    <n v="88"/>
    <n v="18"/>
    <x v="12"/>
    <x v="0"/>
  </r>
  <r>
    <s v="dodge rampage"/>
    <n v="32"/>
    <n v="84"/>
    <n v="11.6"/>
    <x v="12"/>
    <x v="0"/>
  </r>
  <r>
    <s v="chrysler lebaron medallion"/>
    <n v="26"/>
    <n v="92"/>
    <n v="14.5"/>
    <x v="12"/>
    <x v="1"/>
  </r>
  <r>
    <s v="dodge charger 2.2"/>
    <n v="36"/>
    <n v="84"/>
    <n v="13"/>
    <x v="12"/>
    <x v="0"/>
  </r>
  <r>
    <s v="chevrolet cavalier"/>
    <n v="28"/>
    <n v="88"/>
    <n v="19.600000000000001"/>
    <x v="12"/>
    <x v="0"/>
  </r>
  <r>
    <s v="chevrolet cavalier wagon"/>
    <n v="27"/>
    <n v="88"/>
    <n v="18.600000000000001"/>
    <x v="12"/>
    <x v="1"/>
  </r>
  <r>
    <s v="dodge aries se"/>
    <n v="29"/>
    <n v="84"/>
    <n v="16"/>
    <x v="12"/>
    <x v="1"/>
  </r>
  <r>
    <s v="pontiac j2000 se hatchback"/>
    <n v="31"/>
    <n v="85"/>
    <n v="16.2"/>
    <x v="12"/>
    <x v="1"/>
  </r>
  <r>
    <s v="mercury lynx l"/>
    <n v="36"/>
    <n v="70"/>
    <n v="17.3"/>
    <x v="12"/>
    <x v="0"/>
  </r>
  <r>
    <s v="pontiac phoenix"/>
    <n v="27"/>
    <n v="90"/>
    <n v="18"/>
    <x v="12"/>
    <x v="1"/>
  </r>
  <r>
    <s v="ford fairmont futura"/>
    <n v="24"/>
    <n v="92"/>
    <n v="16.399999999999999"/>
    <x v="12"/>
    <x v="1"/>
  </r>
  <r>
    <s v="ford mustang gl"/>
    <n v="27"/>
    <n v="86"/>
    <n v="15.6"/>
    <x v="12"/>
    <x v="1"/>
  </r>
  <r>
    <s v="chevrolet camaro"/>
    <n v="27"/>
    <n v="90"/>
    <n v="17.3"/>
    <x v="12"/>
    <x v="1"/>
  </r>
  <r>
    <s v="chevy s-10"/>
    <n v="31"/>
    <n v="82"/>
    <n v="19.399999999999999"/>
    <x v="12"/>
    <x v="0"/>
  </r>
  <r>
    <s v="ford ranger"/>
    <n v="28"/>
    <n v="79"/>
    <n v="18.600000000000001"/>
    <x v="12"/>
    <x v="1"/>
  </r>
  <r>
    <s v="plymouth horizon miser"/>
    <n v="38"/>
    <n v="63"/>
    <n v="14.7"/>
    <x v="12"/>
    <x v="0"/>
  </r>
  <r>
    <s v="amc concord dl"/>
    <n v="23"/>
    <m/>
    <n v="20.5"/>
    <x v="12"/>
    <x v="0"/>
  </r>
  <r>
    <s v="ford granada l"/>
    <n v="22"/>
    <n v="112"/>
    <n v="14.7"/>
    <x v="12"/>
    <x v="0"/>
  </r>
  <r>
    <s v="buick century limited"/>
    <n v="25"/>
    <n v="110"/>
    <n v="16.399999999999999"/>
    <x v="12"/>
    <x v="0"/>
  </r>
  <r>
    <s v="oldsmobile cutlass ciera (diesel)"/>
    <n v="38"/>
    <n v="85"/>
    <n v="17"/>
    <x v="12"/>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8">
  <r>
    <x v="0"/>
    <x v="0"/>
    <x v="0"/>
    <n v="121"/>
    <n v="113"/>
    <x v="0"/>
    <x v="0"/>
    <n v="12.5"/>
    <x v="0"/>
    <x v="0"/>
  </r>
  <r>
    <x v="1"/>
    <x v="1"/>
    <x v="0"/>
    <n v="104"/>
    <n v="95"/>
    <x v="1"/>
    <x v="1"/>
    <n v="17.5"/>
    <x v="0"/>
    <x v="0"/>
  </r>
  <r>
    <x v="2"/>
    <x v="2"/>
    <x v="0"/>
    <n v="107"/>
    <n v="90"/>
    <x v="2"/>
    <x v="2"/>
    <n v="14.5"/>
    <x v="0"/>
    <x v="0"/>
  </r>
  <r>
    <x v="3"/>
    <x v="1"/>
    <x v="0"/>
    <n v="110"/>
    <n v="87"/>
    <x v="3"/>
    <x v="3"/>
    <n v="17.5"/>
    <x v="0"/>
    <x v="0"/>
  </r>
  <r>
    <x v="4"/>
    <x v="0"/>
    <x v="0"/>
    <n v="97"/>
    <n v="46"/>
    <x v="4"/>
    <x v="4"/>
    <n v="20.5"/>
    <x v="0"/>
    <x v="0"/>
  </r>
  <r>
    <x v="5"/>
    <x v="3"/>
    <x v="0"/>
    <n v="116"/>
    <n v="90"/>
    <x v="5"/>
    <x v="5"/>
    <n v="14"/>
    <x v="1"/>
    <x v="0"/>
  </r>
  <r>
    <x v="6"/>
    <x v="4"/>
    <x v="0"/>
    <n v="88"/>
    <n v="76"/>
    <x v="6"/>
    <x v="6"/>
    <n v="14.5"/>
    <x v="1"/>
    <x v="0"/>
  </r>
  <r>
    <x v="7"/>
    <x v="4"/>
    <x v="0"/>
    <n v="79"/>
    <n v="70"/>
    <x v="7"/>
    <x v="7"/>
    <n v="19.5"/>
    <x v="1"/>
    <x v="0"/>
  </r>
  <r>
    <x v="8"/>
    <x v="5"/>
    <x v="0"/>
    <n v="97"/>
    <n v="60"/>
    <x v="8"/>
    <x v="8"/>
    <n v="19"/>
    <x v="1"/>
    <x v="0"/>
  </r>
  <r>
    <x v="9"/>
    <x v="6"/>
    <x v="0"/>
    <n v="121"/>
    <n v="112"/>
    <x v="9"/>
    <x v="9"/>
    <n v="14.5"/>
    <x v="2"/>
    <x v="0"/>
  </r>
  <r>
    <x v="10"/>
    <x v="0"/>
    <x v="0"/>
    <n v="96"/>
    <n v="69"/>
    <x v="10"/>
    <x v="10"/>
    <n v="18"/>
    <x v="2"/>
    <x v="0"/>
  </r>
  <r>
    <x v="11"/>
    <x v="7"/>
    <x v="0"/>
    <n v="121"/>
    <n v="76"/>
    <x v="11"/>
    <x v="11"/>
    <n v="18"/>
    <x v="2"/>
    <x v="0"/>
  </r>
  <r>
    <x v="12"/>
    <x v="8"/>
    <x v="0"/>
    <n v="120"/>
    <n v="87"/>
    <x v="12"/>
    <x v="12"/>
    <n v="19.5"/>
    <x v="2"/>
    <x v="0"/>
  </r>
  <r>
    <x v="13"/>
    <x v="9"/>
    <x v="0"/>
    <n v="97"/>
    <n v="54"/>
    <x v="13"/>
    <x v="13"/>
    <n v="23.5"/>
    <x v="2"/>
    <x v="0"/>
  </r>
  <r>
    <x v="14"/>
    <x v="2"/>
    <x v="0"/>
    <n v="121"/>
    <n v="110"/>
    <x v="14"/>
    <x v="14"/>
    <n v="14"/>
    <x v="3"/>
    <x v="0"/>
  </r>
  <r>
    <x v="15"/>
    <x v="0"/>
    <x v="0"/>
    <n v="98"/>
    <n v="90"/>
    <x v="15"/>
    <x v="15"/>
    <n v="15.5"/>
    <x v="3"/>
    <x v="0"/>
  </r>
  <r>
    <x v="16"/>
    <x v="10"/>
    <x v="0"/>
    <n v="121"/>
    <n v="112"/>
    <x v="16"/>
    <x v="16"/>
    <n v="15.5"/>
    <x v="3"/>
    <x v="0"/>
  </r>
  <r>
    <x v="17"/>
    <x v="11"/>
    <x v="0"/>
    <n v="114"/>
    <n v="91"/>
    <x v="17"/>
    <x v="17"/>
    <n v="14"/>
    <x v="3"/>
    <x v="0"/>
  </r>
  <r>
    <x v="18"/>
    <x v="2"/>
    <x v="0"/>
    <n v="116"/>
    <n v="75"/>
    <x v="18"/>
    <x v="18"/>
    <n v="15.5"/>
    <x v="3"/>
    <x v="0"/>
  </r>
  <r>
    <x v="19"/>
    <x v="12"/>
    <x v="0"/>
    <n v="68"/>
    <n v="49"/>
    <x v="19"/>
    <x v="19"/>
    <n v="19.5"/>
    <x v="3"/>
    <x v="0"/>
  </r>
  <r>
    <x v="20"/>
    <x v="0"/>
    <x v="0"/>
    <n v="97"/>
    <n v="46"/>
    <x v="20"/>
    <x v="20"/>
    <n v="21"/>
    <x v="3"/>
    <x v="0"/>
  </r>
  <r>
    <x v="21"/>
    <x v="12"/>
    <x v="0"/>
    <n v="98"/>
    <n v="83"/>
    <x v="21"/>
    <x v="21"/>
    <n v="16.5"/>
    <x v="4"/>
    <x v="0"/>
  </r>
  <r>
    <x v="19"/>
    <x v="2"/>
    <x v="0"/>
    <n v="90"/>
    <n v="75"/>
    <x v="22"/>
    <x v="22"/>
    <n v="15.5"/>
    <x v="4"/>
    <x v="0"/>
  </r>
  <r>
    <x v="22"/>
    <x v="0"/>
    <x v="0"/>
    <n v="79"/>
    <n v="67"/>
    <x v="23"/>
    <x v="23"/>
    <n v="15.5"/>
    <x v="4"/>
    <x v="0"/>
  </r>
  <r>
    <x v="18"/>
    <x v="0"/>
    <x v="0"/>
    <n v="97"/>
    <n v="78"/>
    <x v="24"/>
    <x v="24"/>
    <n v="14.5"/>
    <x v="4"/>
    <x v="0"/>
  </r>
  <r>
    <x v="23"/>
    <x v="13"/>
    <x v="0"/>
    <n v="79"/>
    <n v="67"/>
    <x v="25"/>
    <x v="25"/>
    <n v="16"/>
    <x v="4"/>
    <x v="0"/>
  </r>
  <r>
    <x v="24"/>
    <x v="0"/>
    <x v="0"/>
    <n v="116"/>
    <n v="75"/>
    <x v="26"/>
    <x v="26"/>
    <n v="14"/>
    <x v="4"/>
    <x v="0"/>
  </r>
  <r>
    <x v="14"/>
    <x v="1"/>
    <x v="0"/>
    <n v="121"/>
    <n v="115"/>
    <x v="27"/>
    <x v="27"/>
    <n v="13.5"/>
    <x v="5"/>
    <x v="0"/>
  </r>
  <r>
    <x v="25"/>
    <x v="12"/>
    <x v="0"/>
    <n v="90"/>
    <n v="70"/>
    <x v="28"/>
    <x v="28"/>
    <n v="14"/>
    <x v="5"/>
    <x v="0"/>
  </r>
  <r>
    <x v="17"/>
    <x v="9"/>
    <x v="0"/>
    <n v="115"/>
    <n v="95"/>
    <x v="29"/>
    <x v="29"/>
    <n v="15"/>
    <x v="5"/>
    <x v="0"/>
  </r>
  <r>
    <x v="26"/>
    <x v="7"/>
    <x v="0"/>
    <n v="121"/>
    <n v="98"/>
    <x v="30"/>
    <x v="30"/>
    <n v="14.5"/>
    <x v="5"/>
    <x v="0"/>
  </r>
  <r>
    <x v="22"/>
    <x v="1"/>
    <x v="0"/>
    <n v="90"/>
    <n v="71"/>
    <x v="31"/>
    <x v="31"/>
    <n v="16.5"/>
    <x v="5"/>
    <x v="0"/>
  </r>
  <r>
    <x v="3"/>
    <x v="9"/>
    <x v="0"/>
    <n v="120"/>
    <n v="88"/>
    <x v="32"/>
    <x v="32"/>
    <n v="17"/>
    <x v="5"/>
    <x v="0"/>
  </r>
  <r>
    <x v="25"/>
    <x v="14"/>
    <x v="0"/>
    <n v="97"/>
    <n v="71"/>
    <x v="33"/>
    <x v="33"/>
    <n v="12.2"/>
    <x v="6"/>
    <x v="0"/>
  </r>
  <r>
    <x v="27"/>
    <x v="5"/>
    <x v="0"/>
    <n v="101"/>
    <n v="83"/>
    <x v="34"/>
    <x v="34"/>
    <n v="15.3"/>
    <x v="6"/>
    <x v="0"/>
  </r>
  <r>
    <x v="5"/>
    <x v="1"/>
    <x v="0"/>
    <n v="116"/>
    <n v="81"/>
    <x v="35"/>
    <x v="35"/>
    <n v="16.899999999999999"/>
    <x v="6"/>
    <x v="0"/>
  </r>
  <r>
    <x v="28"/>
    <x v="12"/>
    <x v="0"/>
    <n v="90"/>
    <n v="70"/>
    <x v="28"/>
    <x v="28"/>
    <n v="14.2"/>
    <x v="6"/>
    <x v="0"/>
  </r>
  <r>
    <x v="29"/>
    <x v="3"/>
    <x v="0"/>
    <n v="107"/>
    <n v="86"/>
    <x v="36"/>
    <x v="36"/>
    <n v="15.5"/>
    <x v="6"/>
    <x v="0"/>
  </r>
  <r>
    <x v="30"/>
    <x v="11"/>
    <x v="0"/>
    <n v="130"/>
    <n v="102"/>
    <x v="37"/>
    <x v="37"/>
    <n v="15.7"/>
    <x v="6"/>
    <x v="0"/>
  </r>
  <r>
    <x v="3"/>
    <x v="10"/>
    <x v="0"/>
    <n v="120"/>
    <n v="88"/>
    <x v="38"/>
    <x v="38"/>
    <n v="21.9"/>
    <x v="6"/>
    <x v="0"/>
  </r>
  <r>
    <x v="31"/>
    <x v="15"/>
    <x v="1"/>
    <n v="168"/>
    <n v="120"/>
    <x v="39"/>
    <x v="39"/>
    <n v="16.7"/>
    <x v="6"/>
    <x v="0"/>
  </r>
  <r>
    <x v="32"/>
    <x v="16"/>
    <x v="0"/>
    <n v="121"/>
    <n v="110"/>
    <x v="40"/>
    <x v="40"/>
    <n v="12.8"/>
    <x v="7"/>
    <x v="0"/>
  </r>
  <r>
    <x v="33"/>
    <x v="12"/>
    <x v="0"/>
    <n v="97"/>
    <n v="78"/>
    <x v="41"/>
    <x v="41"/>
    <n v="14.5"/>
    <x v="7"/>
    <x v="0"/>
  </r>
  <r>
    <x v="22"/>
    <x v="17"/>
    <x v="0"/>
    <n v="97"/>
    <n v="78"/>
    <x v="42"/>
    <x v="42"/>
    <n v="14.1"/>
    <x v="7"/>
    <x v="0"/>
  </r>
  <r>
    <x v="34"/>
    <x v="18"/>
    <x v="0"/>
    <n v="79"/>
    <n v="58"/>
    <x v="33"/>
    <x v="43"/>
    <n v="18.600000000000001"/>
    <x v="7"/>
    <x v="0"/>
  </r>
  <r>
    <x v="35"/>
    <x v="19"/>
    <x v="0"/>
    <n v="121"/>
    <n v="115"/>
    <x v="43"/>
    <x v="44"/>
    <n v="15.7"/>
    <x v="8"/>
    <x v="0"/>
  </r>
  <r>
    <x v="36"/>
    <x v="20"/>
    <x v="0"/>
    <n v="89"/>
    <n v="71"/>
    <x v="44"/>
    <x v="45"/>
    <n v="14.9"/>
    <x v="8"/>
    <x v="0"/>
  </r>
  <r>
    <x v="37"/>
    <x v="21"/>
    <x v="0"/>
    <n v="90"/>
    <n v="48"/>
    <x v="45"/>
    <x v="46"/>
    <n v="21.5"/>
    <x v="8"/>
    <x v="0"/>
  </r>
  <r>
    <x v="38"/>
    <x v="22"/>
    <x v="2"/>
    <n v="131"/>
    <n v="103"/>
    <x v="46"/>
    <x v="47"/>
    <n v="15.9"/>
    <x v="8"/>
    <x v="0"/>
  </r>
  <r>
    <x v="39"/>
    <x v="23"/>
    <x v="1"/>
    <n v="163"/>
    <n v="125"/>
    <x v="47"/>
    <x v="48"/>
    <n v="13.6"/>
    <x v="8"/>
    <x v="0"/>
  </r>
  <r>
    <x v="40"/>
    <x v="24"/>
    <x v="1"/>
    <n v="163"/>
    <n v="133"/>
    <x v="48"/>
    <x v="49"/>
    <n v="15.8"/>
    <x v="8"/>
    <x v="0"/>
  </r>
  <r>
    <x v="41"/>
    <x v="25"/>
    <x v="0"/>
    <n v="89"/>
    <n v="71"/>
    <x v="49"/>
    <x v="50"/>
    <n v="14"/>
    <x v="9"/>
    <x v="0"/>
  </r>
  <r>
    <x v="42"/>
    <x v="26"/>
    <x v="0"/>
    <n v="91"/>
    <n v="69"/>
    <x v="50"/>
    <x v="51"/>
    <n v="14.7"/>
    <x v="9"/>
    <x v="0"/>
  </r>
  <r>
    <x v="3"/>
    <x v="27"/>
    <x v="0"/>
    <n v="141"/>
    <n v="71"/>
    <x v="51"/>
    <x v="52"/>
    <n v="24.8"/>
    <x v="9"/>
    <x v="0"/>
  </r>
  <r>
    <x v="43"/>
    <x v="28"/>
    <x v="2"/>
    <n v="183"/>
    <n v="77"/>
    <x v="52"/>
    <x v="53"/>
    <n v="20.100000000000001"/>
    <x v="9"/>
    <x v="0"/>
  </r>
  <r>
    <x v="44"/>
    <x v="29"/>
    <x v="0"/>
    <n v="97"/>
    <n v="78"/>
    <x v="53"/>
    <x v="54"/>
    <n v="15.8"/>
    <x v="10"/>
    <x v="0"/>
  </r>
  <r>
    <x v="28"/>
    <x v="30"/>
    <x v="0"/>
    <n v="98"/>
    <n v="76"/>
    <x v="54"/>
    <x v="55"/>
    <n v="14.7"/>
    <x v="10"/>
    <x v="0"/>
  </r>
  <r>
    <x v="45"/>
    <x v="31"/>
    <x v="0"/>
    <n v="122"/>
    <n v="88"/>
    <x v="55"/>
    <x v="56"/>
    <n v="15.1"/>
    <x v="10"/>
    <x v="0"/>
  </r>
  <r>
    <x v="46"/>
    <x v="32"/>
    <x v="0"/>
    <n v="89"/>
    <n v="62"/>
    <x v="56"/>
    <x v="57"/>
    <n v="15.3"/>
    <x v="10"/>
    <x v="0"/>
  </r>
  <r>
    <x v="47"/>
    <x v="33"/>
    <x v="0"/>
    <n v="90"/>
    <n v="48"/>
    <x v="57"/>
    <x v="58"/>
    <n v="21.7"/>
    <x v="10"/>
    <x v="0"/>
  </r>
  <r>
    <x v="48"/>
    <x v="4"/>
    <x v="0"/>
    <n v="146"/>
    <n v="67"/>
    <x v="58"/>
    <x v="59"/>
    <n v="21.8"/>
    <x v="10"/>
    <x v="0"/>
  </r>
  <r>
    <x v="49"/>
    <x v="34"/>
    <x v="0"/>
    <n v="90"/>
    <n v="48"/>
    <x v="59"/>
    <x v="60"/>
    <n v="23.7"/>
    <x v="10"/>
    <x v="0"/>
  </r>
  <r>
    <x v="50"/>
    <x v="35"/>
    <x v="0"/>
    <n v="85"/>
    <m/>
    <x v="4"/>
    <x v="61"/>
    <n v="17.3"/>
    <x v="10"/>
    <x v="0"/>
  </r>
  <r>
    <x v="51"/>
    <x v="36"/>
    <x v="2"/>
    <n v="121"/>
    <n v="67"/>
    <x v="60"/>
    <x v="62"/>
    <n v="19.899999999999999"/>
    <x v="10"/>
    <x v="0"/>
  </r>
  <r>
    <x v="52"/>
    <x v="37"/>
    <x v="0"/>
    <n v="105"/>
    <n v="74"/>
    <x v="42"/>
    <x v="63"/>
    <n v="14.2"/>
    <x v="11"/>
    <x v="0"/>
  </r>
  <r>
    <x v="53"/>
    <x v="38"/>
    <x v="0"/>
    <n v="141"/>
    <n v="80"/>
    <x v="61"/>
    <x v="64"/>
    <n v="20.399999999999999"/>
    <x v="11"/>
    <x v="0"/>
  </r>
  <r>
    <x v="54"/>
    <x v="39"/>
    <x v="0"/>
    <n v="100"/>
    <m/>
    <x v="62"/>
    <x v="61"/>
    <n v="15.8"/>
    <x v="11"/>
    <x v="0"/>
  </r>
  <r>
    <x v="55"/>
    <x v="40"/>
    <x v="1"/>
    <n v="145"/>
    <n v="76"/>
    <x v="63"/>
    <x v="65"/>
    <n v="19.600000000000001"/>
    <x v="11"/>
    <x v="0"/>
  </r>
  <r>
    <x v="56"/>
    <x v="18"/>
    <x v="0"/>
    <n v="105"/>
    <n v="74"/>
    <x v="64"/>
    <x v="66"/>
    <n v="15.3"/>
    <x v="12"/>
    <x v="0"/>
  </r>
  <r>
    <x v="57"/>
    <x v="41"/>
    <x v="0"/>
    <n v="97"/>
    <n v="52"/>
    <x v="50"/>
    <x v="67"/>
    <n v="24.6"/>
    <x v="12"/>
    <x v="0"/>
  </r>
  <r>
    <x v="58"/>
    <x v="5"/>
    <x v="0"/>
    <n v="97"/>
    <n v="88"/>
    <x v="50"/>
    <x v="68"/>
    <n v="14.5"/>
    <x v="0"/>
    <x v="1"/>
  </r>
  <r>
    <x v="59"/>
    <x v="2"/>
    <x v="0"/>
    <n v="113"/>
    <n v="95"/>
    <x v="65"/>
    <x v="69"/>
    <n v="15"/>
    <x v="0"/>
    <x v="1"/>
  </r>
  <r>
    <x v="60"/>
    <x v="31"/>
    <x v="0"/>
    <n v="72"/>
    <n v="69"/>
    <x v="66"/>
    <x v="70"/>
    <n v="18"/>
    <x v="1"/>
    <x v="1"/>
  </r>
  <r>
    <x v="61"/>
    <x v="1"/>
    <x v="0"/>
    <n v="113"/>
    <n v="95"/>
    <x v="67"/>
    <x v="71"/>
    <n v="14"/>
    <x v="1"/>
    <x v="1"/>
  </r>
  <r>
    <x v="58"/>
    <x v="5"/>
    <x v="0"/>
    <n v="97"/>
    <n v="88"/>
    <x v="50"/>
    <x v="68"/>
    <n v="14.5"/>
    <x v="1"/>
    <x v="1"/>
  </r>
  <r>
    <x v="62"/>
    <x v="13"/>
    <x v="0"/>
    <n v="71"/>
    <n v="65"/>
    <x v="68"/>
    <x v="72"/>
    <n v="19"/>
    <x v="1"/>
    <x v="1"/>
  </r>
  <r>
    <x v="63"/>
    <x v="10"/>
    <x v="3"/>
    <n v="70"/>
    <n v="97"/>
    <x v="69"/>
    <x v="73"/>
    <n v="13.5"/>
    <x v="2"/>
    <x v="1"/>
  </r>
  <r>
    <x v="64"/>
    <x v="5"/>
    <x v="0"/>
    <n v="97"/>
    <n v="88"/>
    <x v="70"/>
    <x v="74"/>
    <n v="16.5"/>
    <x v="2"/>
    <x v="1"/>
  </r>
  <r>
    <x v="65"/>
    <x v="2"/>
    <x v="0"/>
    <n v="113"/>
    <n v="95"/>
    <x v="71"/>
    <x v="75"/>
    <n v="15.5"/>
    <x v="2"/>
    <x v="1"/>
  </r>
  <r>
    <x v="66"/>
    <x v="3"/>
    <x v="0"/>
    <n v="97"/>
    <n v="92"/>
    <x v="72"/>
    <x v="76"/>
    <n v="17"/>
    <x v="2"/>
    <x v="1"/>
  </r>
  <r>
    <x v="67"/>
    <x v="9"/>
    <x v="0"/>
    <n v="120"/>
    <n v="97"/>
    <x v="73"/>
    <x v="77"/>
    <n v="14.5"/>
    <x v="2"/>
    <x v="1"/>
  </r>
  <r>
    <x v="68"/>
    <x v="6"/>
    <x v="3"/>
    <n v="70"/>
    <n v="90"/>
    <x v="74"/>
    <x v="78"/>
    <n v="13.5"/>
    <x v="3"/>
    <x v="1"/>
  </r>
  <r>
    <x v="69"/>
    <x v="7"/>
    <x v="0"/>
    <n v="108"/>
    <n v="94"/>
    <x v="75"/>
    <x v="79"/>
    <n v="16.5"/>
    <x v="3"/>
    <x v="1"/>
  </r>
  <r>
    <x v="70"/>
    <x v="11"/>
    <x v="0"/>
    <n v="97"/>
    <n v="88"/>
    <x v="76"/>
    <x v="80"/>
    <n v="19"/>
    <x v="3"/>
    <x v="1"/>
  </r>
  <r>
    <x v="71"/>
    <x v="11"/>
    <x v="1"/>
    <n v="156"/>
    <n v="122"/>
    <x v="77"/>
    <x v="81"/>
    <n v="13.5"/>
    <x v="3"/>
    <x v="1"/>
  </r>
  <r>
    <x v="72"/>
    <x v="2"/>
    <x v="0"/>
    <n v="120"/>
    <n v="97"/>
    <x v="78"/>
    <x v="82"/>
    <n v="15"/>
    <x v="4"/>
    <x v="1"/>
  </r>
  <r>
    <x v="73"/>
    <x v="0"/>
    <x v="0"/>
    <n v="108"/>
    <n v="93"/>
    <x v="79"/>
    <x v="83"/>
    <n v="15.5"/>
    <x v="4"/>
    <x v="1"/>
  </r>
  <r>
    <x v="62"/>
    <x v="42"/>
    <x v="0"/>
    <n v="71"/>
    <n v="65"/>
    <x v="80"/>
    <x v="84"/>
    <n v="21"/>
    <x v="4"/>
    <x v="1"/>
  </r>
  <r>
    <x v="74"/>
    <x v="13"/>
    <x v="0"/>
    <n v="79"/>
    <n v="67"/>
    <x v="20"/>
    <x v="85"/>
    <n v="19"/>
    <x v="4"/>
    <x v="1"/>
  </r>
  <r>
    <x v="61"/>
    <x v="13"/>
    <x v="0"/>
    <n v="76"/>
    <n v="52"/>
    <x v="81"/>
    <x v="86"/>
    <n v="16.5"/>
    <x v="4"/>
    <x v="1"/>
  </r>
  <r>
    <x v="75"/>
    <x v="42"/>
    <x v="0"/>
    <n v="83"/>
    <n v="61"/>
    <x v="82"/>
    <x v="87"/>
    <n v="19"/>
    <x v="4"/>
    <x v="1"/>
  </r>
  <r>
    <x v="75"/>
    <x v="2"/>
    <x v="0"/>
    <n v="119"/>
    <n v="97"/>
    <x v="83"/>
    <x v="88"/>
    <n v="17"/>
    <x v="5"/>
    <x v="1"/>
  </r>
  <r>
    <x v="61"/>
    <x v="2"/>
    <x v="0"/>
    <n v="134"/>
    <n v="96"/>
    <x v="84"/>
    <x v="89"/>
    <n v="13.5"/>
    <x v="5"/>
    <x v="1"/>
  </r>
  <r>
    <x v="76"/>
    <x v="12"/>
    <x v="0"/>
    <n v="97"/>
    <n v="75"/>
    <x v="85"/>
    <x v="90"/>
    <n v="16"/>
    <x v="5"/>
    <x v="1"/>
  </r>
  <r>
    <x v="77"/>
    <x v="37"/>
    <x v="0"/>
    <n v="91"/>
    <n v="53"/>
    <x v="86"/>
    <x v="91"/>
    <n v="17.5"/>
    <x v="5"/>
    <x v="1"/>
  </r>
  <r>
    <x v="78"/>
    <x v="42"/>
    <x v="0"/>
    <n v="85"/>
    <n v="70"/>
    <x v="44"/>
    <x v="92"/>
    <n v="17"/>
    <x v="6"/>
    <x v="1"/>
  </r>
  <r>
    <x v="76"/>
    <x v="3"/>
    <x v="0"/>
    <n v="97"/>
    <n v="75"/>
    <x v="87"/>
    <x v="93"/>
    <n v="16.399999999999999"/>
    <x v="6"/>
    <x v="1"/>
  </r>
  <r>
    <x v="72"/>
    <x v="37"/>
    <x v="0"/>
    <n v="91"/>
    <n v="53"/>
    <x v="86"/>
    <x v="91"/>
    <n v="17.399999999999999"/>
    <x v="6"/>
    <x v="1"/>
  </r>
  <r>
    <x v="71"/>
    <x v="10"/>
    <x v="1"/>
    <n v="156"/>
    <n v="108"/>
    <x v="88"/>
    <x v="94"/>
    <n v="15.5"/>
    <x v="6"/>
    <x v="1"/>
  </r>
  <r>
    <x v="79"/>
    <x v="16"/>
    <x v="3"/>
    <n v="80"/>
    <n v="110"/>
    <x v="89"/>
    <x v="95"/>
    <n v="13.5"/>
    <x v="7"/>
    <x v="1"/>
  </r>
  <r>
    <x v="80"/>
    <x v="43"/>
    <x v="0"/>
    <n v="85"/>
    <n v="70"/>
    <x v="90"/>
    <x v="96"/>
    <n v="16.8"/>
    <x v="7"/>
    <x v="1"/>
  </r>
  <r>
    <x v="81"/>
    <x v="4"/>
    <x v="0"/>
    <n v="97"/>
    <n v="67"/>
    <x v="45"/>
    <x v="97"/>
    <n v="16.399999999999999"/>
    <x v="7"/>
    <x v="1"/>
  </r>
  <r>
    <x v="82"/>
    <x v="20"/>
    <x v="0"/>
    <n v="98"/>
    <n v="68"/>
    <x v="91"/>
    <x v="98"/>
    <n v="18.5"/>
    <x v="7"/>
    <x v="1"/>
  </r>
  <r>
    <x v="83"/>
    <x v="0"/>
    <x v="0"/>
    <n v="97"/>
    <n v="75"/>
    <x v="15"/>
    <x v="99"/>
    <n v="18.2"/>
    <x v="7"/>
    <x v="1"/>
  </r>
  <r>
    <x v="84"/>
    <x v="7"/>
    <x v="1"/>
    <n v="146"/>
    <n v="97"/>
    <x v="92"/>
    <x v="100"/>
    <n v="14.5"/>
    <x v="7"/>
    <x v="1"/>
  </r>
  <r>
    <x v="85"/>
    <x v="27"/>
    <x v="0"/>
    <n v="119"/>
    <n v="97"/>
    <x v="24"/>
    <x v="101"/>
    <n v="14.7"/>
    <x v="8"/>
    <x v="1"/>
  </r>
  <r>
    <x v="86"/>
    <x v="44"/>
    <x v="0"/>
    <n v="119"/>
    <n v="97"/>
    <x v="93"/>
    <x v="102"/>
    <n v="14.9"/>
    <x v="8"/>
    <x v="1"/>
  </r>
  <r>
    <x v="87"/>
    <x v="45"/>
    <x v="0"/>
    <n v="134"/>
    <n v="95"/>
    <x v="94"/>
    <x v="103"/>
    <n v="14.8"/>
    <x v="8"/>
    <x v="1"/>
  </r>
  <r>
    <x v="61"/>
    <x v="46"/>
    <x v="0"/>
    <n v="134"/>
    <n v="95"/>
    <x v="95"/>
    <x v="104"/>
    <n v="14.2"/>
    <x v="8"/>
    <x v="1"/>
  </r>
  <r>
    <x v="88"/>
    <x v="47"/>
    <x v="0"/>
    <n v="85"/>
    <n v="70"/>
    <x v="96"/>
    <x v="105"/>
    <n v="18.600000000000001"/>
    <x v="8"/>
    <x v="1"/>
  </r>
  <r>
    <x v="77"/>
    <x v="48"/>
    <x v="0"/>
    <n v="91"/>
    <n v="60"/>
    <x v="97"/>
    <x v="106"/>
    <n v="16.399999999999999"/>
    <x v="8"/>
    <x v="1"/>
  </r>
  <r>
    <x v="89"/>
    <x v="14"/>
    <x v="0"/>
    <n v="98"/>
    <n v="68"/>
    <x v="98"/>
    <x v="107"/>
    <n v="16.600000000000001"/>
    <x v="8"/>
    <x v="1"/>
  </r>
  <r>
    <x v="90"/>
    <x v="49"/>
    <x v="0"/>
    <n v="78"/>
    <n v="52"/>
    <x v="45"/>
    <x v="108"/>
    <n v="19.399999999999999"/>
    <x v="8"/>
    <x v="1"/>
  </r>
  <r>
    <x v="91"/>
    <x v="50"/>
    <x v="0"/>
    <n v="86"/>
    <n v="65"/>
    <x v="99"/>
    <x v="109"/>
    <n v="15.2"/>
    <x v="9"/>
    <x v="1"/>
  </r>
  <r>
    <x v="92"/>
    <x v="51"/>
    <x v="0"/>
    <n v="85"/>
    <n v="65"/>
    <x v="100"/>
    <x v="110"/>
    <n v="19.2"/>
    <x v="9"/>
    <x v="1"/>
  </r>
  <r>
    <x v="93"/>
    <x v="52"/>
    <x v="3"/>
    <n v="70"/>
    <n v="100"/>
    <x v="101"/>
    <x v="111"/>
    <n v="12.5"/>
    <x v="10"/>
    <x v="1"/>
  </r>
  <r>
    <x v="94"/>
    <x v="53"/>
    <x v="0"/>
    <n v="119"/>
    <n v="92"/>
    <x v="102"/>
    <x v="112"/>
    <n v="15"/>
    <x v="10"/>
    <x v="1"/>
  </r>
  <r>
    <x v="95"/>
    <x v="54"/>
    <x v="0"/>
    <n v="91"/>
    <n v="67"/>
    <x v="103"/>
    <x v="113"/>
    <n v="13.8"/>
    <x v="10"/>
    <x v="1"/>
  </r>
  <r>
    <x v="96"/>
    <x v="32"/>
    <x v="0"/>
    <n v="134"/>
    <n v="90"/>
    <x v="104"/>
    <x v="114"/>
    <n v="15.5"/>
    <x v="10"/>
    <x v="1"/>
  </r>
  <r>
    <x v="76"/>
    <x v="55"/>
    <x v="0"/>
    <n v="108"/>
    <n v="75"/>
    <x v="15"/>
    <x v="99"/>
    <n v="15.2"/>
    <x v="10"/>
    <x v="1"/>
  </r>
  <r>
    <x v="97"/>
    <x v="56"/>
    <x v="0"/>
    <n v="86"/>
    <n v="65"/>
    <x v="105"/>
    <x v="115"/>
    <n v="16.399999999999999"/>
    <x v="10"/>
    <x v="1"/>
  </r>
  <r>
    <x v="98"/>
    <x v="57"/>
    <x v="0"/>
    <n v="107"/>
    <n v="72"/>
    <x v="106"/>
    <x v="116"/>
    <n v="17"/>
    <x v="10"/>
    <x v="1"/>
  </r>
  <r>
    <x v="81"/>
    <x v="58"/>
    <x v="0"/>
    <n v="97"/>
    <n v="67"/>
    <x v="107"/>
    <x v="117"/>
    <n v="18"/>
    <x v="10"/>
    <x v="1"/>
  </r>
  <r>
    <x v="92"/>
    <x v="59"/>
    <x v="0"/>
    <n v="85"/>
    <n v="65"/>
    <x v="108"/>
    <x v="118"/>
    <n v="19.2"/>
    <x v="10"/>
    <x v="1"/>
  </r>
  <r>
    <x v="99"/>
    <x v="60"/>
    <x v="0"/>
    <n v="86"/>
    <n v="65"/>
    <x v="108"/>
    <x v="118"/>
    <n v="17.899999999999999"/>
    <x v="10"/>
    <x v="1"/>
  </r>
  <r>
    <x v="100"/>
    <x v="61"/>
    <x v="0"/>
    <n v="89"/>
    <n v="60"/>
    <x v="109"/>
    <x v="119"/>
    <n v="18.8"/>
    <x v="10"/>
    <x v="1"/>
  </r>
  <r>
    <x v="101"/>
    <x v="62"/>
    <x v="0"/>
    <n v="120"/>
    <n v="75"/>
    <x v="110"/>
    <x v="120"/>
    <n v="17.5"/>
    <x v="10"/>
    <x v="1"/>
  </r>
  <r>
    <x v="102"/>
    <x v="63"/>
    <x v="1"/>
    <n v="168"/>
    <n v="132"/>
    <x v="111"/>
    <x v="121"/>
    <n v="11.4"/>
    <x v="10"/>
    <x v="1"/>
  </r>
  <r>
    <x v="103"/>
    <x v="64"/>
    <x v="0"/>
    <n v="119"/>
    <n v="100"/>
    <x v="112"/>
    <x v="122"/>
    <n v="14.8"/>
    <x v="11"/>
    <x v="1"/>
  </r>
  <r>
    <x v="104"/>
    <x v="50"/>
    <x v="0"/>
    <n v="91"/>
    <n v="68"/>
    <x v="45"/>
    <x v="123"/>
    <n v="16"/>
    <x v="11"/>
    <x v="1"/>
  </r>
  <r>
    <x v="105"/>
    <x v="65"/>
    <x v="0"/>
    <n v="81"/>
    <n v="60"/>
    <x v="113"/>
    <x v="124"/>
    <n v="16.100000000000001"/>
    <x v="11"/>
    <x v="1"/>
  </r>
  <r>
    <x v="106"/>
    <x v="66"/>
    <x v="0"/>
    <n v="107"/>
    <n v="75"/>
    <x v="114"/>
    <x v="125"/>
    <n v="14.4"/>
    <x v="11"/>
    <x v="1"/>
  </r>
  <r>
    <x v="107"/>
    <x v="67"/>
    <x v="0"/>
    <n v="79"/>
    <n v="58"/>
    <x v="115"/>
    <x v="126"/>
    <n v="16.899999999999999"/>
    <x v="11"/>
    <x v="1"/>
  </r>
  <r>
    <x v="108"/>
    <x v="53"/>
    <x v="0"/>
    <n v="85"/>
    <n v="65"/>
    <x v="99"/>
    <x v="109"/>
    <n v="19.399999999999999"/>
    <x v="11"/>
    <x v="1"/>
  </r>
  <r>
    <x v="73"/>
    <x v="68"/>
    <x v="0"/>
    <n v="97"/>
    <n v="67"/>
    <x v="6"/>
    <x v="127"/>
    <n v="17.8"/>
    <x v="11"/>
    <x v="1"/>
  </r>
  <r>
    <x v="76"/>
    <x v="57"/>
    <x v="0"/>
    <n v="108"/>
    <n v="75"/>
    <x v="116"/>
    <x v="128"/>
    <n v="16.8"/>
    <x v="11"/>
    <x v="1"/>
  </r>
  <r>
    <x v="109"/>
    <x v="69"/>
    <x v="0"/>
    <n v="89"/>
    <n v="62"/>
    <x v="117"/>
    <x v="129"/>
    <n v="17.3"/>
    <x v="11"/>
    <x v="1"/>
  </r>
  <r>
    <x v="101"/>
    <x v="70"/>
    <x v="0"/>
    <n v="120"/>
    <n v="74"/>
    <x v="118"/>
    <x v="130"/>
    <n v="18.3"/>
    <x v="11"/>
    <x v="1"/>
  </r>
  <r>
    <x v="110"/>
    <x v="71"/>
    <x v="1"/>
    <n v="146"/>
    <n v="120"/>
    <x v="88"/>
    <x v="131"/>
    <n v="13.8"/>
    <x v="11"/>
    <x v="1"/>
  </r>
  <r>
    <x v="111"/>
    <x v="28"/>
    <x v="1"/>
    <n v="168"/>
    <n v="116"/>
    <x v="119"/>
    <x v="1"/>
    <n v="12.6"/>
    <x v="11"/>
    <x v="1"/>
  </r>
  <r>
    <x v="112"/>
    <x v="18"/>
    <x v="0"/>
    <n v="120"/>
    <n v="88"/>
    <x v="120"/>
    <x v="132"/>
    <n v="14.5"/>
    <x v="12"/>
    <x v="1"/>
  </r>
  <r>
    <x v="113"/>
    <x v="42"/>
    <x v="0"/>
    <n v="144"/>
    <n v="96"/>
    <x v="121"/>
    <x v="133"/>
    <n v="13.9"/>
    <x v="12"/>
    <x v="1"/>
  </r>
  <r>
    <x v="114"/>
    <x v="13"/>
    <x v="0"/>
    <n v="91"/>
    <n v="68"/>
    <x v="122"/>
    <x v="134"/>
    <n v="17.600000000000001"/>
    <x v="12"/>
    <x v="1"/>
  </r>
  <r>
    <x v="72"/>
    <x v="72"/>
    <x v="0"/>
    <n v="91"/>
    <n v="67"/>
    <x v="123"/>
    <x v="135"/>
    <n v="15"/>
    <x v="12"/>
    <x v="1"/>
  </r>
  <r>
    <x v="115"/>
    <x v="42"/>
    <x v="0"/>
    <n v="91"/>
    <n v="67"/>
    <x v="123"/>
    <x v="135"/>
    <n v="15.7"/>
    <x v="12"/>
    <x v="1"/>
  </r>
  <r>
    <x v="98"/>
    <x v="18"/>
    <x v="0"/>
    <n v="107"/>
    <n v="75"/>
    <x v="124"/>
    <x v="136"/>
    <n v="14.5"/>
    <x v="12"/>
    <x v="1"/>
  </r>
  <r>
    <x v="116"/>
    <x v="72"/>
    <x v="0"/>
    <n v="91"/>
    <n v="67"/>
    <x v="125"/>
    <x v="137"/>
    <n v="16.2"/>
    <x v="12"/>
    <x v="1"/>
  </r>
  <r>
    <x v="117"/>
    <x v="53"/>
    <x v="0"/>
    <n v="91"/>
    <n v="68"/>
    <x v="126"/>
    <x v="138"/>
    <n v="18.2"/>
    <x v="12"/>
    <x v="1"/>
  </r>
  <r>
    <x v="76"/>
    <x v="73"/>
    <x v="0"/>
    <n v="108"/>
    <n v="70"/>
    <x v="127"/>
    <x v="139"/>
    <n v="16.899999999999999"/>
    <x v="12"/>
    <x v="1"/>
  </r>
  <r>
    <x v="118"/>
    <x v="6"/>
    <x v="1"/>
    <n v="199"/>
    <n v="97"/>
    <x v="128"/>
    <x v="140"/>
    <n v="15.5"/>
    <x v="0"/>
    <x v="2"/>
  </r>
  <r>
    <x v="119"/>
    <x v="8"/>
    <x v="1"/>
    <n v="199"/>
    <n v="90"/>
    <x v="129"/>
    <x v="141"/>
    <n v="15"/>
    <x v="0"/>
    <x v="2"/>
  </r>
  <r>
    <x v="120"/>
    <x v="7"/>
    <x v="1"/>
    <n v="198"/>
    <n v="95"/>
    <x v="130"/>
    <x v="142"/>
    <n v="15.5"/>
    <x v="0"/>
    <x v="2"/>
  </r>
  <r>
    <x v="121"/>
    <x v="8"/>
    <x v="1"/>
    <n v="200"/>
    <n v="85"/>
    <x v="131"/>
    <x v="143"/>
    <n v="16"/>
    <x v="0"/>
    <x v="2"/>
  </r>
  <r>
    <x v="122"/>
    <x v="74"/>
    <x v="4"/>
    <n v="455"/>
    <n v="225"/>
    <x v="132"/>
    <x v="144"/>
    <n v="10"/>
    <x v="0"/>
    <x v="2"/>
  </r>
  <r>
    <x v="123"/>
    <x v="74"/>
    <x v="4"/>
    <n v="455"/>
    <n v="225"/>
    <x v="133"/>
    <x v="145"/>
    <n v="10"/>
    <x v="0"/>
    <x v="2"/>
  </r>
  <r>
    <x v="124"/>
    <x v="74"/>
    <x v="4"/>
    <n v="454"/>
    <n v="220"/>
    <x v="134"/>
    <x v="146"/>
    <n v="9"/>
    <x v="0"/>
    <x v="2"/>
  </r>
  <r>
    <x v="125"/>
    <x v="74"/>
    <x v="4"/>
    <n v="440"/>
    <n v="215"/>
    <x v="135"/>
    <x v="147"/>
    <n v="8.5"/>
    <x v="0"/>
    <x v="2"/>
  </r>
  <r>
    <x v="126"/>
    <x v="75"/>
    <x v="4"/>
    <n v="390"/>
    <n v="190"/>
    <x v="136"/>
    <x v="148"/>
    <n v="8.5"/>
    <x v="0"/>
    <x v="2"/>
  </r>
  <r>
    <x v="127"/>
    <x v="76"/>
    <x v="4"/>
    <n v="318"/>
    <n v="210"/>
    <x v="137"/>
    <x v="149"/>
    <n v="13.5"/>
    <x v="0"/>
    <x v="2"/>
  </r>
  <r>
    <x v="128"/>
    <x v="75"/>
    <x v="4"/>
    <n v="383"/>
    <n v="170"/>
    <x v="138"/>
    <x v="150"/>
    <n v="10"/>
    <x v="0"/>
    <x v="2"/>
  </r>
  <r>
    <x v="129"/>
    <x v="77"/>
    <x v="4"/>
    <n v="360"/>
    <n v="215"/>
    <x v="139"/>
    <x v="151"/>
    <n v="14"/>
    <x v="0"/>
    <x v="2"/>
  </r>
  <r>
    <x v="130"/>
    <x v="77"/>
    <x v="4"/>
    <n v="307"/>
    <n v="200"/>
    <x v="140"/>
    <x v="152"/>
    <n v="15"/>
    <x v="0"/>
    <x v="2"/>
  </r>
  <r>
    <x v="131"/>
    <x v="75"/>
    <x v="4"/>
    <n v="429"/>
    <n v="198"/>
    <x v="141"/>
    <x v="153"/>
    <n v="10"/>
    <x v="0"/>
    <x v="2"/>
  </r>
  <r>
    <x v="132"/>
    <x v="75"/>
    <x v="4"/>
    <n v="350"/>
    <n v="165"/>
    <x v="142"/>
    <x v="154"/>
    <n v="11.5"/>
    <x v="0"/>
    <x v="2"/>
  </r>
  <r>
    <x v="133"/>
    <x v="74"/>
    <x v="4"/>
    <n v="340"/>
    <n v="160"/>
    <x v="143"/>
    <x v="155"/>
    <n v="8"/>
    <x v="0"/>
    <x v="2"/>
  </r>
  <r>
    <x v="134"/>
    <x v="78"/>
    <x v="4"/>
    <n v="304"/>
    <n v="150"/>
    <x v="144"/>
    <x v="156"/>
    <n v="12"/>
    <x v="0"/>
    <x v="2"/>
  </r>
  <r>
    <x v="135"/>
    <x v="6"/>
    <x v="4"/>
    <n v="318"/>
    <n v="150"/>
    <x v="145"/>
    <x v="157"/>
    <n v="11"/>
    <x v="0"/>
    <x v="2"/>
  </r>
  <r>
    <x v="136"/>
    <x v="79"/>
    <x v="4"/>
    <n v="304"/>
    <n v="193"/>
    <x v="146"/>
    <x v="158"/>
    <n v="18.5"/>
    <x v="0"/>
    <x v="2"/>
  </r>
  <r>
    <x v="137"/>
    <x v="23"/>
    <x v="4"/>
    <n v="302"/>
    <n v="140"/>
    <x v="147"/>
    <x v="159"/>
    <n v="10.5"/>
    <x v="0"/>
    <x v="2"/>
  </r>
  <r>
    <x v="138"/>
    <x v="75"/>
    <x v="4"/>
    <n v="400"/>
    <n v="150"/>
    <x v="148"/>
    <x v="160"/>
    <n v="9.5"/>
    <x v="0"/>
    <x v="2"/>
  </r>
  <r>
    <x v="139"/>
    <x v="6"/>
    <x v="4"/>
    <n v="307"/>
    <n v="130"/>
    <x v="149"/>
    <x v="161"/>
    <n v="12"/>
    <x v="0"/>
    <x v="2"/>
  </r>
  <r>
    <x v="140"/>
    <x v="3"/>
    <x v="0"/>
    <n v="140"/>
    <n v="90"/>
    <x v="150"/>
    <x v="162"/>
    <n v="15.5"/>
    <x v="1"/>
    <x v="2"/>
  </r>
  <r>
    <x v="141"/>
    <x v="9"/>
    <x v="0"/>
    <n v="122"/>
    <n v="86"/>
    <x v="35"/>
    <x v="163"/>
    <n v="14"/>
    <x v="1"/>
    <x v="2"/>
  </r>
  <r>
    <x v="142"/>
    <x v="0"/>
    <x v="0"/>
    <n v="91"/>
    <n v="70"/>
    <x v="151"/>
    <x v="164"/>
    <n v="20.5"/>
    <x v="1"/>
    <x v="2"/>
  </r>
  <r>
    <x v="143"/>
    <x v="7"/>
    <x v="0"/>
    <n v="140"/>
    <n v="72"/>
    <x v="152"/>
    <x v="165"/>
    <n v="19"/>
    <x v="1"/>
    <x v="2"/>
  </r>
  <r>
    <x v="144"/>
    <x v="1"/>
    <x v="0"/>
    <n v="98"/>
    <m/>
    <x v="153"/>
    <x v="61"/>
    <n v="19"/>
    <x v="1"/>
    <x v="2"/>
  </r>
  <r>
    <x v="119"/>
    <x v="10"/>
    <x v="1"/>
    <n v="232"/>
    <n v="100"/>
    <x v="154"/>
    <x v="166"/>
    <n v="13"/>
    <x v="1"/>
    <x v="2"/>
  </r>
  <r>
    <x v="145"/>
    <x v="6"/>
    <x v="1"/>
    <n v="258"/>
    <n v="110"/>
    <x v="155"/>
    <x v="167"/>
    <n v="13.5"/>
    <x v="1"/>
    <x v="2"/>
  </r>
  <r>
    <x v="146"/>
    <x v="78"/>
    <x v="1"/>
    <n v="225"/>
    <n v="105"/>
    <x v="156"/>
    <x v="168"/>
    <n v="15.5"/>
    <x v="1"/>
    <x v="2"/>
  </r>
  <r>
    <x v="147"/>
    <x v="10"/>
    <x v="1"/>
    <n v="250"/>
    <n v="100"/>
    <x v="157"/>
    <x v="169"/>
    <n v="15"/>
    <x v="1"/>
    <x v="2"/>
  </r>
  <r>
    <x v="148"/>
    <x v="6"/>
    <x v="1"/>
    <n v="232"/>
    <n v="100"/>
    <x v="158"/>
    <x v="170"/>
    <n v="15.5"/>
    <x v="1"/>
    <x v="2"/>
  </r>
  <r>
    <x v="139"/>
    <x v="23"/>
    <x v="1"/>
    <n v="250"/>
    <n v="100"/>
    <x v="159"/>
    <x v="171"/>
    <n v="15.5"/>
    <x v="1"/>
    <x v="2"/>
  </r>
  <r>
    <x v="149"/>
    <x v="6"/>
    <x v="1"/>
    <n v="250"/>
    <n v="88"/>
    <x v="160"/>
    <x v="172"/>
    <n v="14.5"/>
    <x v="1"/>
    <x v="2"/>
  </r>
  <r>
    <x v="150"/>
    <x v="10"/>
    <x v="1"/>
    <n v="250"/>
    <n v="88"/>
    <x v="161"/>
    <x v="173"/>
    <n v="15.5"/>
    <x v="1"/>
    <x v="2"/>
  </r>
  <r>
    <x v="124"/>
    <x v="74"/>
    <x v="4"/>
    <n v="350"/>
    <n v="165"/>
    <x v="162"/>
    <x v="174"/>
    <n v="12"/>
    <x v="1"/>
    <x v="2"/>
  </r>
  <r>
    <x v="151"/>
    <x v="74"/>
    <x v="4"/>
    <n v="400"/>
    <n v="175"/>
    <x v="163"/>
    <x v="175"/>
    <n v="11.5"/>
    <x v="1"/>
    <x v="2"/>
  </r>
  <r>
    <x v="131"/>
    <x v="74"/>
    <x v="4"/>
    <n v="351"/>
    <n v="153"/>
    <x v="164"/>
    <x v="176"/>
    <n v="13.5"/>
    <x v="1"/>
    <x v="2"/>
  </r>
  <r>
    <x v="125"/>
    <x v="74"/>
    <x v="4"/>
    <n v="318"/>
    <n v="150"/>
    <x v="165"/>
    <x v="177"/>
    <n v="13"/>
    <x v="1"/>
    <x v="2"/>
  </r>
  <r>
    <x v="152"/>
    <x v="80"/>
    <x v="4"/>
    <n v="383"/>
    <n v="180"/>
    <x v="166"/>
    <x v="178"/>
    <n v="11.5"/>
    <x v="1"/>
    <x v="2"/>
  </r>
  <r>
    <x v="153"/>
    <x v="81"/>
    <x v="4"/>
    <n v="400"/>
    <n v="170"/>
    <x v="167"/>
    <x v="179"/>
    <n v="12"/>
    <x v="1"/>
    <x v="2"/>
  </r>
  <r>
    <x v="154"/>
    <x v="81"/>
    <x v="4"/>
    <n v="400"/>
    <n v="175"/>
    <x v="168"/>
    <x v="180"/>
    <n v="12"/>
    <x v="1"/>
    <x v="2"/>
  </r>
  <r>
    <x v="155"/>
    <x v="8"/>
    <x v="0"/>
    <n v="122"/>
    <n v="86"/>
    <x v="169"/>
    <x v="181"/>
    <n v="16.5"/>
    <x v="2"/>
    <x v="2"/>
  </r>
  <r>
    <x v="156"/>
    <x v="1"/>
    <x v="0"/>
    <n v="97.5"/>
    <n v="80"/>
    <x v="170"/>
    <x v="182"/>
    <n v="17"/>
    <x v="2"/>
    <x v="2"/>
  </r>
  <r>
    <x v="157"/>
    <x v="11"/>
    <x v="0"/>
    <n v="140"/>
    <n v="90"/>
    <x v="152"/>
    <x v="183"/>
    <n v="19.5"/>
    <x v="2"/>
    <x v="2"/>
  </r>
  <r>
    <x v="158"/>
    <x v="3"/>
    <x v="0"/>
    <n v="98"/>
    <n v="80"/>
    <x v="171"/>
    <x v="184"/>
    <n v="15"/>
    <x v="2"/>
    <x v="2"/>
  </r>
  <r>
    <x v="159"/>
    <x v="7"/>
    <x v="0"/>
    <n v="122"/>
    <n v="86"/>
    <x v="172"/>
    <x v="185"/>
    <n v="16"/>
    <x v="2"/>
    <x v="2"/>
  </r>
  <r>
    <x v="160"/>
    <x v="76"/>
    <x v="4"/>
    <n v="429"/>
    <n v="208"/>
    <x v="173"/>
    <x v="186"/>
    <n v="11"/>
    <x v="2"/>
    <x v="2"/>
  </r>
  <r>
    <x v="161"/>
    <x v="81"/>
    <x v="4"/>
    <n v="400"/>
    <n v="190"/>
    <x v="174"/>
    <x v="187"/>
    <n v="12.5"/>
    <x v="2"/>
    <x v="2"/>
  </r>
  <r>
    <x v="162"/>
    <x v="23"/>
    <x v="4"/>
    <n v="304"/>
    <n v="150"/>
    <x v="175"/>
    <x v="188"/>
    <n v="11.5"/>
    <x v="2"/>
    <x v="2"/>
  </r>
  <r>
    <x v="123"/>
    <x v="74"/>
    <x v="4"/>
    <n v="400"/>
    <n v="175"/>
    <x v="176"/>
    <x v="189"/>
    <n v="12"/>
    <x v="2"/>
    <x v="2"/>
  </r>
  <r>
    <x v="124"/>
    <x v="81"/>
    <x v="4"/>
    <n v="350"/>
    <n v="165"/>
    <x v="177"/>
    <x v="190"/>
    <n v="12"/>
    <x v="2"/>
    <x v="2"/>
  </r>
  <r>
    <x v="163"/>
    <x v="75"/>
    <x v="4"/>
    <n v="304"/>
    <n v="150"/>
    <x v="178"/>
    <x v="191"/>
    <n v="12.5"/>
    <x v="2"/>
    <x v="2"/>
  </r>
  <r>
    <x v="131"/>
    <x v="74"/>
    <x v="4"/>
    <n v="351"/>
    <n v="153"/>
    <x v="179"/>
    <x v="192"/>
    <n v="13"/>
    <x v="2"/>
    <x v="2"/>
  </r>
  <r>
    <x v="164"/>
    <x v="74"/>
    <x v="4"/>
    <n v="318"/>
    <n v="150"/>
    <x v="180"/>
    <x v="193"/>
    <n v="14"/>
    <x v="2"/>
    <x v="2"/>
  </r>
  <r>
    <x v="125"/>
    <x v="75"/>
    <x v="4"/>
    <n v="318"/>
    <n v="150"/>
    <x v="181"/>
    <x v="194"/>
    <n v="13.5"/>
    <x v="2"/>
    <x v="2"/>
  </r>
  <r>
    <x v="165"/>
    <x v="80"/>
    <x v="4"/>
    <n v="350"/>
    <n v="160"/>
    <x v="182"/>
    <x v="195"/>
    <n v="13.5"/>
    <x v="2"/>
    <x v="2"/>
  </r>
  <r>
    <x v="166"/>
    <x v="81"/>
    <x v="4"/>
    <n v="350"/>
    <n v="155"/>
    <x v="183"/>
    <x v="196"/>
    <n v="13.5"/>
    <x v="2"/>
    <x v="2"/>
  </r>
  <r>
    <x v="167"/>
    <x v="81"/>
    <x v="4"/>
    <n v="302"/>
    <n v="140"/>
    <x v="184"/>
    <x v="197"/>
    <n v="16"/>
    <x v="2"/>
    <x v="2"/>
  </r>
  <r>
    <x v="168"/>
    <x v="81"/>
    <x v="4"/>
    <n v="307"/>
    <n v="130"/>
    <x v="185"/>
    <x v="198"/>
    <n v="14"/>
    <x v="2"/>
    <x v="2"/>
  </r>
  <r>
    <x v="144"/>
    <x v="10"/>
    <x v="0"/>
    <n v="122"/>
    <n v="85"/>
    <x v="186"/>
    <x v="199"/>
    <n v="18.5"/>
    <x v="3"/>
    <x v="2"/>
  </r>
  <r>
    <x v="157"/>
    <x v="8"/>
    <x v="0"/>
    <n v="140"/>
    <n v="72"/>
    <x v="187"/>
    <x v="200"/>
    <n v="19.5"/>
    <x v="3"/>
    <x v="2"/>
  </r>
  <r>
    <x v="169"/>
    <x v="8"/>
    <x v="1"/>
    <n v="155"/>
    <n v="107"/>
    <x v="188"/>
    <x v="201"/>
    <n v="14"/>
    <x v="3"/>
    <x v="2"/>
  </r>
  <r>
    <x v="119"/>
    <x v="6"/>
    <x v="1"/>
    <n v="232"/>
    <n v="100"/>
    <x v="189"/>
    <x v="202"/>
    <n v="15"/>
    <x v="3"/>
    <x v="2"/>
  </r>
  <r>
    <x v="118"/>
    <x v="6"/>
    <x v="1"/>
    <n v="232"/>
    <n v="100"/>
    <x v="30"/>
    <x v="203"/>
    <n v="16"/>
    <x v="3"/>
    <x v="2"/>
  </r>
  <r>
    <x v="170"/>
    <x v="6"/>
    <x v="1"/>
    <n v="225"/>
    <n v="105"/>
    <x v="190"/>
    <x v="204"/>
    <n v="16.5"/>
    <x v="3"/>
    <x v="2"/>
  </r>
  <r>
    <x v="120"/>
    <x v="9"/>
    <x v="1"/>
    <n v="198"/>
    <n v="95"/>
    <x v="191"/>
    <x v="205"/>
    <n v="16"/>
    <x v="3"/>
    <x v="2"/>
  </r>
  <r>
    <x v="171"/>
    <x v="78"/>
    <x v="1"/>
    <n v="250"/>
    <n v="100"/>
    <x v="192"/>
    <x v="206"/>
    <n v="18"/>
    <x v="3"/>
    <x v="2"/>
  </r>
  <r>
    <x v="121"/>
    <x v="6"/>
    <x v="1"/>
    <n v="250"/>
    <n v="88"/>
    <x v="193"/>
    <x v="207"/>
    <n v="16.5"/>
    <x v="3"/>
    <x v="2"/>
  </r>
  <r>
    <x v="172"/>
    <x v="78"/>
    <x v="4"/>
    <n v="400"/>
    <n v="230"/>
    <x v="194"/>
    <x v="208"/>
    <n v="9.5"/>
    <x v="3"/>
    <x v="2"/>
  </r>
  <r>
    <x v="173"/>
    <x v="76"/>
    <x v="4"/>
    <n v="350"/>
    <n v="180"/>
    <x v="195"/>
    <x v="209"/>
    <n v="11"/>
    <x v="3"/>
    <x v="2"/>
  </r>
  <r>
    <x v="174"/>
    <x v="81"/>
    <x v="4"/>
    <n v="360"/>
    <n v="175"/>
    <x v="196"/>
    <x v="210"/>
    <n v="11"/>
    <x v="3"/>
    <x v="2"/>
  </r>
  <r>
    <x v="175"/>
    <x v="80"/>
    <x v="4"/>
    <n v="455"/>
    <n v="225"/>
    <x v="197"/>
    <x v="211"/>
    <n v="11"/>
    <x v="3"/>
    <x v="2"/>
  </r>
  <r>
    <x v="176"/>
    <x v="81"/>
    <x v="4"/>
    <n v="440"/>
    <n v="215"/>
    <x v="198"/>
    <x v="212"/>
    <n v="11"/>
    <x v="3"/>
    <x v="2"/>
  </r>
  <r>
    <x v="177"/>
    <x v="75"/>
    <x v="4"/>
    <n v="318"/>
    <n v="150"/>
    <x v="199"/>
    <x v="213"/>
    <n v="11"/>
    <x v="3"/>
    <x v="2"/>
  </r>
  <r>
    <x v="178"/>
    <x v="81"/>
    <x v="4"/>
    <n v="350"/>
    <n v="175"/>
    <x v="200"/>
    <x v="214"/>
    <n v="13"/>
    <x v="3"/>
    <x v="2"/>
  </r>
  <r>
    <x v="148"/>
    <x v="74"/>
    <x v="4"/>
    <n v="304"/>
    <n v="150"/>
    <x v="175"/>
    <x v="188"/>
    <n v="11.5"/>
    <x v="3"/>
    <x v="2"/>
  </r>
  <r>
    <x v="179"/>
    <x v="80"/>
    <x v="4"/>
    <n v="429"/>
    <n v="198"/>
    <x v="201"/>
    <x v="215"/>
    <n v="11.5"/>
    <x v="3"/>
    <x v="2"/>
  </r>
  <r>
    <x v="180"/>
    <x v="80"/>
    <x v="4"/>
    <n v="350"/>
    <n v="180"/>
    <x v="202"/>
    <x v="216"/>
    <n v="12.5"/>
    <x v="3"/>
    <x v="2"/>
  </r>
  <r>
    <x v="181"/>
    <x v="75"/>
    <x v="4"/>
    <n v="318"/>
    <n v="150"/>
    <x v="203"/>
    <x v="217"/>
    <n v="12.5"/>
    <x v="3"/>
    <x v="2"/>
  </r>
  <r>
    <x v="182"/>
    <x v="81"/>
    <x v="4"/>
    <n v="360"/>
    <n v="170"/>
    <x v="204"/>
    <x v="218"/>
    <n v="13"/>
    <x v="3"/>
    <x v="2"/>
  </r>
  <r>
    <x v="183"/>
    <x v="81"/>
    <x v="4"/>
    <n v="350"/>
    <n v="145"/>
    <x v="205"/>
    <x v="219"/>
    <n v="13"/>
    <x v="3"/>
    <x v="2"/>
  </r>
  <r>
    <x v="184"/>
    <x v="81"/>
    <x v="4"/>
    <n v="351"/>
    <n v="158"/>
    <x v="206"/>
    <x v="220"/>
    <n v="13"/>
    <x v="3"/>
    <x v="2"/>
  </r>
  <r>
    <x v="185"/>
    <x v="75"/>
    <x v="4"/>
    <n v="350"/>
    <n v="145"/>
    <x v="207"/>
    <x v="221"/>
    <n v="13"/>
    <x v="3"/>
    <x v="2"/>
  </r>
  <r>
    <x v="186"/>
    <x v="74"/>
    <x v="4"/>
    <n v="318"/>
    <n v="150"/>
    <x v="208"/>
    <x v="222"/>
    <n v="14.5"/>
    <x v="3"/>
    <x v="2"/>
  </r>
  <r>
    <x v="187"/>
    <x v="80"/>
    <x v="4"/>
    <n v="400"/>
    <n v="167"/>
    <x v="209"/>
    <x v="223"/>
    <n v="12.5"/>
    <x v="3"/>
    <x v="2"/>
  </r>
  <r>
    <x v="188"/>
    <x v="74"/>
    <x v="4"/>
    <n v="302"/>
    <n v="137"/>
    <x v="210"/>
    <x v="224"/>
    <n v="14.5"/>
    <x v="3"/>
    <x v="2"/>
  </r>
  <r>
    <x v="189"/>
    <x v="81"/>
    <x v="4"/>
    <n v="400"/>
    <n v="150"/>
    <x v="163"/>
    <x v="225"/>
    <n v="12"/>
    <x v="3"/>
    <x v="2"/>
  </r>
  <r>
    <x v="124"/>
    <x v="76"/>
    <x v="4"/>
    <n v="400"/>
    <n v="150"/>
    <x v="211"/>
    <x v="226"/>
    <n v="14"/>
    <x v="3"/>
    <x v="2"/>
  </r>
  <r>
    <x v="190"/>
    <x v="3"/>
    <x v="0"/>
    <n v="90"/>
    <n v="75"/>
    <x v="212"/>
    <x v="227"/>
    <n v="14.5"/>
    <x v="4"/>
    <x v="2"/>
  </r>
  <r>
    <x v="144"/>
    <x v="0"/>
    <x v="0"/>
    <n v="122"/>
    <n v="80"/>
    <x v="213"/>
    <x v="228"/>
    <n v="16.5"/>
    <x v="4"/>
    <x v="2"/>
  </r>
  <r>
    <x v="157"/>
    <x v="1"/>
    <x v="0"/>
    <n v="140"/>
    <n v="75"/>
    <x v="110"/>
    <x v="120"/>
    <n v="17"/>
    <x v="4"/>
    <x v="2"/>
  </r>
  <r>
    <x v="118"/>
    <x v="10"/>
    <x v="1"/>
    <n v="232"/>
    <n v="100"/>
    <x v="214"/>
    <x v="229"/>
    <n v="16"/>
    <x v="4"/>
    <x v="2"/>
  </r>
  <r>
    <x v="120"/>
    <x v="11"/>
    <x v="1"/>
    <n v="198"/>
    <n v="95"/>
    <x v="215"/>
    <x v="230"/>
    <n v="16.5"/>
    <x v="4"/>
    <x v="2"/>
  </r>
  <r>
    <x v="148"/>
    <x v="78"/>
    <x v="1"/>
    <n v="258"/>
    <n v="110"/>
    <x v="216"/>
    <x v="231"/>
    <n v="18"/>
    <x v="4"/>
    <x v="2"/>
  </r>
  <r>
    <x v="191"/>
    <x v="75"/>
    <x v="1"/>
    <n v="250"/>
    <n v="100"/>
    <x v="217"/>
    <x v="232"/>
    <n v="17"/>
    <x v="4"/>
    <x v="2"/>
  </r>
  <r>
    <x v="192"/>
    <x v="6"/>
    <x v="1"/>
    <n v="225"/>
    <n v="105"/>
    <x v="218"/>
    <x v="233"/>
    <n v="16.5"/>
    <x v="4"/>
    <x v="2"/>
  </r>
  <r>
    <x v="193"/>
    <x v="78"/>
    <x v="1"/>
    <n v="250"/>
    <n v="100"/>
    <x v="219"/>
    <x v="234"/>
    <n v="17"/>
    <x v="4"/>
    <x v="2"/>
  </r>
  <r>
    <x v="121"/>
    <x v="8"/>
    <x v="1"/>
    <n v="200"/>
    <m/>
    <x v="220"/>
    <x v="61"/>
    <n v="17"/>
    <x v="4"/>
    <x v="2"/>
  </r>
  <r>
    <x v="163"/>
    <x v="74"/>
    <x v="4"/>
    <n v="304"/>
    <n v="150"/>
    <x v="221"/>
    <x v="235"/>
    <n v="15.5"/>
    <x v="4"/>
    <x v="2"/>
  </r>
  <r>
    <x v="188"/>
    <x v="78"/>
    <x v="4"/>
    <n v="302"/>
    <n v="140"/>
    <x v="222"/>
    <x v="236"/>
    <n v="14"/>
    <x v="4"/>
    <x v="2"/>
  </r>
  <r>
    <x v="194"/>
    <x v="74"/>
    <x v="4"/>
    <n v="318"/>
    <n v="150"/>
    <x v="223"/>
    <x v="237"/>
    <n v="13.5"/>
    <x v="4"/>
    <x v="2"/>
  </r>
  <r>
    <x v="195"/>
    <x v="81"/>
    <x v="4"/>
    <n v="350"/>
    <n v="150"/>
    <x v="224"/>
    <x v="238"/>
    <n v="14.5"/>
    <x v="4"/>
    <x v="2"/>
  </r>
  <r>
    <x v="167"/>
    <x v="74"/>
    <x v="4"/>
    <n v="302"/>
    <n v="140"/>
    <x v="225"/>
    <x v="239"/>
    <n v="16"/>
    <x v="4"/>
    <x v="2"/>
  </r>
  <r>
    <x v="144"/>
    <x v="9"/>
    <x v="0"/>
    <n v="140"/>
    <n v="83"/>
    <x v="226"/>
    <x v="240"/>
    <n v="17"/>
    <x v="5"/>
    <x v="2"/>
  </r>
  <r>
    <x v="196"/>
    <x v="9"/>
    <x v="0"/>
    <n v="140"/>
    <n v="78"/>
    <x v="227"/>
    <x v="241"/>
    <n v="18.5"/>
    <x v="5"/>
    <x v="2"/>
  </r>
  <r>
    <x v="197"/>
    <x v="8"/>
    <x v="1"/>
    <n v="231"/>
    <n v="110"/>
    <x v="228"/>
    <x v="242"/>
    <n v="15"/>
    <x v="5"/>
    <x v="2"/>
  </r>
  <r>
    <x v="119"/>
    <x v="11"/>
    <x v="1"/>
    <n v="232"/>
    <n v="100"/>
    <x v="229"/>
    <x v="243"/>
    <n v="16"/>
    <x v="5"/>
    <x v="2"/>
  </r>
  <r>
    <x v="144"/>
    <x v="6"/>
    <x v="1"/>
    <n v="171"/>
    <n v="97"/>
    <x v="230"/>
    <x v="244"/>
    <n v="14.5"/>
    <x v="5"/>
    <x v="2"/>
  </r>
  <r>
    <x v="191"/>
    <x v="6"/>
    <x v="1"/>
    <n v="250"/>
    <n v="105"/>
    <x v="231"/>
    <x v="245"/>
    <n v="16"/>
    <x v="5"/>
    <x v="2"/>
  </r>
  <r>
    <x v="148"/>
    <x v="75"/>
    <x v="1"/>
    <n v="258"/>
    <n v="110"/>
    <x v="232"/>
    <x v="246"/>
    <n v="19"/>
    <x v="5"/>
    <x v="2"/>
  </r>
  <r>
    <x v="198"/>
    <x v="10"/>
    <x v="1"/>
    <n v="225"/>
    <n v="95"/>
    <x v="233"/>
    <x v="247"/>
    <n v="16"/>
    <x v="5"/>
    <x v="2"/>
  </r>
  <r>
    <x v="199"/>
    <x v="23"/>
    <x v="1"/>
    <n v="231"/>
    <n v="110"/>
    <x v="234"/>
    <x v="248"/>
    <n v="21"/>
    <x v="5"/>
    <x v="2"/>
  </r>
  <r>
    <x v="200"/>
    <x v="10"/>
    <x v="1"/>
    <n v="232"/>
    <n v="90"/>
    <x v="235"/>
    <x v="249"/>
    <n v="17"/>
    <x v="5"/>
    <x v="2"/>
  </r>
  <r>
    <x v="201"/>
    <x v="78"/>
    <x v="1"/>
    <n v="250"/>
    <n v="105"/>
    <x v="236"/>
    <x v="250"/>
    <n v="18.5"/>
    <x v="5"/>
    <x v="2"/>
  </r>
  <r>
    <x v="202"/>
    <x v="6"/>
    <x v="1"/>
    <n v="225"/>
    <n v="95"/>
    <x v="237"/>
    <x v="251"/>
    <n v="19"/>
    <x v="5"/>
    <x v="2"/>
  </r>
  <r>
    <x v="121"/>
    <x v="75"/>
    <x v="1"/>
    <n v="250"/>
    <n v="72"/>
    <x v="238"/>
    <x v="252"/>
    <n v="19.5"/>
    <x v="5"/>
    <x v="2"/>
  </r>
  <r>
    <x v="203"/>
    <x v="75"/>
    <x v="1"/>
    <n v="250"/>
    <n v="72"/>
    <x v="239"/>
    <x v="253"/>
    <n v="21"/>
    <x v="5"/>
    <x v="2"/>
  </r>
  <r>
    <x v="204"/>
    <x v="81"/>
    <x v="4"/>
    <n v="302"/>
    <n v="129"/>
    <x v="240"/>
    <x v="254"/>
    <n v="12"/>
    <x v="5"/>
    <x v="2"/>
  </r>
  <r>
    <x v="123"/>
    <x v="78"/>
    <x v="4"/>
    <n v="400"/>
    <n v="170"/>
    <x v="241"/>
    <x v="255"/>
    <n v="11.5"/>
    <x v="5"/>
    <x v="2"/>
  </r>
  <r>
    <x v="205"/>
    <x v="11"/>
    <x v="4"/>
    <n v="262"/>
    <n v="110"/>
    <x v="242"/>
    <x v="256"/>
    <n v="13.5"/>
    <x v="5"/>
    <x v="2"/>
  </r>
  <r>
    <x v="206"/>
    <x v="78"/>
    <x v="4"/>
    <n v="318"/>
    <n v="150"/>
    <x v="243"/>
    <x v="257"/>
    <n v="14.5"/>
    <x v="5"/>
    <x v="2"/>
  </r>
  <r>
    <x v="207"/>
    <x v="75"/>
    <x v="4"/>
    <n v="350"/>
    <n v="145"/>
    <x v="244"/>
    <x v="258"/>
    <n v="14"/>
    <x v="5"/>
    <x v="2"/>
  </r>
  <r>
    <x v="184"/>
    <x v="74"/>
    <x v="4"/>
    <n v="351"/>
    <n v="148"/>
    <x v="245"/>
    <x v="259"/>
    <n v="13.5"/>
    <x v="5"/>
    <x v="2"/>
  </r>
  <r>
    <x v="208"/>
    <x v="1"/>
    <x v="0"/>
    <n v="140"/>
    <n v="92"/>
    <x v="246"/>
    <x v="260"/>
    <n v="14.9"/>
    <x v="6"/>
    <x v="2"/>
  </r>
  <r>
    <x v="190"/>
    <x v="0"/>
    <x v="0"/>
    <n v="98"/>
    <n v="79"/>
    <x v="247"/>
    <x v="261"/>
    <n v="17.7"/>
    <x v="6"/>
    <x v="2"/>
  </r>
  <r>
    <x v="144"/>
    <x v="82"/>
    <x v="0"/>
    <n v="140"/>
    <n v="72"/>
    <x v="248"/>
    <x v="262"/>
    <n v="13.6"/>
    <x v="6"/>
    <x v="2"/>
  </r>
  <r>
    <x v="209"/>
    <x v="83"/>
    <x v="0"/>
    <n v="98"/>
    <n v="60"/>
    <x v="171"/>
    <x v="263"/>
    <n v="22.1"/>
    <x v="6"/>
    <x v="2"/>
  </r>
  <r>
    <x v="210"/>
    <x v="12"/>
    <x v="0"/>
    <n v="85"/>
    <n v="52"/>
    <x v="249"/>
    <x v="264"/>
    <n v="22.2"/>
    <x v="6"/>
    <x v="2"/>
  </r>
  <r>
    <x v="191"/>
    <x v="7"/>
    <x v="1"/>
    <n v="250"/>
    <n v="105"/>
    <x v="250"/>
    <x v="265"/>
    <n v="14.5"/>
    <x v="6"/>
    <x v="2"/>
  </r>
  <r>
    <x v="170"/>
    <x v="7"/>
    <x v="1"/>
    <n v="225"/>
    <n v="100"/>
    <x v="251"/>
    <x v="266"/>
    <n v="15.4"/>
    <x v="6"/>
    <x v="2"/>
  </r>
  <r>
    <x v="211"/>
    <x v="84"/>
    <x v="1"/>
    <n v="250"/>
    <n v="110"/>
    <x v="252"/>
    <x v="267"/>
    <n v="16.2"/>
    <x v="6"/>
    <x v="2"/>
  </r>
  <r>
    <x v="212"/>
    <x v="85"/>
    <x v="1"/>
    <n v="258"/>
    <n v="95"/>
    <x v="253"/>
    <x v="268"/>
    <n v="17.8"/>
    <x v="6"/>
    <x v="2"/>
  </r>
  <r>
    <x v="118"/>
    <x v="86"/>
    <x v="1"/>
    <n v="232"/>
    <n v="90"/>
    <x v="254"/>
    <x v="269"/>
    <n v="17.600000000000001"/>
    <x v="6"/>
    <x v="2"/>
  </r>
  <r>
    <x v="213"/>
    <x v="11"/>
    <x v="1"/>
    <n v="225"/>
    <n v="100"/>
    <x v="255"/>
    <x v="270"/>
    <n v="17.7"/>
    <x v="6"/>
    <x v="2"/>
  </r>
  <r>
    <x v="121"/>
    <x v="2"/>
    <x v="1"/>
    <n v="200"/>
    <n v="81"/>
    <x v="256"/>
    <x v="271"/>
    <n v="17.600000000000001"/>
    <x v="6"/>
    <x v="2"/>
  </r>
  <r>
    <x v="214"/>
    <x v="6"/>
    <x v="1"/>
    <n v="250"/>
    <n v="78"/>
    <x v="257"/>
    <x v="272"/>
    <n v="21"/>
    <x v="6"/>
    <x v="2"/>
  </r>
  <r>
    <x v="215"/>
    <x v="15"/>
    <x v="4"/>
    <n v="350"/>
    <n v="180"/>
    <x v="258"/>
    <x v="273"/>
    <n v="12.1"/>
    <x v="6"/>
    <x v="2"/>
  </r>
  <r>
    <x v="216"/>
    <x v="81"/>
    <x v="4"/>
    <n v="318"/>
    <n v="150"/>
    <x v="259"/>
    <x v="274"/>
    <n v="14"/>
    <x v="6"/>
    <x v="2"/>
  </r>
  <r>
    <x v="217"/>
    <x v="81"/>
    <x v="4"/>
    <n v="318"/>
    <n v="150"/>
    <x v="260"/>
    <x v="275"/>
    <n v="13.2"/>
    <x v="6"/>
    <x v="2"/>
  </r>
  <r>
    <x v="188"/>
    <x v="87"/>
    <x v="4"/>
    <n v="351"/>
    <n v="152"/>
    <x v="261"/>
    <x v="276"/>
    <n v="12.8"/>
    <x v="6"/>
    <x v="2"/>
  </r>
  <r>
    <x v="218"/>
    <x v="81"/>
    <x v="4"/>
    <n v="350"/>
    <n v="145"/>
    <x v="262"/>
    <x v="277"/>
    <n v="12"/>
    <x v="6"/>
    <x v="2"/>
  </r>
  <r>
    <x v="219"/>
    <x v="78"/>
    <x v="4"/>
    <n v="318"/>
    <n v="150"/>
    <x v="263"/>
    <x v="278"/>
    <n v="13"/>
    <x v="6"/>
    <x v="2"/>
  </r>
  <r>
    <x v="220"/>
    <x v="81"/>
    <x v="4"/>
    <n v="302"/>
    <n v="130"/>
    <x v="264"/>
    <x v="279"/>
    <n v="15"/>
    <x v="6"/>
    <x v="2"/>
  </r>
  <r>
    <x v="193"/>
    <x v="85"/>
    <x v="4"/>
    <n v="305"/>
    <n v="140"/>
    <x v="261"/>
    <x v="280"/>
    <n v="13"/>
    <x v="6"/>
    <x v="2"/>
  </r>
  <r>
    <x v="148"/>
    <x v="88"/>
    <x v="4"/>
    <n v="304"/>
    <n v="120"/>
    <x v="265"/>
    <x v="281"/>
    <n v="13.9"/>
    <x v="6"/>
    <x v="2"/>
  </r>
  <r>
    <x v="221"/>
    <x v="89"/>
    <x v="0"/>
    <n v="122"/>
    <n v="96"/>
    <x v="24"/>
    <x v="282"/>
    <n v="15.5"/>
    <x v="7"/>
    <x v="2"/>
  </r>
  <r>
    <x v="222"/>
    <x v="43"/>
    <x v="0"/>
    <n v="98"/>
    <n v="83"/>
    <x v="266"/>
    <x v="1"/>
    <n v="15.9"/>
    <x v="7"/>
    <x v="2"/>
  </r>
  <r>
    <x v="223"/>
    <x v="4"/>
    <x v="0"/>
    <n v="111"/>
    <n v="80"/>
    <x v="87"/>
    <x v="283"/>
    <n v="14.8"/>
    <x v="7"/>
    <x v="2"/>
  </r>
  <r>
    <x v="224"/>
    <x v="89"/>
    <x v="0"/>
    <n v="140"/>
    <n v="89"/>
    <x v="267"/>
    <x v="284"/>
    <n v="15.8"/>
    <x v="7"/>
    <x v="2"/>
  </r>
  <r>
    <x v="225"/>
    <x v="83"/>
    <x v="0"/>
    <n v="151"/>
    <n v="88"/>
    <x v="268"/>
    <x v="285"/>
    <n v="16"/>
    <x v="7"/>
    <x v="2"/>
  </r>
  <r>
    <x v="210"/>
    <x v="17"/>
    <x v="0"/>
    <n v="98"/>
    <n v="63"/>
    <x v="269"/>
    <x v="286"/>
    <n v="17"/>
    <x v="7"/>
    <x v="2"/>
  </r>
  <r>
    <x v="226"/>
    <x v="85"/>
    <x v="1"/>
    <n v="250"/>
    <n v="110"/>
    <x v="270"/>
    <x v="287"/>
    <n v="16.399999999999999"/>
    <x v="7"/>
    <x v="2"/>
  </r>
  <r>
    <x v="227"/>
    <x v="90"/>
    <x v="1"/>
    <n v="231"/>
    <n v="105"/>
    <x v="271"/>
    <x v="288"/>
    <n v="16.899999999999999"/>
    <x v="7"/>
    <x v="2"/>
  </r>
  <r>
    <x v="228"/>
    <x v="84"/>
    <x v="1"/>
    <n v="250"/>
    <n v="98"/>
    <x v="272"/>
    <x v="289"/>
    <n v="19"/>
    <x v="7"/>
    <x v="2"/>
  </r>
  <r>
    <x v="229"/>
    <x v="10"/>
    <x v="1"/>
    <n v="225"/>
    <n v="100"/>
    <x v="273"/>
    <x v="290"/>
    <n v="17.7"/>
    <x v="7"/>
    <x v="2"/>
  </r>
  <r>
    <x v="230"/>
    <x v="88"/>
    <x v="4"/>
    <n v="400"/>
    <n v="190"/>
    <x v="274"/>
    <x v="291"/>
    <n v="12.2"/>
    <x v="7"/>
    <x v="2"/>
  </r>
  <r>
    <x v="231"/>
    <x v="78"/>
    <x v="4"/>
    <n v="400"/>
    <n v="180"/>
    <x v="275"/>
    <x v="292"/>
    <n v="11.1"/>
    <x v="7"/>
    <x v="2"/>
  </r>
  <r>
    <x v="232"/>
    <x v="88"/>
    <x v="4"/>
    <n v="350"/>
    <n v="170"/>
    <x v="276"/>
    <x v="293"/>
    <n v="11.4"/>
    <x v="7"/>
    <x v="2"/>
  </r>
  <r>
    <x v="189"/>
    <x v="85"/>
    <x v="4"/>
    <n v="305"/>
    <n v="145"/>
    <x v="277"/>
    <x v="294"/>
    <n v="12.5"/>
    <x v="7"/>
    <x v="2"/>
  </r>
  <r>
    <x v="233"/>
    <x v="88"/>
    <x v="4"/>
    <n v="318"/>
    <n v="145"/>
    <x v="278"/>
    <x v="295"/>
    <n v="13.7"/>
    <x v="7"/>
    <x v="2"/>
  </r>
  <r>
    <x v="234"/>
    <x v="78"/>
    <x v="4"/>
    <n v="351"/>
    <n v="149"/>
    <x v="279"/>
    <x v="296"/>
    <n v="14.5"/>
    <x v="7"/>
    <x v="2"/>
  </r>
  <r>
    <x v="235"/>
    <x v="75"/>
    <x v="4"/>
    <n v="302"/>
    <n v="130"/>
    <x v="280"/>
    <x v="297"/>
    <n v="14.9"/>
    <x v="7"/>
    <x v="2"/>
  </r>
  <r>
    <x v="236"/>
    <x v="23"/>
    <x v="4"/>
    <n v="260"/>
    <n v="110"/>
    <x v="281"/>
    <x v="298"/>
    <n v="19"/>
    <x v="7"/>
    <x v="2"/>
  </r>
  <r>
    <x v="237"/>
    <x v="91"/>
    <x v="0"/>
    <n v="156"/>
    <n v="105"/>
    <x v="282"/>
    <x v="299"/>
    <n v="16.7"/>
    <x v="8"/>
    <x v="2"/>
  </r>
  <r>
    <x v="238"/>
    <x v="48"/>
    <x v="0"/>
    <n v="98"/>
    <n v="66"/>
    <x v="97"/>
    <x v="300"/>
    <n v="14.4"/>
    <x v="8"/>
    <x v="2"/>
  </r>
  <r>
    <x v="239"/>
    <x v="92"/>
    <x v="0"/>
    <n v="105"/>
    <n v="75"/>
    <x v="283"/>
    <x v="301"/>
    <n v="14.5"/>
    <x v="8"/>
    <x v="2"/>
  </r>
  <r>
    <x v="240"/>
    <x v="93"/>
    <x v="0"/>
    <n v="140"/>
    <n v="88"/>
    <x v="89"/>
    <x v="302"/>
    <n v="15.4"/>
    <x v="8"/>
    <x v="2"/>
  </r>
  <r>
    <x v="210"/>
    <x v="4"/>
    <x v="0"/>
    <n v="98"/>
    <n v="68"/>
    <x v="87"/>
    <x v="303"/>
    <n v="16.5"/>
    <x v="8"/>
    <x v="2"/>
  </r>
  <r>
    <x v="241"/>
    <x v="94"/>
    <x v="0"/>
    <n v="151"/>
    <n v="85"/>
    <x v="284"/>
    <x v="304"/>
    <n v="17.600000000000001"/>
    <x v="8"/>
    <x v="2"/>
  </r>
  <r>
    <x v="242"/>
    <x v="95"/>
    <x v="1"/>
    <n v="231"/>
    <n v="165"/>
    <x v="285"/>
    <x v="305"/>
    <n v="13.4"/>
    <x v="8"/>
    <x v="2"/>
  </r>
  <r>
    <x v="243"/>
    <x v="96"/>
    <x v="1"/>
    <n v="258"/>
    <n v="120"/>
    <x v="48"/>
    <x v="306"/>
    <n v="15.1"/>
    <x v="8"/>
    <x v="2"/>
  </r>
  <r>
    <x v="244"/>
    <x v="97"/>
    <x v="1"/>
    <n v="231"/>
    <n v="105"/>
    <x v="286"/>
    <x v="307"/>
    <n v="15.8"/>
    <x v="8"/>
    <x v="2"/>
  </r>
  <r>
    <x v="245"/>
    <x v="98"/>
    <x v="1"/>
    <n v="225"/>
    <n v="110"/>
    <x v="287"/>
    <x v="308"/>
    <n v="18.7"/>
    <x v="8"/>
    <x v="2"/>
  </r>
  <r>
    <x v="183"/>
    <x v="90"/>
    <x v="1"/>
    <n v="200"/>
    <n v="95"/>
    <x v="288"/>
    <x v="309"/>
    <n v="18.2"/>
    <x v="8"/>
    <x v="2"/>
  </r>
  <r>
    <x v="246"/>
    <x v="99"/>
    <x v="1"/>
    <n v="231"/>
    <n v="105"/>
    <x v="289"/>
    <x v="310"/>
    <n v="19.2"/>
    <x v="8"/>
    <x v="2"/>
  </r>
  <r>
    <x v="247"/>
    <x v="90"/>
    <x v="1"/>
    <n v="225"/>
    <n v="100"/>
    <x v="290"/>
    <x v="311"/>
    <n v="17.2"/>
    <x v="8"/>
    <x v="2"/>
  </r>
  <r>
    <x v="248"/>
    <x v="100"/>
    <x v="1"/>
    <n v="200"/>
    <n v="85"/>
    <x v="291"/>
    <x v="312"/>
    <n v="15.8"/>
    <x v="8"/>
    <x v="2"/>
  </r>
  <r>
    <x v="249"/>
    <x v="101"/>
    <x v="1"/>
    <n v="232"/>
    <n v="90"/>
    <x v="292"/>
    <x v="313"/>
    <n v="17.2"/>
    <x v="8"/>
    <x v="2"/>
  </r>
  <r>
    <x v="250"/>
    <x v="102"/>
    <x v="1"/>
    <n v="200"/>
    <n v="85"/>
    <x v="293"/>
    <x v="314"/>
    <n v="16.7"/>
    <x v="8"/>
    <x v="2"/>
  </r>
  <r>
    <x v="251"/>
    <x v="96"/>
    <x v="4"/>
    <n v="302"/>
    <n v="139"/>
    <x v="294"/>
    <x v="315"/>
    <n v="11.2"/>
    <x v="8"/>
    <x v="2"/>
  </r>
  <r>
    <x v="232"/>
    <x v="99"/>
    <x v="4"/>
    <n v="305"/>
    <n v="145"/>
    <x v="271"/>
    <x v="316"/>
    <n v="13.2"/>
    <x v="8"/>
    <x v="2"/>
  </r>
  <r>
    <x v="252"/>
    <x v="100"/>
    <x v="4"/>
    <n v="302"/>
    <n v="139"/>
    <x v="295"/>
    <x v="317"/>
    <n v="12.8"/>
    <x v="8"/>
    <x v="2"/>
  </r>
  <r>
    <x v="253"/>
    <x v="101"/>
    <x v="4"/>
    <n v="318"/>
    <n v="140"/>
    <x v="296"/>
    <x v="318"/>
    <n v="13.2"/>
    <x v="8"/>
    <x v="2"/>
  </r>
  <r>
    <x v="254"/>
    <x v="85"/>
    <x v="4"/>
    <n v="318"/>
    <n v="140"/>
    <x v="297"/>
    <x v="319"/>
    <n v="13.7"/>
    <x v="8"/>
    <x v="2"/>
  </r>
  <r>
    <x v="255"/>
    <x v="103"/>
    <x v="4"/>
    <n v="260"/>
    <n v="110"/>
    <x v="298"/>
    <x v="320"/>
    <n v="15.5"/>
    <x v="8"/>
    <x v="2"/>
  </r>
  <r>
    <x v="256"/>
    <x v="104"/>
    <x v="0"/>
    <n v="98"/>
    <n v="80"/>
    <x v="299"/>
    <x v="321"/>
    <n v="14.4"/>
    <x v="9"/>
    <x v="2"/>
  </r>
  <r>
    <x v="257"/>
    <x v="43"/>
    <x v="0"/>
    <n v="151"/>
    <n v="90"/>
    <x v="300"/>
    <x v="322"/>
    <n v="13.2"/>
    <x v="9"/>
    <x v="2"/>
  </r>
  <r>
    <x v="258"/>
    <x v="105"/>
    <x v="0"/>
    <n v="151"/>
    <n v="90"/>
    <x v="301"/>
    <x v="323"/>
    <n v="16"/>
    <x v="9"/>
    <x v="2"/>
  </r>
  <r>
    <x v="259"/>
    <x v="39"/>
    <x v="0"/>
    <n v="105"/>
    <n v="70"/>
    <x v="302"/>
    <x v="324"/>
    <n v="14.9"/>
    <x v="9"/>
    <x v="2"/>
  </r>
  <r>
    <x v="260"/>
    <x v="106"/>
    <x v="0"/>
    <n v="105"/>
    <n v="70"/>
    <x v="303"/>
    <x v="325"/>
    <n v="13.2"/>
    <x v="9"/>
    <x v="2"/>
  </r>
  <r>
    <x v="261"/>
    <x v="107"/>
    <x v="0"/>
    <n v="140"/>
    <n v="88"/>
    <x v="304"/>
    <x v="326"/>
    <n v="17.3"/>
    <x v="9"/>
    <x v="2"/>
  </r>
  <r>
    <x v="262"/>
    <x v="108"/>
    <x v="0"/>
    <n v="121"/>
    <n v="80"/>
    <x v="301"/>
    <x v="327"/>
    <n v="15"/>
    <x v="9"/>
    <x v="2"/>
  </r>
  <r>
    <x v="263"/>
    <x v="109"/>
    <x v="1"/>
    <n v="173"/>
    <n v="115"/>
    <x v="305"/>
    <x v="328"/>
    <n v="11.3"/>
    <x v="9"/>
    <x v="2"/>
  </r>
  <r>
    <x v="264"/>
    <x v="110"/>
    <x v="1"/>
    <n v="173"/>
    <n v="115"/>
    <x v="306"/>
    <x v="329"/>
    <n v="12.9"/>
    <x v="9"/>
    <x v="2"/>
  </r>
  <r>
    <x v="265"/>
    <x v="16"/>
    <x v="1"/>
    <n v="231"/>
    <n v="115"/>
    <x v="307"/>
    <x v="330"/>
    <n v="15.4"/>
    <x v="9"/>
    <x v="2"/>
  </r>
  <r>
    <x v="266"/>
    <x v="97"/>
    <x v="1"/>
    <n v="225"/>
    <n v="110"/>
    <x v="308"/>
    <x v="331"/>
    <n v="16.600000000000001"/>
    <x v="9"/>
    <x v="2"/>
  </r>
  <r>
    <x v="267"/>
    <x v="111"/>
    <x v="1"/>
    <n v="200"/>
    <n v="85"/>
    <x v="309"/>
    <x v="332"/>
    <n v="18.2"/>
    <x v="9"/>
    <x v="2"/>
  </r>
  <r>
    <x v="268"/>
    <x v="100"/>
    <x v="1"/>
    <n v="232"/>
    <n v="90"/>
    <x v="310"/>
    <x v="333"/>
    <n v="18.2"/>
    <x v="9"/>
    <x v="2"/>
  </r>
  <r>
    <x v="269"/>
    <x v="84"/>
    <x v="4"/>
    <n v="360"/>
    <n v="150"/>
    <x v="260"/>
    <x v="275"/>
    <n v="13"/>
    <x v="9"/>
    <x v="2"/>
  </r>
  <r>
    <x v="122"/>
    <x v="112"/>
    <x v="4"/>
    <n v="350"/>
    <n v="155"/>
    <x v="311"/>
    <x v="334"/>
    <n v="14.9"/>
    <x v="9"/>
    <x v="2"/>
  </r>
  <r>
    <x v="270"/>
    <x v="113"/>
    <x v="4"/>
    <n v="318"/>
    <n v="135"/>
    <x v="312"/>
    <x v="335"/>
    <n v="15.2"/>
    <x v="9"/>
    <x v="2"/>
  </r>
  <r>
    <x v="153"/>
    <x v="88"/>
    <x v="4"/>
    <n v="351"/>
    <n v="142"/>
    <x v="313"/>
    <x v="336"/>
    <n v="14.3"/>
    <x v="9"/>
    <x v="2"/>
  </r>
  <r>
    <x v="271"/>
    <x v="15"/>
    <x v="4"/>
    <n v="351"/>
    <n v="138"/>
    <x v="314"/>
    <x v="337"/>
    <n v="13.2"/>
    <x v="9"/>
    <x v="2"/>
  </r>
  <r>
    <x v="272"/>
    <x v="99"/>
    <x v="4"/>
    <n v="267"/>
    <n v="125"/>
    <x v="315"/>
    <x v="338"/>
    <n v="15"/>
    <x v="9"/>
    <x v="2"/>
  </r>
  <r>
    <x v="273"/>
    <x v="114"/>
    <x v="4"/>
    <n v="302"/>
    <n v="129"/>
    <x v="316"/>
    <x v="339"/>
    <n v="13.4"/>
    <x v="9"/>
    <x v="2"/>
  </r>
  <r>
    <x v="189"/>
    <x v="23"/>
    <x v="4"/>
    <n v="305"/>
    <n v="130"/>
    <x v="317"/>
    <x v="340"/>
    <n v="15.4"/>
    <x v="9"/>
    <x v="2"/>
  </r>
  <r>
    <x v="274"/>
    <x v="9"/>
    <x v="4"/>
    <n v="350"/>
    <n v="125"/>
    <x v="318"/>
    <x v="341"/>
    <n v="17.399999999999999"/>
    <x v="9"/>
    <x v="2"/>
  </r>
  <r>
    <x v="255"/>
    <x v="44"/>
    <x v="4"/>
    <n v="260"/>
    <n v="90"/>
    <x v="319"/>
    <x v="342"/>
    <n v="22.2"/>
    <x v="9"/>
    <x v="2"/>
  </r>
  <r>
    <x v="190"/>
    <x v="115"/>
    <x v="0"/>
    <n v="156"/>
    <n v="105"/>
    <x v="320"/>
    <x v="343"/>
    <n v="14.4"/>
    <x v="10"/>
    <x v="2"/>
  </r>
  <r>
    <x v="263"/>
    <x v="3"/>
    <x v="0"/>
    <n v="151"/>
    <n v="90"/>
    <x v="321"/>
    <x v="344"/>
    <n v="16.5"/>
    <x v="10"/>
    <x v="2"/>
  </r>
  <r>
    <x v="210"/>
    <x v="116"/>
    <x v="0"/>
    <n v="98"/>
    <n v="70"/>
    <x v="322"/>
    <x v="345"/>
    <n v="15.5"/>
    <x v="10"/>
    <x v="2"/>
  </r>
  <r>
    <x v="275"/>
    <x v="117"/>
    <x v="0"/>
    <n v="140"/>
    <n v="88"/>
    <x v="323"/>
    <x v="346"/>
    <n v="18.100000000000001"/>
    <x v="10"/>
    <x v="2"/>
  </r>
  <r>
    <x v="249"/>
    <x v="118"/>
    <x v="0"/>
    <n v="151"/>
    <n v="90"/>
    <x v="324"/>
    <x v="347"/>
    <n v="20.100000000000001"/>
    <x v="10"/>
    <x v="2"/>
  </r>
  <r>
    <x v="276"/>
    <x v="119"/>
    <x v="0"/>
    <n v="140"/>
    <m/>
    <x v="325"/>
    <x v="61"/>
    <n v="14.3"/>
    <x v="10"/>
    <x v="2"/>
  </r>
  <r>
    <x v="245"/>
    <x v="120"/>
    <x v="1"/>
    <n v="225"/>
    <n v="90"/>
    <x v="326"/>
    <x v="348"/>
    <n v="18.7"/>
    <x v="10"/>
    <x v="2"/>
  </r>
  <r>
    <x v="277"/>
    <x v="4"/>
    <x v="0"/>
    <n v="135"/>
    <n v="84"/>
    <x v="327"/>
    <x v="349"/>
    <n v="12.9"/>
    <x v="11"/>
    <x v="2"/>
  </r>
  <r>
    <x v="278"/>
    <x v="121"/>
    <x v="0"/>
    <n v="156"/>
    <n v="92"/>
    <x v="328"/>
    <x v="350"/>
    <n v="14.4"/>
    <x v="11"/>
    <x v="2"/>
  </r>
  <r>
    <x v="279"/>
    <x v="122"/>
    <x v="0"/>
    <n v="86"/>
    <n v="64"/>
    <x v="329"/>
    <x v="351"/>
    <n v="16.399999999999999"/>
    <x v="11"/>
    <x v="2"/>
  </r>
  <r>
    <x v="277"/>
    <x v="27"/>
    <x v="0"/>
    <n v="135"/>
    <n v="84"/>
    <x v="330"/>
    <x v="352"/>
    <n v="15.7"/>
    <x v="11"/>
    <x v="2"/>
  </r>
  <r>
    <x v="227"/>
    <x v="123"/>
    <x v="0"/>
    <n v="151"/>
    <n v="84"/>
    <x v="118"/>
    <x v="353"/>
    <n v="16.399999999999999"/>
    <x v="11"/>
    <x v="2"/>
  </r>
  <r>
    <x v="280"/>
    <x v="124"/>
    <x v="0"/>
    <n v="98"/>
    <n v="65"/>
    <x v="91"/>
    <x v="354"/>
    <n v="16.2"/>
    <x v="11"/>
    <x v="2"/>
  </r>
  <r>
    <x v="281"/>
    <x v="125"/>
    <x v="0"/>
    <n v="105"/>
    <n v="63"/>
    <x v="331"/>
    <x v="355"/>
    <n v="14.9"/>
    <x v="11"/>
    <x v="2"/>
  </r>
  <r>
    <x v="282"/>
    <x v="126"/>
    <x v="0"/>
    <n v="98"/>
    <n v="65"/>
    <x v="332"/>
    <x v="356"/>
    <n v="20.7"/>
    <x v="11"/>
    <x v="2"/>
  </r>
  <r>
    <x v="263"/>
    <x v="127"/>
    <x v="1"/>
    <n v="173"/>
    <n v="110"/>
    <x v="333"/>
    <x v="357"/>
    <n v="12.6"/>
    <x v="11"/>
    <x v="2"/>
  </r>
  <r>
    <x v="199"/>
    <x v="128"/>
    <x v="1"/>
    <n v="231"/>
    <n v="110"/>
    <x v="334"/>
    <x v="358"/>
    <n v="15.8"/>
    <x v="11"/>
    <x v="2"/>
  </r>
  <r>
    <x v="283"/>
    <x v="100"/>
    <x v="1"/>
    <n v="200"/>
    <n v="88"/>
    <x v="335"/>
    <x v="359"/>
    <n v="17.100000000000001"/>
    <x v="11"/>
    <x v="2"/>
  </r>
  <r>
    <x v="284"/>
    <x v="114"/>
    <x v="1"/>
    <n v="225"/>
    <n v="85"/>
    <x v="336"/>
    <x v="360"/>
    <n v="16.600000000000001"/>
    <x v="11"/>
    <x v="2"/>
  </r>
  <r>
    <x v="285"/>
    <x v="123"/>
    <x v="4"/>
    <n v="350"/>
    <n v="105"/>
    <x v="316"/>
    <x v="361"/>
    <n v="19"/>
    <x v="11"/>
    <x v="2"/>
  </r>
  <r>
    <x v="286"/>
    <x v="73"/>
    <x v="0"/>
    <n v="112"/>
    <n v="88"/>
    <x v="172"/>
    <x v="362"/>
    <n v="18"/>
    <x v="12"/>
    <x v="2"/>
  </r>
  <r>
    <x v="287"/>
    <x v="42"/>
    <x v="0"/>
    <n v="135"/>
    <n v="84"/>
    <x v="337"/>
    <x v="363"/>
    <n v="11.6"/>
    <x v="12"/>
    <x v="2"/>
  </r>
  <r>
    <x v="288"/>
    <x v="0"/>
    <x v="0"/>
    <n v="156"/>
    <n v="92"/>
    <x v="338"/>
    <x v="364"/>
    <n v="14.5"/>
    <x v="12"/>
    <x v="2"/>
  </r>
  <r>
    <x v="289"/>
    <x v="18"/>
    <x v="0"/>
    <n v="135"/>
    <n v="84"/>
    <x v="339"/>
    <x v="365"/>
    <n v="13"/>
    <x v="12"/>
    <x v="2"/>
  </r>
  <r>
    <x v="290"/>
    <x v="3"/>
    <x v="0"/>
    <n v="112"/>
    <n v="88"/>
    <x v="340"/>
    <x v="366"/>
    <n v="19.600000000000001"/>
    <x v="12"/>
    <x v="2"/>
  </r>
  <r>
    <x v="291"/>
    <x v="5"/>
    <x v="0"/>
    <n v="112"/>
    <n v="88"/>
    <x v="341"/>
    <x v="106"/>
    <n v="18.600000000000001"/>
    <x v="12"/>
    <x v="2"/>
  </r>
  <r>
    <x v="292"/>
    <x v="12"/>
    <x v="0"/>
    <n v="135"/>
    <n v="84"/>
    <x v="342"/>
    <x v="367"/>
    <n v="16"/>
    <x v="12"/>
    <x v="2"/>
  </r>
  <r>
    <x v="293"/>
    <x v="13"/>
    <x v="0"/>
    <n v="112"/>
    <n v="85"/>
    <x v="343"/>
    <x v="368"/>
    <n v="16.2"/>
    <x v="12"/>
    <x v="2"/>
  </r>
  <r>
    <x v="294"/>
    <x v="18"/>
    <x v="0"/>
    <n v="98"/>
    <n v="70"/>
    <x v="212"/>
    <x v="369"/>
    <n v="17.3"/>
    <x v="12"/>
    <x v="2"/>
  </r>
  <r>
    <x v="257"/>
    <x v="5"/>
    <x v="0"/>
    <n v="151"/>
    <n v="90"/>
    <x v="344"/>
    <x v="370"/>
    <n v="18"/>
    <x v="12"/>
    <x v="2"/>
  </r>
  <r>
    <x v="295"/>
    <x v="2"/>
    <x v="0"/>
    <n v="140"/>
    <n v="92"/>
    <x v="345"/>
    <x v="371"/>
    <n v="16.399999999999999"/>
    <x v="12"/>
    <x v="2"/>
  </r>
  <r>
    <x v="296"/>
    <x v="5"/>
    <x v="0"/>
    <n v="140"/>
    <n v="86"/>
    <x v="346"/>
    <x v="372"/>
    <n v="15.6"/>
    <x v="12"/>
    <x v="2"/>
  </r>
  <r>
    <x v="297"/>
    <x v="5"/>
    <x v="0"/>
    <n v="151"/>
    <n v="90"/>
    <x v="60"/>
    <x v="373"/>
    <n v="17.3"/>
    <x v="12"/>
    <x v="2"/>
  </r>
  <r>
    <x v="298"/>
    <x v="13"/>
    <x v="0"/>
    <n v="119"/>
    <n v="82"/>
    <x v="89"/>
    <x v="374"/>
    <n v="19.399999999999999"/>
    <x v="12"/>
    <x v="2"/>
  </r>
  <r>
    <x v="299"/>
    <x v="3"/>
    <x v="0"/>
    <n v="120"/>
    <n v="79"/>
    <x v="347"/>
    <x v="375"/>
    <n v="18.600000000000001"/>
    <x v="12"/>
    <x v="2"/>
  </r>
  <r>
    <x v="300"/>
    <x v="72"/>
    <x v="0"/>
    <n v="105"/>
    <n v="63"/>
    <x v="212"/>
    <x v="376"/>
    <n v="14.7"/>
    <x v="12"/>
    <x v="2"/>
  </r>
  <r>
    <x v="301"/>
    <x v="9"/>
    <x v="0"/>
    <n v="151"/>
    <m/>
    <x v="348"/>
    <x v="61"/>
    <n v="20.5"/>
    <x v="12"/>
    <x v="2"/>
  </r>
  <r>
    <x v="302"/>
    <x v="7"/>
    <x v="1"/>
    <n v="232"/>
    <n v="112"/>
    <x v="349"/>
    <x v="377"/>
    <n v="14.7"/>
    <x v="12"/>
    <x v="2"/>
  </r>
  <r>
    <x v="303"/>
    <x v="1"/>
    <x v="1"/>
    <n v="181"/>
    <n v="110"/>
    <x v="30"/>
    <x v="378"/>
    <n v="16.399999999999999"/>
    <x v="12"/>
    <x v="2"/>
  </r>
  <r>
    <x v="304"/>
    <x v="72"/>
    <x v="1"/>
    <n v="262"/>
    <n v="85"/>
    <x v="350"/>
    <x v="379"/>
    <n v="17"/>
    <x v="1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B89E37-10AC-4313-AA0F-E5B4F4DF1F6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3:B46" firstHeaderRow="1" firstDataRow="1" firstDataCol="1"/>
  <pivotFields count="9">
    <pivotField showAll="0">
      <items count="306">
        <item x="85"/>
        <item x="9"/>
        <item x="56"/>
        <item x="192"/>
        <item x="196"/>
        <item x="284"/>
        <item x="215"/>
        <item x="24"/>
        <item x="16"/>
        <item x="39"/>
        <item x="34"/>
        <item x="62"/>
        <item x="134"/>
        <item x="147"/>
        <item x="3"/>
        <item x="225"/>
        <item x="21"/>
        <item x="101"/>
        <item x="239"/>
        <item x="206"/>
        <item x="246"/>
        <item x="113"/>
        <item x="23"/>
        <item x="179"/>
        <item x="125"/>
        <item x="75"/>
        <item x="293"/>
        <item x="111"/>
        <item x="193"/>
        <item x="84"/>
        <item x="13"/>
        <item x="58"/>
        <item x="157"/>
        <item x="197"/>
        <item x="128"/>
        <item x="165"/>
        <item x="1"/>
        <item x="232"/>
        <item x="227"/>
        <item x="152"/>
        <item x="138"/>
        <item x="126"/>
        <item x="123"/>
        <item x="299"/>
        <item x="80"/>
        <item x="278"/>
        <item x="280"/>
        <item x="279"/>
        <item x="63"/>
        <item x="0"/>
        <item x="109"/>
        <item x="141"/>
        <item x="233"/>
        <item x="164"/>
        <item x="6"/>
        <item x="76"/>
        <item x="220"/>
        <item x="12"/>
        <item x="169"/>
        <item x="97"/>
        <item x="129"/>
        <item x="107"/>
        <item x="87"/>
        <item x="54"/>
        <item x="40"/>
        <item x="29"/>
        <item x="142"/>
        <item x="153"/>
        <item x="26"/>
        <item x="304"/>
        <item x="170"/>
        <item x="295"/>
        <item x="277"/>
        <item x="221"/>
        <item x="83"/>
        <item x="60"/>
        <item x="48"/>
        <item x="270"/>
        <item x="205"/>
        <item x="230"/>
        <item x="261"/>
        <item x="251"/>
        <item x="237"/>
        <item x="292"/>
        <item x="200"/>
        <item x="71"/>
        <item x="242"/>
        <item x="93"/>
        <item x="115"/>
        <item x="178"/>
        <item x="274"/>
        <item x="108"/>
        <item x="148"/>
        <item x="184"/>
        <item x="160"/>
        <item x="18"/>
        <item x="282"/>
        <item x="257"/>
        <item x="195"/>
        <item x="216"/>
        <item x="144"/>
        <item x="10"/>
        <item x="298"/>
        <item x="116"/>
        <item x="73"/>
        <item x="52"/>
        <item x="224"/>
        <item x="176"/>
        <item x="140"/>
        <item x="78"/>
        <item x="112"/>
        <item x="155"/>
        <item x="27"/>
        <item x="103"/>
        <item x="186"/>
        <item x="199"/>
        <item x="36"/>
        <item x="162"/>
        <item x="201"/>
        <item x="302"/>
        <item x="219"/>
        <item x="96"/>
        <item x="117"/>
        <item x="46"/>
        <item x="99"/>
        <item x="137"/>
        <item x="231"/>
        <item x="120"/>
        <item x="89"/>
        <item x="37"/>
        <item x="266"/>
        <item x="265"/>
        <item x="154"/>
        <item x="25"/>
        <item x="238"/>
        <item x="189"/>
        <item x="190"/>
        <item x="214"/>
        <item x="283"/>
        <item x="182"/>
        <item x="198"/>
        <item x="5"/>
        <item x="77"/>
        <item x="64"/>
        <item x="167"/>
        <item x="145"/>
        <item x="276"/>
        <item x="296"/>
        <item x="81"/>
        <item x="217"/>
        <item x="17"/>
        <item x="42"/>
        <item x="254"/>
        <item x="300"/>
        <item x="130"/>
        <item x="175"/>
        <item x="31"/>
        <item x="70"/>
        <item x="55"/>
        <item x="303"/>
        <item x="171"/>
        <item x="4"/>
        <item x="33"/>
        <item x="28"/>
        <item x="255"/>
        <item x="156"/>
        <item x="211"/>
        <item x="118"/>
        <item x="291"/>
        <item x="260"/>
        <item x="248"/>
        <item x="136"/>
        <item x="269"/>
        <item x="223"/>
        <item x="94"/>
        <item x="241"/>
        <item x="243"/>
        <item x="263"/>
        <item x="287"/>
        <item x="286"/>
        <item x="183"/>
        <item x="61"/>
        <item x="180"/>
        <item x="252"/>
        <item x="226"/>
        <item x="247"/>
        <item x="151"/>
        <item x="43"/>
        <item x="95"/>
        <item x="163"/>
        <item x="218"/>
        <item x="289"/>
        <item x="57"/>
        <item x="79"/>
        <item x="122"/>
        <item x="187"/>
        <item x="194"/>
        <item x="213"/>
        <item x="290"/>
        <item x="294"/>
        <item x="275"/>
        <item x="185"/>
        <item x="161"/>
        <item x="59"/>
        <item x="106"/>
        <item x="234"/>
        <item x="204"/>
        <item x="91"/>
        <item x="44"/>
        <item x="100"/>
        <item x="45"/>
        <item x="20"/>
        <item x="68"/>
        <item x="271"/>
        <item x="209"/>
        <item x="159"/>
        <item x="259"/>
        <item x="50"/>
        <item x="11"/>
        <item x="90"/>
        <item x="15"/>
        <item x="127"/>
        <item x="82"/>
        <item x="7"/>
        <item x="124"/>
        <item x="228"/>
        <item x="264"/>
        <item x="288"/>
        <item x="229"/>
        <item x="256"/>
        <item x="203"/>
        <item x="2"/>
        <item x="32"/>
        <item x="65"/>
        <item x="110"/>
        <item x="86"/>
        <item x="121"/>
        <item x="191"/>
        <item x="166"/>
        <item x="150"/>
        <item x="132"/>
        <item x="8"/>
        <item x="35"/>
        <item x="41"/>
        <item x="98"/>
        <item x="168"/>
        <item x="281"/>
        <item x="212"/>
        <item x="235"/>
        <item x="188"/>
        <item x="38"/>
        <item x="173"/>
        <item x="146"/>
        <item x="69"/>
        <item x="139"/>
        <item x="268"/>
        <item x="158"/>
        <item x="249"/>
        <item x="22"/>
        <item x="208"/>
        <item x="104"/>
        <item x="119"/>
        <item x="177"/>
        <item x="92"/>
        <item x="297"/>
        <item x="202"/>
        <item x="131"/>
        <item x="47"/>
        <item x="74"/>
        <item x="174"/>
        <item x="236"/>
        <item x="30"/>
        <item x="51"/>
        <item x="240"/>
        <item x="14"/>
        <item x="273"/>
        <item x="105"/>
        <item x="258"/>
        <item x="262"/>
        <item x="72"/>
        <item x="253"/>
        <item x="250"/>
        <item x="19"/>
        <item x="67"/>
        <item x="114"/>
        <item x="267"/>
        <item x="49"/>
        <item x="133"/>
        <item x="172"/>
        <item x="181"/>
        <item x="285"/>
        <item x="210"/>
        <item x="88"/>
        <item x="53"/>
        <item x="102"/>
        <item x="66"/>
        <item x="135"/>
        <item x="149"/>
        <item x="207"/>
        <item x="272"/>
        <item x="245"/>
        <item x="301"/>
        <item x="143"/>
        <item x="244"/>
        <item x="222"/>
        <item t="default"/>
      </items>
    </pivotField>
    <pivotField dataField="1" showAll="0"/>
    <pivotField showAll="0">
      <items count="6">
        <item x="3"/>
        <item x="1"/>
        <item x="4"/>
        <item x="2"/>
        <item x="0"/>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axis="axisRow" showAll="0">
      <items count="4">
        <item x="2"/>
        <item x="1"/>
        <item x="0"/>
        <item t="default"/>
      </items>
    </pivotField>
  </pivotFields>
  <rowFields count="2">
    <field x="8"/>
    <field x="7"/>
  </rowFields>
  <rowItems count="43">
    <i>
      <x/>
    </i>
    <i r="1">
      <x/>
    </i>
    <i r="1">
      <x v="1"/>
    </i>
    <i r="1">
      <x v="2"/>
    </i>
    <i r="1">
      <x v="3"/>
    </i>
    <i r="1">
      <x v="4"/>
    </i>
    <i r="1">
      <x v="5"/>
    </i>
    <i r="1">
      <x v="6"/>
    </i>
    <i r="1">
      <x v="7"/>
    </i>
    <i r="1">
      <x v="8"/>
    </i>
    <i r="1">
      <x v="9"/>
    </i>
    <i r="1">
      <x v="10"/>
    </i>
    <i r="1">
      <x v="11"/>
    </i>
    <i r="1">
      <x v="12"/>
    </i>
    <i>
      <x v="1"/>
    </i>
    <i r="1">
      <x/>
    </i>
    <i r="1">
      <x v="1"/>
    </i>
    <i r="1">
      <x v="2"/>
    </i>
    <i r="1">
      <x v="3"/>
    </i>
    <i r="1">
      <x v="4"/>
    </i>
    <i r="1">
      <x v="5"/>
    </i>
    <i r="1">
      <x v="6"/>
    </i>
    <i r="1">
      <x v="7"/>
    </i>
    <i r="1">
      <x v="8"/>
    </i>
    <i r="1">
      <x v="9"/>
    </i>
    <i r="1">
      <x v="10"/>
    </i>
    <i r="1">
      <x v="11"/>
    </i>
    <i r="1">
      <x v="12"/>
    </i>
    <i>
      <x v="2"/>
    </i>
    <i r="1">
      <x/>
    </i>
    <i r="1">
      <x v="1"/>
    </i>
    <i r="1">
      <x v="2"/>
    </i>
    <i r="1">
      <x v="3"/>
    </i>
    <i r="1">
      <x v="4"/>
    </i>
    <i r="1">
      <x v="5"/>
    </i>
    <i r="1">
      <x v="6"/>
    </i>
    <i r="1">
      <x v="7"/>
    </i>
    <i r="1">
      <x v="8"/>
    </i>
    <i r="1">
      <x v="9"/>
    </i>
    <i r="1">
      <x v="10"/>
    </i>
    <i r="1">
      <x v="11"/>
    </i>
    <i r="1">
      <x v="12"/>
    </i>
    <i t="grand">
      <x/>
    </i>
  </rowItems>
  <colItems count="1">
    <i/>
  </colItems>
  <dataFields count="1">
    <dataField name="Average of mpg" fld="1" subtotal="average" baseField="8" baseItem="0"/>
  </dataField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1">
    <chartFormat chart="3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87284B-FDBB-4663-8BB1-A4AB224B6622}" name="PivotTable2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W21:Z35" firstHeaderRow="1" firstDataRow="2" firstDataCol="1"/>
  <pivotFields count="6">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x="11"/>
        <item x="12"/>
      </items>
      <extLst>
        <ext xmlns:x14="http://schemas.microsoft.com/office/spreadsheetml/2009/9/main" uri="{2946ED86-A175-432a-8AC1-64E0C546D7DE}">
          <x14:pivotField fillDownLabels="1"/>
        </ext>
      </extLst>
    </pivotField>
    <pivotField axis="axisCol" dataField="1" compact="0" outline="0" showAll="0" defaultSubtotal="0">
      <items count="3">
        <item x="0"/>
        <item x="1"/>
        <item x="2"/>
      </items>
      <extLst>
        <ext xmlns:x14="http://schemas.microsoft.com/office/spreadsheetml/2009/9/main" uri="{2946ED86-A175-432a-8AC1-64E0C546D7DE}">
          <x14:pivotField fillDownLabels="1"/>
        </ext>
      </extLst>
    </pivotField>
  </pivotFields>
  <rowFields count="1">
    <field x="4"/>
  </rowFields>
  <rowItems count="13">
    <i>
      <x/>
    </i>
    <i>
      <x v="1"/>
    </i>
    <i>
      <x v="2"/>
    </i>
    <i>
      <x v="3"/>
    </i>
    <i>
      <x v="4"/>
    </i>
    <i>
      <x v="5"/>
    </i>
    <i>
      <x v="6"/>
    </i>
    <i>
      <x v="7"/>
    </i>
    <i>
      <x v="8"/>
    </i>
    <i>
      <x v="9"/>
    </i>
    <i>
      <x v="10"/>
    </i>
    <i>
      <x v="11"/>
    </i>
    <i>
      <x v="12"/>
    </i>
  </rowItems>
  <colFields count="1">
    <field x="5"/>
  </colFields>
  <colItems count="3">
    <i>
      <x/>
    </i>
    <i>
      <x v="1"/>
    </i>
    <i>
      <x v="2"/>
    </i>
  </colItems>
  <dataFields count="1">
    <dataField name="Count of Performance Tier" fld="5" subtotal="count" baseField="0" baseItem="0"/>
  </dataFields>
  <chartFormats count="3">
    <chartFormat chart="4" format="3" series="1">
      <pivotArea type="data" outline="0" fieldPosition="0">
        <references count="1">
          <reference field="4294967294" count="1" selected="0">
            <x v="0"/>
          </reference>
        </references>
      </pivotArea>
    </chartFormat>
    <chartFormat chart="4" format="6" series="1">
      <pivotArea type="data" outline="0" fieldPosition="0">
        <references count="2">
          <reference field="4294967294" count="1" selected="0">
            <x v="0"/>
          </reference>
          <reference field="5" count="1" selected="0">
            <x v="2"/>
          </reference>
        </references>
      </pivotArea>
    </chartFormat>
    <chartFormat chart="4" format="7"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4D76E1-F016-4DB2-9628-39135C1A33CC}"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36:I37" firstHeaderRow="1" firstDataRow="1" firstDataCol="0"/>
  <pivotFields count="10">
    <pivotField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showAll="0">
      <items count="130">
        <item x="79"/>
        <item x="77"/>
        <item x="76"/>
        <item x="80"/>
        <item x="81"/>
        <item x="74"/>
        <item x="87"/>
        <item x="75"/>
        <item x="88"/>
        <item x="78"/>
        <item x="24"/>
        <item x="15"/>
        <item x="112"/>
        <item x="23"/>
        <item x="85"/>
        <item x="114"/>
        <item x="95"/>
        <item x="6"/>
        <item x="96"/>
        <item x="113"/>
        <item x="84"/>
        <item x="98"/>
        <item x="10"/>
        <item x="120"/>
        <item x="99"/>
        <item x="101"/>
        <item x="111"/>
        <item x="103"/>
        <item x="11"/>
        <item x="100"/>
        <item x="22"/>
        <item x="90"/>
        <item x="97"/>
        <item x="102"/>
        <item x="8"/>
        <item x="45"/>
        <item x="16"/>
        <item x="19"/>
        <item x="7"/>
        <item x="107"/>
        <item x="128"/>
        <item x="86"/>
        <item x="9"/>
        <item x="91"/>
        <item x="127"/>
        <item x="119"/>
        <item x="52"/>
        <item x="94"/>
        <item x="44"/>
        <item x="2"/>
        <item x="71"/>
        <item x="118"/>
        <item x="83"/>
        <item x="1"/>
        <item x="93"/>
        <item x="28"/>
        <item x="89"/>
        <item x="121"/>
        <item x="0"/>
        <item x="117"/>
        <item x="82"/>
        <item x="123"/>
        <item x="110"/>
        <item x="5"/>
        <item x="27"/>
        <item x="108"/>
        <item x="46"/>
        <item x="115"/>
        <item x="3"/>
        <item x="38"/>
        <item x="105"/>
        <item x="109"/>
        <item x="12"/>
        <item x="14"/>
        <item x="32"/>
        <item x="126"/>
        <item x="4"/>
        <item x="17"/>
        <item x="40"/>
        <item x="92"/>
        <item x="13"/>
        <item x="62"/>
        <item x="20"/>
        <item x="70"/>
        <item x="51"/>
        <item x="25"/>
        <item x="42"/>
        <item x="116"/>
        <item x="55"/>
        <item x="68"/>
        <item x="57"/>
        <item x="63"/>
        <item x="49"/>
        <item x="64"/>
        <item x="37"/>
        <item x="43"/>
        <item x="66"/>
        <item x="58"/>
        <item x="73"/>
        <item x="50"/>
        <item x="106"/>
        <item x="29"/>
        <item x="124"/>
        <item x="39"/>
        <item x="125"/>
        <item x="31"/>
        <item x="65"/>
        <item x="104"/>
        <item x="18"/>
        <item x="48"/>
        <item x="36"/>
        <item x="53"/>
        <item x="56"/>
        <item x="26"/>
        <item x="69"/>
        <item x="72"/>
        <item x="61"/>
        <item x="122"/>
        <item x="67"/>
        <item x="47"/>
        <item x="59"/>
        <item x="35"/>
        <item x="30"/>
        <item x="21"/>
        <item x="34"/>
        <item x="41"/>
        <item x="33"/>
        <item x="54"/>
        <item x="60"/>
        <item t="default"/>
      </items>
    </pivotField>
    <pivotField showAll="0">
      <items count="6">
        <item x="3"/>
        <item x="0"/>
        <item x="2"/>
        <item x="1"/>
        <item x="4"/>
        <item t="default"/>
      </items>
    </pivotField>
    <pivotField showAll="0"/>
    <pivotField dataField="1" showAll="0"/>
    <pivotField showAll="0">
      <items count="352">
        <item x="66"/>
        <item x="81"/>
        <item x="115"/>
        <item x="113"/>
        <item x="68"/>
        <item x="86"/>
        <item x="97"/>
        <item x="33"/>
        <item x="8"/>
        <item x="4"/>
        <item x="80"/>
        <item x="56"/>
        <item x="103"/>
        <item x="19"/>
        <item x="329"/>
        <item x="299"/>
        <item x="49"/>
        <item x="28"/>
        <item x="41"/>
        <item x="90"/>
        <item x="20"/>
        <item x="151"/>
        <item x="23"/>
        <item x="123"/>
        <item x="109"/>
        <item x="122"/>
        <item x="99"/>
        <item x="64"/>
        <item x="45"/>
        <item x="44"/>
        <item x="125"/>
        <item x="25"/>
        <item x="82"/>
        <item x="105"/>
        <item x="100"/>
        <item x="126"/>
        <item x="249"/>
        <item x="91"/>
        <item x="153"/>
        <item x="117"/>
        <item x="269"/>
        <item x="6"/>
        <item x="96"/>
        <item x="7"/>
        <item x="266"/>
        <item x="57"/>
        <item x="70"/>
        <item x="22"/>
        <item x="108"/>
        <item x="322"/>
        <item x="5"/>
        <item x="74"/>
        <item x="212"/>
        <item x="170"/>
        <item x="50"/>
        <item x="98"/>
        <item x="54"/>
        <item x="107"/>
        <item x="302"/>
        <item x="87"/>
        <item x="18"/>
        <item x="120"/>
        <item x="171"/>
        <item x="85"/>
        <item x="53"/>
        <item x="10"/>
        <item x="42"/>
        <item x="303"/>
        <item x="34"/>
        <item x="124"/>
        <item x="114"/>
        <item x="331"/>
        <item x="21"/>
        <item x="35"/>
        <item x="31"/>
        <item x="169"/>
        <item x="67"/>
        <item x="283"/>
        <item x="0"/>
        <item x="127"/>
        <item x="26"/>
        <item x="13"/>
        <item x="247"/>
        <item x="150"/>
        <item x="15"/>
        <item x="71"/>
        <item x="76"/>
        <item x="72"/>
        <item x="106"/>
        <item x="337"/>
        <item x="24"/>
        <item x="186"/>
        <item x="62"/>
        <item x="69"/>
        <item x="59"/>
        <item x="116"/>
        <item x="339"/>
        <item x="65"/>
        <item x="1"/>
        <item x="75"/>
        <item x="332"/>
        <item x="327"/>
        <item x="79"/>
        <item x="172"/>
        <item x="187"/>
        <item x="93"/>
        <item x="152"/>
        <item x="101"/>
        <item x="2"/>
        <item x="102"/>
        <item x="213"/>
        <item x="36"/>
        <item x="188"/>
        <item x="78"/>
        <item x="330"/>
        <item x="55"/>
        <item x="73"/>
        <item x="11"/>
        <item x="94"/>
        <item x="342"/>
        <item x="110"/>
        <item x="83"/>
        <item x="300"/>
        <item x="95"/>
        <item x="248"/>
        <item x="246"/>
        <item x="343"/>
        <item x="17"/>
        <item x="338"/>
        <item x="131"/>
        <item x="227"/>
        <item x="305"/>
        <item x="40"/>
        <item x="340"/>
        <item x="112"/>
        <item x="328"/>
        <item x="347"/>
        <item x="154"/>
        <item x="118"/>
        <item x="226"/>
        <item x="341"/>
        <item x="129"/>
        <item x="14"/>
        <item x="121"/>
        <item x="301"/>
        <item x="27"/>
        <item x="3"/>
        <item x="321"/>
        <item x="29"/>
        <item x="306"/>
        <item x="84"/>
        <item x="104"/>
        <item x="89"/>
        <item x="333"/>
        <item x="344"/>
        <item x="268"/>
        <item x="282"/>
        <item x="267"/>
        <item x="128"/>
        <item x="189"/>
        <item x="346"/>
        <item x="43"/>
        <item x="320"/>
        <item x="77"/>
        <item x="92"/>
        <item x="46"/>
        <item x="130"/>
        <item x="349"/>
        <item x="284"/>
        <item x="345"/>
        <item x="16"/>
        <item x="323"/>
        <item x="220"/>
        <item x="304"/>
        <item x="119"/>
        <item x="214"/>
        <item x="191"/>
        <item x="325"/>
        <item x="111"/>
        <item x="229"/>
        <item x="88"/>
        <item x="9"/>
        <item x="30"/>
        <item x="60"/>
        <item x="32"/>
        <item x="155"/>
        <item x="291"/>
        <item x="12"/>
        <item x="230"/>
        <item x="309"/>
        <item x="324"/>
        <item x="256"/>
        <item x="350"/>
        <item x="193"/>
        <item x="348"/>
        <item x="228"/>
        <item x="335"/>
        <item x="293"/>
        <item x="254"/>
        <item x="132"/>
        <item x="215"/>
        <item x="190"/>
        <item x="160"/>
        <item x="47"/>
        <item x="37"/>
        <item x="288"/>
        <item x="238"/>
        <item x="63"/>
        <item x="240"/>
        <item x="51"/>
        <item x="253"/>
        <item x="294"/>
        <item x="292"/>
        <item x="235"/>
        <item x="242"/>
        <item x="61"/>
        <item x="251"/>
        <item x="307"/>
        <item x="58"/>
        <item x="233"/>
        <item x="310"/>
        <item x="38"/>
        <item x="192"/>
        <item x="157"/>
        <item x="158"/>
        <item x="161"/>
        <item x="159"/>
        <item x="217"/>
        <item x="250"/>
        <item x="308"/>
        <item x="298"/>
        <item x="286"/>
        <item x="326"/>
        <item x="199"/>
        <item x="48"/>
        <item x="334"/>
        <item x="319"/>
        <item x="271"/>
        <item x="290"/>
        <item x="239"/>
        <item x="144"/>
        <item x="145"/>
        <item x="156"/>
        <item x="285"/>
        <item x="147"/>
        <item x="231"/>
        <item x="336"/>
        <item x="149"/>
        <item x="270"/>
        <item x="272"/>
        <item x="52"/>
        <item x="289"/>
        <item x="138"/>
        <item x="295"/>
        <item x="257"/>
        <item x="315"/>
        <item x="143"/>
        <item x="218"/>
        <item x="287"/>
        <item x="273"/>
        <item x="216"/>
        <item x="252"/>
        <item x="255"/>
        <item x="195"/>
        <item x="175"/>
        <item x="142"/>
        <item x="316"/>
        <item x="232"/>
        <item x="296"/>
        <item x="259"/>
        <item x="148"/>
        <item x="203"/>
        <item x="219"/>
        <item x="237"/>
        <item x="39"/>
        <item x="196"/>
        <item x="312"/>
        <item x="317"/>
        <item x="136"/>
        <item x="264"/>
        <item x="277"/>
        <item x="178"/>
        <item x="236"/>
        <item x="318"/>
        <item x="234"/>
        <item x="260"/>
        <item x="314"/>
        <item x="265"/>
        <item x="205"/>
        <item x="210"/>
        <item x="313"/>
        <item x="262"/>
        <item x="281"/>
        <item x="180"/>
        <item x="297"/>
        <item x="207"/>
        <item x="165"/>
        <item x="185"/>
        <item x="200"/>
        <item x="179"/>
        <item x="181"/>
        <item x="278"/>
        <item x="222"/>
        <item x="164"/>
        <item x="276"/>
        <item x="263"/>
        <item x="162"/>
        <item x="261"/>
        <item x="275"/>
        <item x="208"/>
        <item x="221"/>
        <item x="177"/>
        <item x="194"/>
        <item x="184"/>
        <item x="280"/>
        <item x="135"/>
        <item x="274"/>
        <item x="279"/>
        <item x="141"/>
        <item x="134"/>
        <item x="311"/>
        <item x="206"/>
        <item x="140"/>
        <item x="258"/>
        <item x="137"/>
        <item x="176"/>
        <item x="174"/>
        <item x="133"/>
        <item x="244"/>
        <item x="182"/>
        <item x="223"/>
        <item x="163"/>
        <item x="243"/>
        <item x="202"/>
        <item x="183"/>
        <item x="139"/>
        <item x="173"/>
        <item x="225"/>
        <item x="204"/>
        <item x="245"/>
        <item x="241"/>
        <item x="224"/>
        <item x="146"/>
        <item x="198"/>
        <item x="167"/>
        <item x="209"/>
        <item x="197"/>
        <item x="201"/>
        <item x="166"/>
        <item x="211"/>
        <item x="168"/>
        <item t="default"/>
      </items>
    </pivotField>
    <pivotField showAll="0">
      <items count="381">
        <item x="61"/>
        <item x="60"/>
        <item x="59"/>
        <item x="253"/>
        <item x="53"/>
        <item x="272"/>
        <item x="52"/>
        <item x="62"/>
        <item x="252"/>
        <item x="58"/>
        <item x="20"/>
        <item x="13"/>
        <item x="65"/>
        <item x="46"/>
        <item x="67"/>
        <item x="360"/>
        <item x="64"/>
        <item x="4"/>
        <item x="251"/>
        <item x="264"/>
        <item x="108"/>
        <item x="19"/>
        <item x="342"/>
        <item x="234"/>
        <item x="348"/>
        <item x="173"/>
        <item x="271"/>
        <item x="38"/>
        <item x="250"/>
        <item x="298"/>
        <item x="356"/>
        <item x="270"/>
        <item x="290"/>
        <item x="333"/>
        <item x="314"/>
        <item x="263"/>
        <item x="289"/>
        <item x="249"/>
        <item x="172"/>
        <item x="313"/>
        <item x="262"/>
        <item x="130"/>
        <item x="248"/>
        <item x="361"/>
        <item x="379"/>
        <item x="332"/>
        <item x="355"/>
        <item x="312"/>
        <item x="359"/>
        <item x="233"/>
        <item x="247"/>
        <item x="207"/>
        <item x="311"/>
        <item x="269"/>
        <item x="12"/>
        <item x="246"/>
        <item x="120"/>
        <item x="91"/>
        <item x="376"/>
        <item x="310"/>
        <item x="268"/>
        <item x="32"/>
        <item x="304"/>
        <item x="165"/>
        <item x="327"/>
        <item x="347"/>
        <item x="232"/>
        <item x="200"/>
        <item x="226"/>
        <item x="171"/>
        <item x="241"/>
        <item x="375"/>
        <item x="309"/>
        <item x="374"/>
        <item x="267"/>
        <item x="239"/>
        <item x="129"/>
        <item x="11"/>
        <item x="297"/>
        <item x="231"/>
        <item x="281"/>
        <item x="245"/>
        <item x="308"/>
        <item x="170"/>
        <item x="326"/>
        <item x="87"/>
        <item x="169"/>
        <item x="119"/>
        <item x="206"/>
        <item x="373"/>
        <item x="168"/>
        <item x="230"/>
        <item x="288"/>
        <item x="346"/>
        <item x="286"/>
        <item x="118"/>
        <item x="372"/>
        <item x="266"/>
        <item x="307"/>
        <item x="139"/>
        <item x="117"/>
        <item x="287"/>
        <item x="265"/>
        <item x="39"/>
        <item x="116"/>
        <item x="240"/>
        <item x="10"/>
        <item x="86"/>
        <item x="303"/>
        <item x="198"/>
        <item x="259"/>
        <item x="43"/>
        <item x="354"/>
        <item x="325"/>
        <item x="107"/>
        <item x="353"/>
        <item x="128"/>
        <item x="238"/>
        <item x="31"/>
        <item x="341"/>
        <item x="371"/>
        <item x="285"/>
        <item x="110"/>
        <item x="115"/>
        <item x="358"/>
        <item x="284"/>
        <item x="302"/>
        <item x="37"/>
        <item x="51"/>
        <item x="127"/>
        <item x="244"/>
        <item x="324"/>
        <item x="3"/>
        <item x="197"/>
        <item x="228"/>
        <item x="258"/>
        <item x="320"/>
        <item x="205"/>
        <item x="8"/>
        <item x="331"/>
        <item x="143"/>
        <item x="370"/>
        <item x="109"/>
        <item x="369"/>
        <item x="368"/>
        <item x="345"/>
        <item x="126"/>
        <item x="99"/>
        <item x="114"/>
        <item x="280"/>
        <item x="98"/>
        <item x="367"/>
        <item x="30"/>
        <item x="106"/>
        <item x="257"/>
        <item x="26"/>
        <item x="25"/>
        <item x="142"/>
        <item x="138"/>
        <item x="137"/>
        <item x="279"/>
        <item x="225"/>
        <item x="57"/>
        <item x="344"/>
        <item x="301"/>
        <item x="204"/>
        <item x="237"/>
        <item x="323"/>
        <item x="352"/>
        <item x="7"/>
        <item x="97"/>
        <item x="366"/>
        <item x="63"/>
        <item x="236"/>
        <item x="105"/>
        <item x="340"/>
        <item x="224"/>
        <item x="24"/>
        <item x="125"/>
        <item x="203"/>
        <item x="141"/>
        <item x="136"/>
        <item x="223"/>
        <item x="180"/>
        <item x="124"/>
        <item x="135"/>
        <item x="23"/>
        <item x="351"/>
        <item x="256"/>
        <item x="123"/>
        <item x="319"/>
        <item x="243"/>
        <item x="85"/>
        <item x="296"/>
        <item x="196"/>
        <item x="100"/>
        <item x="229"/>
        <item x="134"/>
        <item x="90"/>
        <item x="339"/>
        <item x="338"/>
        <item x="18"/>
        <item x="93"/>
        <item x="337"/>
        <item x="36"/>
        <item x="140"/>
        <item x="295"/>
        <item x="336"/>
        <item x="261"/>
        <item x="350"/>
        <item x="92"/>
        <item x="306"/>
        <item x="56"/>
        <item x="322"/>
        <item x="349"/>
        <item x="235"/>
        <item x="17"/>
        <item x="335"/>
        <item x="29"/>
        <item x="227"/>
        <item x="222"/>
        <item x="84"/>
        <item x="330"/>
        <item x="365"/>
        <item x="55"/>
        <item x="221"/>
        <item x="89"/>
        <item x="334"/>
        <item x="22"/>
        <item x="364"/>
        <item x="42"/>
        <item x="54"/>
        <item x="45"/>
        <item x="277"/>
        <item x="260"/>
        <item x="278"/>
        <item x="164"/>
        <item x="179"/>
        <item x="202"/>
        <item x="195"/>
        <item x="185"/>
        <item x="96"/>
        <item x="133"/>
        <item x="276"/>
        <item x="28"/>
        <item x="242"/>
        <item x="220"/>
        <item x="113"/>
        <item x="194"/>
        <item x="178"/>
        <item x="219"/>
        <item x="47"/>
        <item x="255"/>
        <item x="35"/>
        <item x="218"/>
        <item x="363"/>
        <item x="177"/>
        <item x="72"/>
        <item x="300"/>
        <item x="362"/>
        <item x="193"/>
        <item x="199"/>
        <item x="6"/>
        <item x="176"/>
        <item x="94"/>
        <item x="50"/>
        <item x="184"/>
        <item x="2"/>
        <item x="192"/>
        <item x="161"/>
        <item x="104"/>
        <item x="283"/>
        <item x="167"/>
        <item x="378"/>
        <item x="294"/>
        <item x="66"/>
        <item x="183"/>
        <item x="21"/>
        <item x="318"/>
        <item x="343"/>
        <item x="182"/>
        <item x="34"/>
        <item x="103"/>
        <item x="112"/>
        <item x="166"/>
        <item x="275"/>
        <item x="88"/>
        <item x="9"/>
        <item x="122"/>
        <item x="299"/>
        <item x="191"/>
        <item x="190"/>
        <item x="80"/>
        <item x="181"/>
        <item x="77"/>
        <item x="163"/>
        <item x="83"/>
        <item x="33"/>
        <item x="317"/>
        <item x="82"/>
        <item x="49"/>
        <item x="16"/>
        <item x="174"/>
        <item x="175"/>
        <item x="377"/>
        <item x="79"/>
        <item x="217"/>
        <item x="15"/>
        <item x="162"/>
        <item x="48"/>
        <item x="160"/>
        <item x="189"/>
        <item x="274"/>
        <item x="215"/>
        <item x="1"/>
        <item x="216"/>
        <item x="69"/>
        <item x="41"/>
        <item x="76"/>
        <item x="102"/>
        <item x="357"/>
        <item x="95"/>
        <item x="159"/>
        <item x="254"/>
        <item x="132"/>
        <item x="158"/>
        <item x="293"/>
        <item x="188"/>
        <item x="131"/>
        <item x="273"/>
        <item x="44"/>
        <item x="68"/>
        <item x="111"/>
        <item x="14"/>
        <item x="73"/>
        <item x="75"/>
        <item x="282"/>
        <item x="321"/>
        <item x="74"/>
        <item x="101"/>
        <item x="40"/>
        <item x="316"/>
        <item x="78"/>
        <item x="5"/>
        <item x="329"/>
        <item x="71"/>
        <item x="292"/>
        <item x="214"/>
        <item x="70"/>
        <item x="187"/>
        <item x="27"/>
        <item x="201"/>
        <item x="315"/>
        <item x="81"/>
        <item x="157"/>
        <item x="156"/>
        <item x="291"/>
        <item x="213"/>
        <item x="328"/>
        <item x="155"/>
        <item x="154"/>
        <item x="186"/>
        <item x="121"/>
        <item x="212"/>
        <item x="211"/>
        <item x="153"/>
        <item x="152"/>
        <item x="210"/>
        <item x="151"/>
        <item x="150"/>
        <item x="305"/>
        <item x="149"/>
        <item x="209"/>
        <item x="148"/>
        <item x="147"/>
        <item x="146"/>
        <item x="0"/>
        <item x="145"/>
        <item x="208"/>
        <item x="144"/>
        <item t="default"/>
      </items>
    </pivotField>
    <pivotField showAll="0"/>
    <pivotField showAll="0">
      <items count="14">
        <item x="0"/>
        <item x="1"/>
        <item x="2"/>
        <item x="3"/>
        <item x="4"/>
        <item x="5"/>
        <item x="6"/>
        <item x="7"/>
        <item x="8"/>
        <item x="9"/>
        <item x="10"/>
        <item x="11"/>
        <item x="12"/>
        <item t="default"/>
      </items>
    </pivotField>
    <pivotField showAll="0">
      <items count="4">
        <item x="0"/>
        <item x="1"/>
        <item x="2"/>
        <item t="default"/>
      </items>
    </pivotField>
  </pivotFields>
  <rowItems count="1">
    <i/>
  </rowItems>
  <colItems count="1">
    <i/>
  </colItems>
  <dataFields count="1">
    <dataField name="Average of horsepower" fld="4"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2D17D4-D7DA-4D87-8DD6-F7E9882BAC5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33:I34" firstHeaderRow="1" firstDataRow="1" firstDataCol="0"/>
  <pivotFields count="10">
    <pivotField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dataField="1" showAll="0">
      <items count="130">
        <item x="79"/>
        <item x="77"/>
        <item x="76"/>
        <item x="80"/>
        <item x="81"/>
        <item x="74"/>
        <item x="87"/>
        <item x="75"/>
        <item x="88"/>
        <item x="78"/>
        <item x="24"/>
        <item x="15"/>
        <item x="112"/>
        <item x="23"/>
        <item x="85"/>
        <item x="114"/>
        <item x="95"/>
        <item x="6"/>
        <item x="96"/>
        <item x="113"/>
        <item x="84"/>
        <item x="98"/>
        <item x="10"/>
        <item x="120"/>
        <item x="99"/>
        <item x="101"/>
        <item x="111"/>
        <item x="103"/>
        <item x="11"/>
        <item x="100"/>
        <item x="22"/>
        <item x="90"/>
        <item x="97"/>
        <item x="102"/>
        <item x="8"/>
        <item x="45"/>
        <item x="16"/>
        <item x="19"/>
        <item x="7"/>
        <item x="107"/>
        <item x="128"/>
        <item x="86"/>
        <item x="9"/>
        <item x="91"/>
        <item x="127"/>
        <item x="119"/>
        <item x="52"/>
        <item x="94"/>
        <item x="44"/>
        <item x="2"/>
        <item x="71"/>
        <item x="118"/>
        <item x="83"/>
        <item x="1"/>
        <item x="93"/>
        <item x="28"/>
        <item x="89"/>
        <item x="121"/>
        <item x="0"/>
        <item x="117"/>
        <item x="82"/>
        <item x="123"/>
        <item x="110"/>
        <item x="5"/>
        <item x="27"/>
        <item x="108"/>
        <item x="46"/>
        <item x="115"/>
        <item x="3"/>
        <item x="38"/>
        <item x="105"/>
        <item x="109"/>
        <item x="12"/>
        <item x="14"/>
        <item x="32"/>
        <item x="126"/>
        <item x="4"/>
        <item x="17"/>
        <item x="40"/>
        <item x="92"/>
        <item x="13"/>
        <item x="62"/>
        <item x="20"/>
        <item x="70"/>
        <item x="51"/>
        <item x="25"/>
        <item x="42"/>
        <item x="116"/>
        <item x="55"/>
        <item x="68"/>
        <item x="57"/>
        <item x="63"/>
        <item x="49"/>
        <item x="64"/>
        <item x="37"/>
        <item x="43"/>
        <item x="66"/>
        <item x="58"/>
        <item x="73"/>
        <item x="50"/>
        <item x="106"/>
        <item x="29"/>
        <item x="124"/>
        <item x="39"/>
        <item x="125"/>
        <item x="31"/>
        <item x="65"/>
        <item x="104"/>
        <item x="18"/>
        <item x="48"/>
        <item x="36"/>
        <item x="53"/>
        <item x="56"/>
        <item x="26"/>
        <item x="69"/>
        <item x="72"/>
        <item x="61"/>
        <item x="122"/>
        <item x="67"/>
        <item x="47"/>
        <item x="59"/>
        <item x="35"/>
        <item x="30"/>
        <item x="21"/>
        <item x="34"/>
        <item x="41"/>
        <item x="33"/>
        <item x="54"/>
        <item x="60"/>
        <item t="default"/>
      </items>
    </pivotField>
    <pivotField showAll="0">
      <items count="6">
        <item x="3"/>
        <item x="0"/>
        <item x="2"/>
        <item x="1"/>
        <item x="4"/>
        <item t="default"/>
      </items>
    </pivotField>
    <pivotField showAll="0"/>
    <pivotField showAll="0"/>
    <pivotField showAll="0">
      <items count="352">
        <item x="66"/>
        <item x="81"/>
        <item x="115"/>
        <item x="113"/>
        <item x="68"/>
        <item x="86"/>
        <item x="97"/>
        <item x="33"/>
        <item x="8"/>
        <item x="4"/>
        <item x="80"/>
        <item x="56"/>
        <item x="103"/>
        <item x="19"/>
        <item x="329"/>
        <item x="299"/>
        <item x="49"/>
        <item x="28"/>
        <item x="41"/>
        <item x="90"/>
        <item x="20"/>
        <item x="151"/>
        <item x="23"/>
        <item x="123"/>
        <item x="109"/>
        <item x="122"/>
        <item x="99"/>
        <item x="64"/>
        <item x="45"/>
        <item x="44"/>
        <item x="125"/>
        <item x="25"/>
        <item x="82"/>
        <item x="105"/>
        <item x="100"/>
        <item x="126"/>
        <item x="249"/>
        <item x="91"/>
        <item x="153"/>
        <item x="117"/>
        <item x="269"/>
        <item x="6"/>
        <item x="96"/>
        <item x="7"/>
        <item x="266"/>
        <item x="57"/>
        <item x="70"/>
        <item x="22"/>
        <item x="108"/>
        <item x="322"/>
        <item x="5"/>
        <item x="74"/>
        <item x="212"/>
        <item x="170"/>
        <item x="50"/>
        <item x="98"/>
        <item x="54"/>
        <item x="107"/>
        <item x="302"/>
        <item x="87"/>
        <item x="18"/>
        <item x="120"/>
        <item x="171"/>
        <item x="85"/>
        <item x="53"/>
        <item x="10"/>
        <item x="42"/>
        <item x="303"/>
        <item x="34"/>
        <item x="124"/>
        <item x="114"/>
        <item x="331"/>
        <item x="21"/>
        <item x="35"/>
        <item x="31"/>
        <item x="169"/>
        <item x="67"/>
        <item x="283"/>
        <item x="0"/>
        <item x="127"/>
        <item x="26"/>
        <item x="13"/>
        <item x="247"/>
        <item x="150"/>
        <item x="15"/>
        <item x="71"/>
        <item x="76"/>
        <item x="72"/>
        <item x="106"/>
        <item x="337"/>
        <item x="24"/>
        <item x="186"/>
        <item x="62"/>
        <item x="69"/>
        <item x="59"/>
        <item x="116"/>
        <item x="339"/>
        <item x="65"/>
        <item x="1"/>
        <item x="75"/>
        <item x="332"/>
        <item x="327"/>
        <item x="79"/>
        <item x="172"/>
        <item x="187"/>
        <item x="93"/>
        <item x="152"/>
        <item x="101"/>
        <item x="2"/>
        <item x="102"/>
        <item x="213"/>
        <item x="36"/>
        <item x="188"/>
        <item x="78"/>
        <item x="330"/>
        <item x="55"/>
        <item x="73"/>
        <item x="11"/>
        <item x="94"/>
        <item x="342"/>
        <item x="110"/>
        <item x="83"/>
        <item x="300"/>
        <item x="95"/>
        <item x="248"/>
        <item x="246"/>
        <item x="343"/>
        <item x="17"/>
        <item x="338"/>
        <item x="131"/>
        <item x="227"/>
        <item x="305"/>
        <item x="40"/>
        <item x="340"/>
        <item x="112"/>
        <item x="328"/>
        <item x="347"/>
        <item x="154"/>
        <item x="118"/>
        <item x="226"/>
        <item x="341"/>
        <item x="129"/>
        <item x="14"/>
        <item x="121"/>
        <item x="301"/>
        <item x="27"/>
        <item x="3"/>
        <item x="321"/>
        <item x="29"/>
        <item x="306"/>
        <item x="84"/>
        <item x="104"/>
        <item x="89"/>
        <item x="333"/>
        <item x="344"/>
        <item x="268"/>
        <item x="282"/>
        <item x="267"/>
        <item x="128"/>
        <item x="189"/>
        <item x="346"/>
        <item x="43"/>
        <item x="320"/>
        <item x="77"/>
        <item x="92"/>
        <item x="46"/>
        <item x="130"/>
        <item x="349"/>
        <item x="284"/>
        <item x="345"/>
        <item x="16"/>
        <item x="323"/>
        <item x="220"/>
        <item x="304"/>
        <item x="119"/>
        <item x="214"/>
        <item x="191"/>
        <item x="325"/>
        <item x="111"/>
        <item x="229"/>
        <item x="88"/>
        <item x="9"/>
        <item x="30"/>
        <item x="60"/>
        <item x="32"/>
        <item x="155"/>
        <item x="291"/>
        <item x="12"/>
        <item x="230"/>
        <item x="309"/>
        <item x="324"/>
        <item x="256"/>
        <item x="350"/>
        <item x="193"/>
        <item x="348"/>
        <item x="228"/>
        <item x="335"/>
        <item x="293"/>
        <item x="254"/>
        <item x="132"/>
        <item x="215"/>
        <item x="190"/>
        <item x="160"/>
        <item x="47"/>
        <item x="37"/>
        <item x="288"/>
        <item x="238"/>
        <item x="63"/>
        <item x="240"/>
        <item x="51"/>
        <item x="253"/>
        <item x="294"/>
        <item x="292"/>
        <item x="235"/>
        <item x="242"/>
        <item x="61"/>
        <item x="251"/>
        <item x="307"/>
        <item x="58"/>
        <item x="233"/>
        <item x="310"/>
        <item x="38"/>
        <item x="192"/>
        <item x="157"/>
        <item x="158"/>
        <item x="161"/>
        <item x="159"/>
        <item x="217"/>
        <item x="250"/>
        <item x="308"/>
        <item x="298"/>
        <item x="286"/>
        <item x="326"/>
        <item x="199"/>
        <item x="48"/>
        <item x="334"/>
        <item x="319"/>
        <item x="271"/>
        <item x="290"/>
        <item x="239"/>
        <item x="144"/>
        <item x="145"/>
        <item x="156"/>
        <item x="285"/>
        <item x="147"/>
        <item x="231"/>
        <item x="336"/>
        <item x="149"/>
        <item x="270"/>
        <item x="272"/>
        <item x="52"/>
        <item x="289"/>
        <item x="138"/>
        <item x="295"/>
        <item x="257"/>
        <item x="315"/>
        <item x="143"/>
        <item x="218"/>
        <item x="287"/>
        <item x="273"/>
        <item x="216"/>
        <item x="252"/>
        <item x="255"/>
        <item x="195"/>
        <item x="175"/>
        <item x="142"/>
        <item x="316"/>
        <item x="232"/>
        <item x="296"/>
        <item x="259"/>
        <item x="148"/>
        <item x="203"/>
        <item x="219"/>
        <item x="237"/>
        <item x="39"/>
        <item x="196"/>
        <item x="312"/>
        <item x="317"/>
        <item x="136"/>
        <item x="264"/>
        <item x="277"/>
        <item x="178"/>
        <item x="236"/>
        <item x="318"/>
        <item x="234"/>
        <item x="260"/>
        <item x="314"/>
        <item x="265"/>
        <item x="205"/>
        <item x="210"/>
        <item x="313"/>
        <item x="262"/>
        <item x="281"/>
        <item x="180"/>
        <item x="297"/>
        <item x="207"/>
        <item x="165"/>
        <item x="185"/>
        <item x="200"/>
        <item x="179"/>
        <item x="181"/>
        <item x="278"/>
        <item x="222"/>
        <item x="164"/>
        <item x="276"/>
        <item x="263"/>
        <item x="162"/>
        <item x="261"/>
        <item x="275"/>
        <item x="208"/>
        <item x="221"/>
        <item x="177"/>
        <item x="194"/>
        <item x="184"/>
        <item x="280"/>
        <item x="135"/>
        <item x="274"/>
        <item x="279"/>
        <item x="141"/>
        <item x="134"/>
        <item x="311"/>
        <item x="206"/>
        <item x="140"/>
        <item x="258"/>
        <item x="137"/>
        <item x="176"/>
        <item x="174"/>
        <item x="133"/>
        <item x="244"/>
        <item x="182"/>
        <item x="223"/>
        <item x="163"/>
        <item x="243"/>
        <item x="202"/>
        <item x="183"/>
        <item x="139"/>
        <item x="173"/>
        <item x="225"/>
        <item x="204"/>
        <item x="245"/>
        <item x="241"/>
        <item x="224"/>
        <item x="146"/>
        <item x="198"/>
        <item x="167"/>
        <item x="209"/>
        <item x="197"/>
        <item x="201"/>
        <item x="166"/>
        <item x="211"/>
        <item x="168"/>
        <item t="default"/>
      </items>
    </pivotField>
    <pivotField showAll="0">
      <items count="381">
        <item x="61"/>
        <item x="60"/>
        <item x="59"/>
        <item x="253"/>
        <item x="53"/>
        <item x="272"/>
        <item x="52"/>
        <item x="62"/>
        <item x="252"/>
        <item x="58"/>
        <item x="20"/>
        <item x="13"/>
        <item x="65"/>
        <item x="46"/>
        <item x="67"/>
        <item x="360"/>
        <item x="64"/>
        <item x="4"/>
        <item x="251"/>
        <item x="264"/>
        <item x="108"/>
        <item x="19"/>
        <item x="342"/>
        <item x="234"/>
        <item x="348"/>
        <item x="173"/>
        <item x="271"/>
        <item x="38"/>
        <item x="250"/>
        <item x="298"/>
        <item x="356"/>
        <item x="270"/>
        <item x="290"/>
        <item x="333"/>
        <item x="314"/>
        <item x="263"/>
        <item x="289"/>
        <item x="249"/>
        <item x="172"/>
        <item x="313"/>
        <item x="262"/>
        <item x="130"/>
        <item x="248"/>
        <item x="361"/>
        <item x="379"/>
        <item x="332"/>
        <item x="355"/>
        <item x="312"/>
        <item x="359"/>
        <item x="233"/>
        <item x="247"/>
        <item x="207"/>
        <item x="311"/>
        <item x="269"/>
        <item x="12"/>
        <item x="246"/>
        <item x="120"/>
        <item x="91"/>
        <item x="376"/>
        <item x="310"/>
        <item x="268"/>
        <item x="32"/>
        <item x="304"/>
        <item x="165"/>
        <item x="327"/>
        <item x="347"/>
        <item x="232"/>
        <item x="200"/>
        <item x="226"/>
        <item x="171"/>
        <item x="241"/>
        <item x="375"/>
        <item x="309"/>
        <item x="374"/>
        <item x="267"/>
        <item x="239"/>
        <item x="129"/>
        <item x="11"/>
        <item x="297"/>
        <item x="231"/>
        <item x="281"/>
        <item x="245"/>
        <item x="308"/>
        <item x="170"/>
        <item x="326"/>
        <item x="87"/>
        <item x="169"/>
        <item x="119"/>
        <item x="206"/>
        <item x="373"/>
        <item x="168"/>
        <item x="230"/>
        <item x="288"/>
        <item x="346"/>
        <item x="286"/>
        <item x="118"/>
        <item x="372"/>
        <item x="266"/>
        <item x="307"/>
        <item x="139"/>
        <item x="117"/>
        <item x="287"/>
        <item x="265"/>
        <item x="39"/>
        <item x="116"/>
        <item x="240"/>
        <item x="10"/>
        <item x="86"/>
        <item x="303"/>
        <item x="198"/>
        <item x="259"/>
        <item x="43"/>
        <item x="354"/>
        <item x="325"/>
        <item x="107"/>
        <item x="353"/>
        <item x="128"/>
        <item x="238"/>
        <item x="31"/>
        <item x="341"/>
        <item x="371"/>
        <item x="285"/>
        <item x="110"/>
        <item x="115"/>
        <item x="358"/>
        <item x="284"/>
        <item x="302"/>
        <item x="37"/>
        <item x="51"/>
        <item x="127"/>
        <item x="244"/>
        <item x="324"/>
        <item x="3"/>
        <item x="197"/>
        <item x="228"/>
        <item x="258"/>
        <item x="320"/>
        <item x="205"/>
        <item x="8"/>
        <item x="331"/>
        <item x="143"/>
        <item x="370"/>
        <item x="109"/>
        <item x="369"/>
        <item x="368"/>
        <item x="345"/>
        <item x="126"/>
        <item x="99"/>
        <item x="114"/>
        <item x="280"/>
        <item x="98"/>
        <item x="367"/>
        <item x="30"/>
        <item x="106"/>
        <item x="257"/>
        <item x="26"/>
        <item x="25"/>
        <item x="142"/>
        <item x="138"/>
        <item x="137"/>
        <item x="279"/>
        <item x="225"/>
        <item x="57"/>
        <item x="344"/>
        <item x="301"/>
        <item x="204"/>
        <item x="237"/>
        <item x="323"/>
        <item x="352"/>
        <item x="7"/>
        <item x="97"/>
        <item x="366"/>
        <item x="63"/>
        <item x="236"/>
        <item x="105"/>
        <item x="340"/>
        <item x="224"/>
        <item x="24"/>
        <item x="125"/>
        <item x="203"/>
        <item x="141"/>
        <item x="136"/>
        <item x="223"/>
        <item x="180"/>
        <item x="124"/>
        <item x="135"/>
        <item x="23"/>
        <item x="351"/>
        <item x="256"/>
        <item x="123"/>
        <item x="319"/>
        <item x="243"/>
        <item x="85"/>
        <item x="296"/>
        <item x="196"/>
        <item x="100"/>
        <item x="229"/>
        <item x="134"/>
        <item x="90"/>
        <item x="339"/>
        <item x="338"/>
        <item x="18"/>
        <item x="93"/>
        <item x="337"/>
        <item x="36"/>
        <item x="140"/>
        <item x="295"/>
        <item x="336"/>
        <item x="261"/>
        <item x="350"/>
        <item x="92"/>
        <item x="306"/>
        <item x="56"/>
        <item x="322"/>
        <item x="349"/>
        <item x="235"/>
        <item x="17"/>
        <item x="335"/>
        <item x="29"/>
        <item x="227"/>
        <item x="222"/>
        <item x="84"/>
        <item x="330"/>
        <item x="365"/>
        <item x="55"/>
        <item x="221"/>
        <item x="89"/>
        <item x="334"/>
        <item x="22"/>
        <item x="364"/>
        <item x="42"/>
        <item x="54"/>
        <item x="45"/>
        <item x="277"/>
        <item x="260"/>
        <item x="278"/>
        <item x="164"/>
        <item x="179"/>
        <item x="202"/>
        <item x="195"/>
        <item x="185"/>
        <item x="96"/>
        <item x="133"/>
        <item x="276"/>
        <item x="28"/>
        <item x="242"/>
        <item x="220"/>
        <item x="113"/>
        <item x="194"/>
        <item x="178"/>
        <item x="219"/>
        <item x="47"/>
        <item x="255"/>
        <item x="35"/>
        <item x="218"/>
        <item x="363"/>
        <item x="177"/>
        <item x="72"/>
        <item x="300"/>
        <item x="362"/>
        <item x="193"/>
        <item x="199"/>
        <item x="6"/>
        <item x="176"/>
        <item x="94"/>
        <item x="50"/>
        <item x="184"/>
        <item x="2"/>
        <item x="192"/>
        <item x="161"/>
        <item x="104"/>
        <item x="283"/>
        <item x="167"/>
        <item x="378"/>
        <item x="294"/>
        <item x="66"/>
        <item x="183"/>
        <item x="21"/>
        <item x="318"/>
        <item x="343"/>
        <item x="182"/>
        <item x="34"/>
        <item x="103"/>
        <item x="112"/>
        <item x="166"/>
        <item x="275"/>
        <item x="88"/>
        <item x="9"/>
        <item x="122"/>
        <item x="299"/>
        <item x="191"/>
        <item x="190"/>
        <item x="80"/>
        <item x="181"/>
        <item x="77"/>
        <item x="163"/>
        <item x="83"/>
        <item x="33"/>
        <item x="317"/>
        <item x="82"/>
        <item x="49"/>
        <item x="16"/>
        <item x="174"/>
        <item x="175"/>
        <item x="377"/>
        <item x="79"/>
        <item x="217"/>
        <item x="15"/>
        <item x="162"/>
        <item x="48"/>
        <item x="160"/>
        <item x="189"/>
        <item x="274"/>
        <item x="215"/>
        <item x="1"/>
        <item x="216"/>
        <item x="69"/>
        <item x="41"/>
        <item x="76"/>
        <item x="102"/>
        <item x="357"/>
        <item x="95"/>
        <item x="159"/>
        <item x="254"/>
        <item x="132"/>
        <item x="158"/>
        <item x="293"/>
        <item x="188"/>
        <item x="131"/>
        <item x="273"/>
        <item x="44"/>
        <item x="68"/>
        <item x="111"/>
        <item x="14"/>
        <item x="73"/>
        <item x="75"/>
        <item x="282"/>
        <item x="321"/>
        <item x="74"/>
        <item x="101"/>
        <item x="40"/>
        <item x="316"/>
        <item x="78"/>
        <item x="5"/>
        <item x="329"/>
        <item x="71"/>
        <item x="292"/>
        <item x="214"/>
        <item x="70"/>
        <item x="187"/>
        <item x="27"/>
        <item x="201"/>
        <item x="315"/>
        <item x="81"/>
        <item x="157"/>
        <item x="156"/>
        <item x="291"/>
        <item x="213"/>
        <item x="328"/>
        <item x="155"/>
        <item x="154"/>
        <item x="186"/>
        <item x="121"/>
        <item x="212"/>
        <item x="211"/>
        <item x="153"/>
        <item x="152"/>
        <item x="210"/>
        <item x="151"/>
        <item x="150"/>
        <item x="305"/>
        <item x="149"/>
        <item x="209"/>
        <item x="148"/>
        <item x="147"/>
        <item x="146"/>
        <item x="0"/>
        <item x="145"/>
        <item x="208"/>
        <item x="144"/>
        <item t="default"/>
      </items>
    </pivotField>
    <pivotField showAll="0"/>
    <pivotField showAll="0">
      <items count="14">
        <item x="0"/>
        <item x="1"/>
        <item x="2"/>
        <item x="3"/>
        <item x="4"/>
        <item x="5"/>
        <item x="6"/>
        <item x="7"/>
        <item x="8"/>
        <item x="9"/>
        <item x="10"/>
        <item x="11"/>
        <item x="12"/>
        <item t="default"/>
      </items>
    </pivotField>
    <pivotField showAll="0">
      <items count="4">
        <item x="0"/>
        <item x="1"/>
        <item x="2"/>
        <item t="default"/>
      </items>
    </pivotField>
  </pivotFields>
  <rowItems count="1">
    <i/>
  </rowItems>
  <colItems count="1">
    <i/>
  </colItems>
  <dataFields count="1">
    <dataField name="Average of mpg" fld="1"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E1C319-F4DC-472D-9FD4-1FFADB3228C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L8" firstHeaderRow="1" firstDataRow="1" firstDataCol="1"/>
  <pivotFields count="10">
    <pivotField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showAll="0"/>
    <pivotField axis="axisRow" showAll="0">
      <items count="6">
        <item x="3"/>
        <item x="0"/>
        <item x="2"/>
        <item x="1"/>
        <item x="4"/>
        <item t="default"/>
      </items>
    </pivotField>
    <pivotField showAll="0"/>
    <pivotField dataField="1" showAll="0"/>
    <pivotField showAll="0"/>
    <pivotField showAll="0"/>
    <pivotField showAll="0"/>
    <pivotField showAll="0">
      <items count="14">
        <item x="0"/>
        <item x="1"/>
        <item x="2"/>
        <item x="3"/>
        <item x="4"/>
        <item x="5"/>
        <item x="6"/>
        <item x="7"/>
        <item x="8"/>
        <item x="9"/>
        <item x="10"/>
        <item x="11"/>
        <item x="12"/>
        <item t="default"/>
      </items>
    </pivotField>
    <pivotField showAll="0">
      <items count="4">
        <item x="0"/>
        <item x="1"/>
        <item x="2"/>
        <item t="default"/>
      </items>
    </pivotField>
  </pivotFields>
  <rowFields count="1">
    <field x="2"/>
  </rowFields>
  <rowItems count="6">
    <i>
      <x/>
    </i>
    <i>
      <x v="1"/>
    </i>
    <i>
      <x v="2"/>
    </i>
    <i>
      <x v="3"/>
    </i>
    <i>
      <x v="4"/>
    </i>
    <i t="grand">
      <x/>
    </i>
  </rowItems>
  <colItems count="1">
    <i/>
  </colItems>
  <dataFields count="1">
    <dataField name="Average of horsepower" fld="4" subtotal="average" baseField="9"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61E75A-4A23-447E-9E81-1C00FB7CB25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E2:AF15" firstHeaderRow="1" firstDataRow="1" firstDataCol="1"/>
  <pivotFields count="10">
    <pivotField dataField="1"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showAll="0"/>
    <pivotField axis="axisRow" showAll="0">
      <items count="6">
        <item x="3"/>
        <item x="0"/>
        <item x="2"/>
        <item x="1"/>
        <item x="4"/>
        <item t="default"/>
      </items>
    </pivotField>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axis="axisRow" showAll="0">
      <items count="4">
        <item x="0"/>
        <item x="1"/>
        <item x="2"/>
        <item t="default"/>
      </items>
    </pivotField>
  </pivotFields>
  <rowFields count="2">
    <field x="9"/>
    <field x="2"/>
  </rowFields>
  <rowItems count="13">
    <i>
      <x/>
    </i>
    <i r="1">
      <x v="1"/>
    </i>
    <i r="1">
      <x v="2"/>
    </i>
    <i r="1">
      <x v="3"/>
    </i>
    <i>
      <x v="1"/>
    </i>
    <i r="1">
      <x/>
    </i>
    <i r="1">
      <x v="1"/>
    </i>
    <i r="1">
      <x v="3"/>
    </i>
    <i>
      <x v="2"/>
    </i>
    <i r="1">
      <x v="1"/>
    </i>
    <i r="1">
      <x v="3"/>
    </i>
    <i r="1">
      <x v="4"/>
    </i>
    <i t="grand">
      <x/>
    </i>
  </rowItems>
  <colItems count="1">
    <i/>
  </colItems>
  <dataFields count="1">
    <dataField name="Count of name" fld="0"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383803-79C9-4CD6-9984-D23000F847BA}"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29:I30" firstHeaderRow="1" firstDataRow="1" firstDataCol="0"/>
  <pivotFields count="10">
    <pivotField dataField="1"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showAll="0">
      <items count="130">
        <item x="79"/>
        <item x="77"/>
        <item x="76"/>
        <item x="80"/>
        <item x="81"/>
        <item x="74"/>
        <item x="87"/>
        <item x="75"/>
        <item x="88"/>
        <item x="78"/>
        <item x="24"/>
        <item x="15"/>
        <item x="112"/>
        <item x="23"/>
        <item x="85"/>
        <item x="114"/>
        <item x="95"/>
        <item x="6"/>
        <item x="96"/>
        <item x="113"/>
        <item x="84"/>
        <item x="98"/>
        <item x="10"/>
        <item x="120"/>
        <item x="99"/>
        <item x="101"/>
        <item x="111"/>
        <item x="103"/>
        <item x="11"/>
        <item x="100"/>
        <item x="22"/>
        <item x="90"/>
        <item x="97"/>
        <item x="102"/>
        <item x="8"/>
        <item x="45"/>
        <item x="16"/>
        <item x="19"/>
        <item x="7"/>
        <item x="107"/>
        <item x="128"/>
        <item x="86"/>
        <item x="9"/>
        <item x="91"/>
        <item x="127"/>
        <item x="119"/>
        <item x="52"/>
        <item x="94"/>
        <item x="44"/>
        <item x="2"/>
        <item x="71"/>
        <item x="118"/>
        <item x="83"/>
        <item x="1"/>
        <item x="93"/>
        <item x="28"/>
        <item x="89"/>
        <item x="121"/>
        <item x="0"/>
        <item x="117"/>
        <item x="82"/>
        <item x="123"/>
        <item x="110"/>
        <item x="5"/>
        <item x="27"/>
        <item x="108"/>
        <item x="46"/>
        <item x="115"/>
        <item x="3"/>
        <item x="38"/>
        <item x="105"/>
        <item x="109"/>
        <item x="12"/>
        <item x="14"/>
        <item x="32"/>
        <item x="126"/>
        <item x="4"/>
        <item x="17"/>
        <item x="40"/>
        <item x="92"/>
        <item x="13"/>
        <item x="62"/>
        <item x="20"/>
        <item x="70"/>
        <item x="51"/>
        <item x="25"/>
        <item x="42"/>
        <item x="116"/>
        <item x="55"/>
        <item x="68"/>
        <item x="57"/>
        <item x="63"/>
        <item x="49"/>
        <item x="64"/>
        <item x="37"/>
        <item x="43"/>
        <item x="66"/>
        <item x="58"/>
        <item x="73"/>
        <item x="50"/>
        <item x="106"/>
        <item x="29"/>
        <item x="124"/>
        <item x="39"/>
        <item x="125"/>
        <item x="31"/>
        <item x="65"/>
        <item x="104"/>
        <item x="18"/>
        <item x="48"/>
        <item x="36"/>
        <item x="53"/>
        <item x="56"/>
        <item x="26"/>
        <item x="69"/>
        <item x="72"/>
        <item x="61"/>
        <item x="122"/>
        <item x="67"/>
        <item x="47"/>
        <item x="59"/>
        <item x="35"/>
        <item x="30"/>
        <item x="21"/>
        <item x="34"/>
        <item x="41"/>
        <item x="33"/>
        <item x="54"/>
        <item x="60"/>
        <item t="default"/>
      </items>
    </pivotField>
    <pivotField showAll="0">
      <items count="6">
        <item x="3"/>
        <item x="0"/>
        <item x="2"/>
        <item x="1"/>
        <item x="4"/>
        <item t="default"/>
      </items>
    </pivotField>
    <pivotField showAll="0"/>
    <pivotField showAll="0"/>
    <pivotField showAll="0">
      <items count="352">
        <item x="66"/>
        <item x="81"/>
        <item x="115"/>
        <item x="113"/>
        <item x="68"/>
        <item x="86"/>
        <item x="97"/>
        <item x="33"/>
        <item x="8"/>
        <item x="4"/>
        <item x="80"/>
        <item x="56"/>
        <item x="103"/>
        <item x="19"/>
        <item x="329"/>
        <item x="299"/>
        <item x="49"/>
        <item x="28"/>
        <item x="41"/>
        <item x="90"/>
        <item x="20"/>
        <item x="151"/>
        <item x="23"/>
        <item x="123"/>
        <item x="109"/>
        <item x="122"/>
        <item x="99"/>
        <item x="64"/>
        <item x="45"/>
        <item x="44"/>
        <item x="125"/>
        <item x="25"/>
        <item x="82"/>
        <item x="105"/>
        <item x="100"/>
        <item x="126"/>
        <item x="249"/>
        <item x="91"/>
        <item x="153"/>
        <item x="117"/>
        <item x="269"/>
        <item x="6"/>
        <item x="96"/>
        <item x="7"/>
        <item x="266"/>
        <item x="57"/>
        <item x="70"/>
        <item x="22"/>
        <item x="108"/>
        <item x="322"/>
        <item x="5"/>
        <item x="74"/>
        <item x="212"/>
        <item x="170"/>
        <item x="50"/>
        <item x="98"/>
        <item x="54"/>
        <item x="107"/>
        <item x="302"/>
        <item x="87"/>
        <item x="18"/>
        <item x="120"/>
        <item x="171"/>
        <item x="85"/>
        <item x="53"/>
        <item x="10"/>
        <item x="42"/>
        <item x="303"/>
        <item x="34"/>
        <item x="124"/>
        <item x="114"/>
        <item x="331"/>
        <item x="21"/>
        <item x="35"/>
        <item x="31"/>
        <item x="169"/>
        <item x="67"/>
        <item x="283"/>
        <item x="0"/>
        <item x="127"/>
        <item x="26"/>
        <item x="13"/>
        <item x="247"/>
        <item x="150"/>
        <item x="15"/>
        <item x="71"/>
        <item x="76"/>
        <item x="72"/>
        <item x="106"/>
        <item x="337"/>
        <item x="24"/>
        <item x="186"/>
        <item x="62"/>
        <item x="69"/>
        <item x="59"/>
        <item x="116"/>
        <item x="339"/>
        <item x="65"/>
        <item x="1"/>
        <item x="75"/>
        <item x="332"/>
        <item x="327"/>
        <item x="79"/>
        <item x="172"/>
        <item x="187"/>
        <item x="93"/>
        <item x="152"/>
        <item x="101"/>
        <item x="2"/>
        <item x="102"/>
        <item x="213"/>
        <item x="36"/>
        <item x="188"/>
        <item x="78"/>
        <item x="330"/>
        <item x="55"/>
        <item x="73"/>
        <item x="11"/>
        <item x="94"/>
        <item x="342"/>
        <item x="110"/>
        <item x="83"/>
        <item x="300"/>
        <item x="95"/>
        <item x="248"/>
        <item x="246"/>
        <item x="343"/>
        <item x="17"/>
        <item x="338"/>
        <item x="131"/>
        <item x="227"/>
        <item x="305"/>
        <item x="40"/>
        <item x="340"/>
        <item x="112"/>
        <item x="328"/>
        <item x="347"/>
        <item x="154"/>
        <item x="118"/>
        <item x="226"/>
        <item x="341"/>
        <item x="129"/>
        <item x="14"/>
        <item x="121"/>
        <item x="301"/>
        <item x="27"/>
        <item x="3"/>
        <item x="321"/>
        <item x="29"/>
        <item x="306"/>
        <item x="84"/>
        <item x="104"/>
        <item x="89"/>
        <item x="333"/>
        <item x="344"/>
        <item x="268"/>
        <item x="282"/>
        <item x="267"/>
        <item x="128"/>
        <item x="189"/>
        <item x="346"/>
        <item x="43"/>
        <item x="320"/>
        <item x="77"/>
        <item x="92"/>
        <item x="46"/>
        <item x="130"/>
        <item x="349"/>
        <item x="284"/>
        <item x="345"/>
        <item x="16"/>
        <item x="323"/>
        <item x="220"/>
        <item x="304"/>
        <item x="119"/>
        <item x="214"/>
        <item x="191"/>
        <item x="325"/>
        <item x="111"/>
        <item x="229"/>
        <item x="88"/>
        <item x="9"/>
        <item x="30"/>
        <item x="60"/>
        <item x="32"/>
        <item x="155"/>
        <item x="291"/>
        <item x="12"/>
        <item x="230"/>
        <item x="309"/>
        <item x="324"/>
        <item x="256"/>
        <item x="350"/>
        <item x="193"/>
        <item x="348"/>
        <item x="228"/>
        <item x="335"/>
        <item x="293"/>
        <item x="254"/>
        <item x="132"/>
        <item x="215"/>
        <item x="190"/>
        <item x="160"/>
        <item x="47"/>
        <item x="37"/>
        <item x="288"/>
        <item x="238"/>
        <item x="63"/>
        <item x="240"/>
        <item x="51"/>
        <item x="253"/>
        <item x="294"/>
        <item x="292"/>
        <item x="235"/>
        <item x="242"/>
        <item x="61"/>
        <item x="251"/>
        <item x="307"/>
        <item x="58"/>
        <item x="233"/>
        <item x="310"/>
        <item x="38"/>
        <item x="192"/>
        <item x="157"/>
        <item x="158"/>
        <item x="161"/>
        <item x="159"/>
        <item x="217"/>
        <item x="250"/>
        <item x="308"/>
        <item x="298"/>
        <item x="286"/>
        <item x="326"/>
        <item x="199"/>
        <item x="48"/>
        <item x="334"/>
        <item x="319"/>
        <item x="271"/>
        <item x="290"/>
        <item x="239"/>
        <item x="144"/>
        <item x="145"/>
        <item x="156"/>
        <item x="285"/>
        <item x="147"/>
        <item x="231"/>
        <item x="336"/>
        <item x="149"/>
        <item x="270"/>
        <item x="272"/>
        <item x="52"/>
        <item x="289"/>
        <item x="138"/>
        <item x="295"/>
        <item x="257"/>
        <item x="315"/>
        <item x="143"/>
        <item x="218"/>
        <item x="287"/>
        <item x="273"/>
        <item x="216"/>
        <item x="252"/>
        <item x="255"/>
        <item x="195"/>
        <item x="175"/>
        <item x="142"/>
        <item x="316"/>
        <item x="232"/>
        <item x="296"/>
        <item x="259"/>
        <item x="148"/>
        <item x="203"/>
        <item x="219"/>
        <item x="237"/>
        <item x="39"/>
        <item x="196"/>
        <item x="312"/>
        <item x="317"/>
        <item x="136"/>
        <item x="264"/>
        <item x="277"/>
        <item x="178"/>
        <item x="236"/>
        <item x="318"/>
        <item x="234"/>
        <item x="260"/>
        <item x="314"/>
        <item x="265"/>
        <item x="205"/>
        <item x="210"/>
        <item x="313"/>
        <item x="262"/>
        <item x="281"/>
        <item x="180"/>
        <item x="297"/>
        <item x="207"/>
        <item x="165"/>
        <item x="185"/>
        <item x="200"/>
        <item x="179"/>
        <item x="181"/>
        <item x="278"/>
        <item x="222"/>
        <item x="164"/>
        <item x="276"/>
        <item x="263"/>
        <item x="162"/>
        <item x="261"/>
        <item x="275"/>
        <item x="208"/>
        <item x="221"/>
        <item x="177"/>
        <item x="194"/>
        <item x="184"/>
        <item x="280"/>
        <item x="135"/>
        <item x="274"/>
        <item x="279"/>
        <item x="141"/>
        <item x="134"/>
        <item x="311"/>
        <item x="206"/>
        <item x="140"/>
        <item x="258"/>
        <item x="137"/>
        <item x="176"/>
        <item x="174"/>
        <item x="133"/>
        <item x="244"/>
        <item x="182"/>
        <item x="223"/>
        <item x="163"/>
        <item x="243"/>
        <item x="202"/>
        <item x="183"/>
        <item x="139"/>
        <item x="173"/>
        <item x="225"/>
        <item x="204"/>
        <item x="245"/>
        <item x="241"/>
        <item x="224"/>
        <item x="146"/>
        <item x="198"/>
        <item x="167"/>
        <item x="209"/>
        <item x="197"/>
        <item x="201"/>
        <item x="166"/>
        <item x="211"/>
        <item x="168"/>
        <item t="default"/>
      </items>
    </pivotField>
    <pivotField showAll="0">
      <items count="381">
        <item x="61"/>
        <item x="60"/>
        <item x="59"/>
        <item x="253"/>
        <item x="53"/>
        <item x="272"/>
        <item x="52"/>
        <item x="62"/>
        <item x="252"/>
        <item x="58"/>
        <item x="20"/>
        <item x="13"/>
        <item x="65"/>
        <item x="46"/>
        <item x="67"/>
        <item x="360"/>
        <item x="64"/>
        <item x="4"/>
        <item x="251"/>
        <item x="264"/>
        <item x="108"/>
        <item x="19"/>
        <item x="342"/>
        <item x="234"/>
        <item x="348"/>
        <item x="173"/>
        <item x="271"/>
        <item x="38"/>
        <item x="250"/>
        <item x="298"/>
        <item x="356"/>
        <item x="270"/>
        <item x="290"/>
        <item x="333"/>
        <item x="314"/>
        <item x="263"/>
        <item x="289"/>
        <item x="249"/>
        <item x="172"/>
        <item x="313"/>
        <item x="262"/>
        <item x="130"/>
        <item x="248"/>
        <item x="361"/>
        <item x="379"/>
        <item x="332"/>
        <item x="355"/>
        <item x="312"/>
        <item x="359"/>
        <item x="233"/>
        <item x="247"/>
        <item x="207"/>
        <item x="311"/>
        <item x="269"/>
        <item x="12"/>
        <item x="246"/>
        <item x="120"/>
        <item x="91"/>
        <item x="376"/>
        <item x="310"/>
        <item x="268"/>
        <item x="32"/>
        <item x="304"/>
        <item x="165"/>
        <item x="327"/>
        <item x="347"/>
        <item x="232"/>
        <item x="200"/>
        <item x="226"/>
        <item x="171"/>
        <item x="241"/>
        <item x="375"/>
        <item x="309"/>
        <item x="374"/>
        <item x="267"/>
        <item x="239"/>
        <item x="129"/>
        <item x="11"/>
        <item x="297"/>
        <item x="231"/>
        <item x="281"/>
        <item x="245"/>
        <item x="308"/>
        <item x="170"/>
        <item x="326"/>
        <item x="87"/>
        <item x="169"/>
        <item x="119"/>
        <item x="206"/>
        <item x="373"/>
        <item x="168"/>
        <item x="230"/>
        <item x="288"/>
        <item x="346"/>
        <item x="286"/>
        <item x="118"/>
        <item x="372"/>
        <item x="266"/>
        <item x="307"/>
        <item x="139"/>
        <item x="117"/>
        <item x="287"/>
        <item x="265"/>
        <item x="39"/>
        <item x="116"/>
        <item x="240"/>
        <item x="10"/>
        <item x="86"/>
        <item x="303"/>
        <item x="198"/>
        <item x="259"/>
        <item x="43"/>
        <item x="354"/>
        <item x="325"/>
        <item x="107"/>
        <item x="353"/>
        <item x="128"/>
        <item x="238"/>
        <item x="31"/>
        <item x="341"/>
        <item x="371"/>
        <item x="285"/>
        <item x="110"/>
        <item x="115"/>
        <item x="358"/>
        <item x="284"/>
        <item x="302"/>
        <item x="37"/>
        <item x="51"/>
        <item x="127"/>
        <item x="244"/>
        <item x="324"/>
        <item x="3"/>
        <item x="197"/>
        <item x="228"/>
        <item x="258"/>
        <item x="320"/>
        <item x="205"/>
        <item x="8"/>
        <item x="331"/>
        <item x="143"/>
        <item x="370"/>
        <item x="109"/>
        <item x="369"/>
        <item x="368"/>
        <item x="345"/>
        <item x="126"/>
        <item x="99"/>
        <item x="114"/>
        <item x="280"/>
        <item x="98"/>
        <item x="367"/>
        <item x="30"/>
        <item x="106"/>
        <item x="257"/>
        <item x="26"/>
        <item x="25"/>
        <item x="142"/>
        <item x="138"/>
        <item x="137"/>
        <item x="279"/>
        <item x="225"/>
        <item x="57"/>
        <item x="344"/>
        <item x="301"/>
        <item x="204"/>
        <item x="237"/>
        <item x="323"/>
        <item x="352"/>
        <item x="7"/>
        <item x="97"/>
        <item x="366"/>
        <item x="63"/>
        <item x="236"/>
        <item x="105"/>
        <item x="340"/>
        <item x="224"/>
        <item x="24"/>
        <item x="125"/>
        <item x="203"/>
        <item x="141"/>
        <item x="136"/>
        <item x="223"/>
        <item x="180"/>
        <item x="124"/>
        <item x="135"/>
        <item x="23"/>
        <item x="351"/>
        <item x="256"/>
        <item x="123"/>
        <item x="319"/>
        <item x="243"/>
        <item x="85"/>
        <item x="296"/>
        <item x="196"/>
        <item x="100"/>
        <item x="229"/>
        <item x="134"/>
        <item x="90"/>
        <item x="339"/>
        <item x="338"/>
        <item x="18"/>
        <item x="93"/>
        <item x="337"/>
        <item x="36"/>
        <item x="140"/>
        <item x="295"/>
        <item x="336"/>
        <item x="261"/>
        <item x="350"/>
        <item x="92"/>
        <item x="306"/>
        <item x="56"/>
        <item x="322"/>
        <item x="349"/>
        <item x="235"/>
        <item x="17"/>
        <item x="335"/>
        <item x="29"/>
        <item x="227"/>
        <item x="222"/>
        <item x="84"/>
        <item x="330"/>
        <item x="365"/>
        <item x="55"/>
        <item x="221"/>
        <item x="89"/>
        <item x="334"/>
        <item x="22"/>
        <item x="364"/>
        <item x="42"/>
        <item x="54"/>
        <item x="45"/>
        <item x="277"/>
        <item x="260"/>
        <item x="278"/>
        <item x="164"/>
        <item x="179"/>
        <item x="202"/>
        <item x="195"/>
        <item x="185"/>
        <item x="96"/>
        <item x="133"/>
        <item x="276"/>
        <item x="28"/>
        <item x="242"/>
        <item x="220"/>
        <item x="113"/>
        <item x="194"/>
        <item x="178"/>
        <item x="219"/>
        <item x="47"/>
        <item x="255"/>
        <item x="35"/>
        <item x="218"/>
        <item x="363"/>
        <item x="177"/>
        <item x="72"/>
        <item x="300"/>
        <item x="362"/>
        <item x="193"/>
        <item x="199"/>
        <item x="6"/>
        <item x="176"/>
        <item x="94"/>
        <item x="50"/>
        <item x="184"/>
        <item x="2"/>
        <item x="192"/>
        <item x="161"/>
        <item x="104"/>
        <item x="283"/>
        <item x="167"/>
        <item x="378"/>
        <item x="294"/>
        <item x="66"/>
        <item x="183"/>
        <item x="21"/>
        <item x="318"/>
        <item x="343"/>
        <item x="182"/>
        <item x="34"/>
        <item x="103"/>
        <item x="112"/>
        <item x="166"/>
        <item x="275"/>
        <item x="88"/>
        <item x="9"/>
        <item x="122"/>
        <item x="299"/>
        <item x="191"/>
        <item x="190"/>
        <item x="80"/>
        <item x="181"/>
        <item x="77"/>
        <item x="163"/>
        <item x="83"/>
        <item x="33"/>
        <item x="317"/>
        <item x="82"/>
        <item x="49"/>
        <item x="16"/>
        <item x="174"/>
        <item x="175"/>
        <item x="377"/>
        <item x="79"/>
        <item x="217"/>
        <item x="15"/>
        <item x="162"/>
        <item x="48"/>
        <item x="160"/>
        <item x="189"/>
        <item x="274"/>
        <item x="215"/>
        <item x="1"/>
        <item x="216"/>
        <item x="69"/>
        <item x="41"/>
        <item x="76"/>
        <item x="102"/>
        <item x="357"/>
        <item x="95"/>
        <item x="159"/>
        <item x="254"/>
        <item x="132"/>
        <item x="158"/>
        <item x="293"/>
        <item x="188"/>
        <item x="131"/>
        <item x="273"/>
        <item x="44"/>
        <item x="68"/>
        <item x="111"/>
        <item x="14"/>
        <item x="73"/>
        <item x="75"/>
        <item x="282"/>
        <item x="321"/>
        <item x="74"/>
        <item x="101"/>
        <item x="40"/>
        <item x="316"/>
        <item x="78"/>
        <item x="5"/>
        <item x="329"/>
        <item x="71"/>
        <item x="292"/>
        <item x="214"/>
        <item x="70"/>
        <item x="187"/>
        <item x="27"/>
        <item x="201"/>
        <item x="315"/>
        <item x="81"/>
        <item x="157"/>
        <item x="156"/>
        <item x="291"/>
        <item x="213"/>
        <item x="328"/>
        <item x="155"/>
        <item x="154"/>
        <item x="186"/>
        <item x="121"/>
        <item x="212"/>
        <item x="211"/>
        <item x="153"/>
        <item x="152"/>
        <item x="210"/>
        <item x="151"/>
        <item x="150"/>
        <item x="305"/>
        <item x="149"/>
        <item x="209"/>
        <item x="148"/>
        <item x="147"/>
        <item x="146"/>
        <item x="0"/>
        <item x="145"/>
        <item x="208"/>
        <item x="144"/>
        <item t="default"/>
      </items>
    </pivotField>
    <pivotField showAll="0"/>
    <pivotField showAll="0">
      <items count="14">
        <item x="0"/>
        <item x="1"/>
        <item x="2"/>
        <item x="3"/>
        <item x="4"/>
        <item x="5"/>
        <item x="6"/>
        <item x="7"/>
        <item x="8"/>
        <item x="9"/>
        <item x="10"/>
        <item x="11"/>
        <item x="12"/>
        <item t="default"/>
      </items>
    </pivotField>
    <pivotField showAll="0">
      <items count="4">
        <item x="0"/>
        <item x="1"/>
        <item x="2"/>
        <item t="default"/>
      </items>
    </pivotField>
  </pivotFields>
  <rowItems count="1">
    <i/>
  </rowItems>
  <colItems count="1">
    <i/>
  </colItems>
  <dataFields count="1">
    <dataField name="Count of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6B0F2DD-07A1-4EA6-8617-7CC968EEBA80}"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U2:V6" firstHeaderRow="1" firstDataRow="1" firstDataCol="1"/>
  <pivotFields count="10">
    <pivotField dataField="1" showAll="0">
      <items count="306">
        <item x="174"/>
        <item x="126"/>
        <item x="162"/>
        <item x="249"/>
        <item x="243"/>
        <item x="301"/>
        <item x="268"/>
        <item x="119"/>
        <item x="118"/>
        <item x="145"/>
        <item x="148"/>
        <item x="163"/>
        <item x="200"/>
        <item x="212"/>
        <item x="134"/>
        <item x="262"/>
        <item x="2"/>
        <item x="17"/>
        <item x="44"/>
        <item x="38"/>
        <item x="51"/>
        <item x="21"/>
        <item x="0"/>
        <item x="32"/>
        <item x="199"/>
        <item x="178"/>
        <item x="303"/>
        <item x="195"/>
        <item x="244"/>
        <item x="175"/>
        <item x="122"/>
        <item x="166"/>
        <item x="223"/>
        <item x="242"/>
        <item x="197"/>
        <item x="227"/>
        <item x="132"/>
        <item x="258"/>
        <item x="274"/>
        <item x="215"/>
        <item x="208"/>
        <item x="201"/>
        <item x="207"/>
        <item x="297"/>
        <item x="189"/>
        <item x="290"/>
        <item x="286"/>
        <item x="291"/>
        <item x="168"/>
        <item x="139"/>
        <item x="193"/>
        <item x="210"/>
        <item x="263"/>
        <item x="226"/>
        <item x="124"/>
        <item x="183"/>
        <item x="272"/>
        <item x="138"/>
        <item x="232"/>
        <item x="185"/>
        <item x="205"/>
        <item x="191"/>
        <item x="171"/>
        <item x="157"/>
        <item x="143"/>
        <item x="140"/>
        <item x="209"/>
        <item x="218"/>
        <item x="130"/>
        <item x="298"/>
        <item x="230"/>
        <item x="288"/>
        <item x="284"/>
        <item x="269"/>
        <item x="176"/>
        <item x="161"/>
        <item x="60"/>
        <item x="103"/>
        <item x="86"/>
        <item x="92"/>
        <item x="108"/>
        <item x="102"/>
        <item x="97"/>
        <item x="116"/>
        <item x="85"/>
        <item x="66"/>
        <item x="94"/>
        <item x="69"/>
        <item x="75"/>
        <item x="84"/>
        <item x="110"/>
        <item x="74"/>
        <item x="78"/>
        <item x="88"/>
        <item x="80"/>
        <item x="58"/>
        <item x="292"/>
        <item x="278"/>
        <item x="245"/>
        <item x="266"/>
        <item x="213"/>
        <item x="128"/>
        <item x="289"/>
        <item x="190"/>
        <item x="158"/>
        <item x="156"/>
        <item x="256"/>
        <item x="222"/>
        <item x="219"/>
        <item x="181"/>
        <item x="194"/>
        <item x="216"/>
        <item x="127"/>
        <item x="177"/>
        <item x="253"/>
        <item x="254"/>
        <item x="152"/>
        <item x="233"/>
        <item x="239"/>
        <item x="287"/>
        <item x="270"/>
        <item x="15"/>
        <item x="24"/>
        <item x="6"/>
        <item x="19"/>
        <item x="29"/>
        <item x="42"/>
        <item x="23"/>
        <item x="187"/>
        <item x="153"/>
        <item x="282"/>
        <item x="280"/>
        <item x="220"/>
        <item x="129"/>
        <item x="275"/>
        <item x="248"/>
        <item x="240"/>
        <item x="261"/>
        <item x="295"/>
        <item x="238"/>
        <item x="251"/>
        <item x="131"/>
        <item x="188"/>
        <item x="167"/>
        <item x="228"/>
        <item x="214"/>
        <item x="283"/>
        <item x="302"/>
        <item x="184"/>
        <item x="273"/>
        <item x="121"/>
        <item x="149"/>
        <item x="276"/>
        <item x="296"/>
        <item x="204"/>
        <item x="224"/>
        <item x="144"/>
        <item x="159"/>
        <item x="155"/>
        <item x="299"/>
        <item x="234"/>
        <item x="137"/>
        <item x="150"/>
        <item x="136"/>
        <item x="98"/>
        <item x="82"/>
        <item x="89"/>
        <item x="72"/>
        <item x="115"/>
        <item x="105"/>
        <item x="95"/>
        <item x="77"/>
        <item x="106"/>
        <item x="91"/>
        <item x="68"/>
        <item x="101"/>
        <item x="99"/>
        <item x="104"/>
        <item x="114"/>
        <item x="117"/>
        <item x="90"/>
        <item x="63"/>
        <item x="79"/>
        <item x="93"/>
        <item x="43"/>
        <item x="48"/>
        <item x="31"/>
        <item x="141"/>
        <item x="169"/>
        <item x="235"/>
        <item x="271"/>
        <item x="294"/>
        <item x="160"/>
        <item x="179"/>
        <item x="203"/>
        <item x="252"/>
        <item x="250"/>
        <item x="267"/>
        <item x="112"/>
        <item x="304"/>
        <item x="285"/>
        <item x="255"/>
        <item x="236"/>
        <item x="165"/>
        <item x="173"/>
        <item x="264"/>
        <item x="241"/>
        <item x="180"/>
        <item x="5"/>
        <item x="18"/>
        <item x="7"/>
        <item x="3"/>
        <item x="12"/>
        <item x="53"/>
        <item x="40"/>
        <item x="221"/>
        <item x="279"/>
        <item x="142"/>
        <item x="133"/>
        <item x="182"/>
        <item x="120"/>
        <item x="202"/>
        <item x="186"/>
        <item x="125"/>
        <item x="206"/>
        <item x="260"/>
        <item x="281"/>
        <item x="300"/>
        <item x="259"/>
        <item x="277"/>
        <item x="237"/>
        <item x="135"/>
        <item x="146"/>
        <item x="164"/>
        <item x="192"/>
        <item x="170"/>
        <item x="198"/>
        <item x="247"/>
        <item x="229"/>
        <item x="217"/>
        <item x="196"/>
        <item x="123"/>
        <item x="151"/>
        <item x="147"/>
        <item x="172"/>
        <item x="231"/>
        <item x="293"/>
        <item x="265"/>
        <item x="257"/>
        <item x="246"/>
        <item x="154"/>
        <item x="225"/>
        <item x="211"/>
        <item x="10"/>
        <item x="27"/>
        <item x="54"/>
        <item x="34"/>
        <item x="50"/>
        <item x="1"/>
        <item x="35"/>
        <item x="14"/>
        <item x="73"/>
        <item x="81"/>
        <item x="70"/>
        <item x="113"/>
        <item x="87"/>
        <item x="76"/>
        <item x="62"/>
        <item x="64"/>
        <item x="83"/>
        <item x="100"/>
        <item x="61"/>
        <item x="65"/>
        <item x="96"/>
        <item x="59"/>
        <item x="111"/>
        <item x="71"/>
        <item x="107"/>
        <item x="109"/>
        <item x="67"/>
        <item x="45"/>
        <item x="46"/>
        <item x="4"/>
        <item x="11"/>
        <item x="22"/>
        <item x="52"/>
        <item x="8"/>
        <item x="25"/>
        <item x="33"/>
        <item x="37"/>
        <item x="56"/>
        <item x="36"/>
        <item x="20"/>
        <item x="13"/>
        <item x="16"/>
        <item x="9"/>
        <item x="26"/>
        <item x="30"/>
        <item x="39"/>
        <item x="55"/>
        <item x="49"/>
        <item x="57"/>
        <item x="28"/>
        <item x="47"/>
        <item x="41"/>
        <item t="default"/>
      </items>
    </pivotField>
    <pivotField showAll="0"/>
    <pivotField showAll="0">
      <items count="6">
        <item x="3"/>
        <item x="0"/>
        <item x="2"/>
        <item x="1"/>
        <item x="4"/>
        <item t="default"/>
      </items>
    </pivotField>
    <pivotField showAll="0"/>
    <pivotField showAll="0"/>
    <pivotField showAll="0"/>
    <pivotField showAll="0"/>
    <pivotField showAll="0"/>
    <pivotField showAll="0">
      <items count="14">
        <item x="0"/>
        <item x="1"/>
        <item x="2"/>
        <item x="3"/>
        <item x="4"/>
        <item x="5"/>
        <item x="6"/>
        <item x="7"/>
        <item x="8"/>
        <item x="9"/>
        <item x="10"/>
        <item x="11"/>
        <item x="12"/>
        <item t="default"/>
      </items>
    </pivotField>
    <pivotField axis="axisRow" showAll="0">
      <items count="4">
        <item x="0"/>
        <item x="1"/>
        <item x="2"/>
        <item t="default"/>
      </items>
    </pivotField>
  </pivotFields>
  <rowFields count="1">
    <field x="9"/>
  </rowFields>
  <rowItems count="4">
    <i>
      <x/>
    </i>
    <i>
      <x v="1"/>
    </i>
    <i>
      <x v="2"/>
    </i>
    <i t="grand">
      <x/>
    </i>
  </rowItems>
  <colItems count="1">
    <i/>
  </colItems>
  <dataFields count="1">
    <dataField name="Count of name" fld="0" subtotal="count" baseField="0" baseItem="0"/>
  </dataField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9" count="1" selected="0">
            <x v="1"/>
          </reference>
        </references>
      </pivotArea>
    </chartFormat>
    <chartFormat chart="1" format="2">
      <pivotArea type="data" outline="0" fieldPosition="0">
        <references count="2">
          <reference field="4294967294" count="1" selected="0">
            <x v="0"/>
          </reference>
          <reference field="9" count="1" selected="0">
            <x v="0"/>
          </reference>
        </references>
      </pivotArea>
    </chartFormat>
    <chartFormat chart="1" format="3">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51B4973-3105-438F-8A29-FAC8140C646D}"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B2:C45" firstHeaderRow="1" firstDataRow="1" firstDataCol="1"/>
  <pivotFields count="10">
    <pivotField showAll="0"/>
    <pivotField dataField="1" showAll="0"/>
    <pivotField showAll="0">
      <items count="6">
        <item x="3"/>
        <item x="0"/>
        <item x="2"/>
        <item x="1"/>
        <item x="4"/>
        <item t="default"/>
      </items>
    </pivotField>
    <pivotField showAll="0"/>
    <pivotField showAll="0"/>
    <pivotField showAll="0"/>
    <pivotField showAll="0"/>
    <pivotField showAll="0"/>
    <pivotField axis="axisRow" showAll="0">
      <items count="14">
        <item x="0"/>
        <item x="1"/>
        <item x="2"/>
        <item x="3"/>
        <item x="4"/>
        <item x="5"/>
        <item x="6"/>
        <item x="7"/>
        <item x="8"/>
        <item x="9"/>
        <item x="10"/>
        <item x="11"/>
        <item x="12"/>
        <item t="default"/>
      </items>
    </pivotField>
    <pivotField axis="axisRow" showAll="0">
      <items count="4">
        <item x="0"/>
        <item x="1"/>
        <item x="2"/>
        <item t="default"/>
      </items>
    </pivotField>
  </pivotFields>
  <rowFields count="2">
    <field x="9"/>
    <field x="8"/>
  </rowFields>
  <rowItems count="43">
    <i>
      <x/>
    </i>
    <i r="1">
      <x/>
    </i>
    <i r="1">
      <x v="1"/>
    </i>
    <i r="1">
      <x v="2"/>
    </i>
    <i r="1">
      <x v="3"/>
    </i>
    <i r="1">
      <x v="4"/>
    </i>
    <i r="1">
      <x v="5"/>
    </i>
    <i r="1">
      <x v="6"/>
    </i>
    <i r="1">
      <x v="7"/>
    </i>
    <i r="1">
      <x v="8"/>
    </i>
    <i r="1">
      <x v="9"/>
    </i>
    <i r="1">
      <x v="10"/>
    </i>
    <i r="1">
      <x v="11"/>
    </i>
    <i r="1">
      <x v="12"/>
    </i>
    <i>
      <x v="1"/>
    </i>
    <i r="1">
      <x/>
    </i>
    <i r="1">
      <x v="1"/>
    </i>
    <i r="1">
      <x v="2"/>
    </i>
    <i r="1">
      <x v="3"/>
    </i>
    <i r="1">
      <x v="4"/>
    </i>
    <i r="1">
      <x v="5"/>
    </i>
    <i r="1">
      <x v="6"/>
    </i>
    <i r="1">
      <x v="7"/>
    </i>
    <i r="1">
      <x v="8"/>
    </i>
    <i r="1">
      <x v="9"/>
    </i>
    <i r="1">
      <x v="10"/>
    </i>
    <i r="1">
      <x v="11"/>
    </i>
    <i r="1">
      <x v="12"/>
    </i>
    <i>
      <x v="2"/>
    </i>
    <i r="1">
      <x/>
    </i>
    <i r="1">
      <x v="1"/>
    </i>
    <i r="1">
      <x v="2"/>
    </i>
    <i r="1">
      <x v="3"/>
    </i>
    <i r="1">
      <x v="4"/>
    </i>
    <i r="1">
      <x v="5"/>
    </i>
    <i r="1">
      <x v="6"/>
    </i>
    <i r="1">
      <x v="7"/>
    </i>
    <i r="1">
      <x v="8"/>
    </i>
    <i r="1">
      <x v="9"/>
    </i>
    <i r="1">
      <x v="10"/>
    </i>
    <i r="1">
      <x v="11"/>
    </i>
    <i r="1">
      <x v="12"/>
    </i>
    <i t="grand">
      <x/>
    </i>
  </rowItems>
  <colItems count="1">
    <i/>
  </colItems>
  <dataFields count="1">
    <dataField name="Average of mpg" fld="1" subtotal="average" baseField="0" baseItem="0"/>
  </dataFields>
  <formats count="6">
    <format dxfId="361">
      <pivotArea field="9" type="button" dataOnly="0" labelOnly="1" outline="0" axis="axisRow" fieldPosition="0"/>
    </format>
    <format dxfId="362">
      <pivotArea dataOnly="0" labelOnly="1" fieldPosition="0">
        <references count="1">
          <reference field="9" count="0"/>
        </references>
      </pivotArea>
    </format>
    <format dxfId="363">
      <pivotArea dataOnly="0" labelOnly="1" grandRow="1" outline="0" fieldPosition="0"/>
    </format>
    <format dxfId="364">
      <pivotArea dataOnly="0" labelOnly="1" fieldPosition="0">
        <references count="2">
          <reference field="8" count="0"/>
          <reference field="9" count="1" selected="0">
            <x v="0"/>
          </reference>
        </references>
      </pivotArea>
    </format>
    <format dxfId="365">
      <pivotArea dataOnly="0" labelOnly="1" fieldPosition="0">
        <references count="2">
          <reference field="8" count="0"/>
          <reference field="9" count="1" selected="0">
            <x v="1"/>
          </reference>
        </references>
      </pivotArea>
    </format>
    <format dxfId="366">
      <pivotArea dataOnly="0" labelOnly="1" fieldPosition="0">
        <references count="2">
          <reference field="8" count="0"/>
          <reference field="9" count="1" selected="0">
            <x v="2"/>
          </reference>
        </references>
      </pivotArea>
    </format>
  </formats>
  <chartFormats count="3">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3">
          <reference field="4294967294" count="1" selected="0">
            <x v="0"/>
          </reference>
          <reference field="8" count="1" selected="0">
            <x v="12"/>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ylinders" xr10:uid="{D2E973BC-67C1-4350-9589-4B64B1E521C9}" sourceName="cylinders">
  <pivotTables>
    <pivotTable tabId="17" name="PivotTable4"/>
    <pivotTable tabId="17" name="PivotTable1"/>
    <pivotTable tabId="17" name="PivotTable2"/>
    <pivotTable tabId="17" name="PivotTable3"/>
    <pivotTable tabId="17" name="PivotTable5"/>
    <pivotTable tabId="17" name="PivotTable6"/>
    <pivotTable tabId="17" name="PivotTable7"/>
  </pivotTables>
  <data>
    <tabular pivotCacheId="410643517">
      <items count="5">
        <i x="3" s="1"/>
        <i x="0"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_year" xr10:uid="{69953798-5163-4E65-BBB4-08F38F1BD43C}" sourceName="model_year">
  <pivotTables>
    <pivotTable tabId="17" name="PivotTable4"/>
    <pivotTable tabId="17" name="PivotTable1"/>
    <pivotTable tabId="17" name="PivotTable2"/>
    <pivotTable tabId="17" name="PivotTable3"/>
    <pivotTable tabId="17" name="PivotTable5"/>
    <pivotTable tabId="17" name="PivotTable6"/>
    <pivotTable tabId="17" name="PivotTable7"/>
  </pivotTables>
  <data>
    <tabular pivotCacheId="410643517">
      <items count="13">
        <i x="0" s="1"/>
        <i x="1" s="1"/>
        <i x="2" s="1"/>
        <i x="3" s="1"/>
        <i x="4" s="1"/>
        <i x="5" s="1"/>
        <i x="6" s="1"/>
        <i x="7" s="1"/>
        <i x="8" s="1"/>
        <i x="9" s="1"/>
        <i x="10" s="1"/>
        <i x="11"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igin" xr10:uid="{EBE5FE7E-660C-4A74-BE53-24D9E83E3353}" sourceName="origin">
  <pivotTables>
    <pivotTable tabId="17" name="PivotTable4"/>
    <pivotTable tabId="17" name="PivotTable1"/>
    <pivotTable tabId="17" name="PivotTable2"/>
    <pivotTable tabId="17" name="PivotTable3"/>
    <pivotTable tabId="17" name="PivotTable5"/>
    <pivotTable tabId="17" name="PivotTable6"/>
    <pivotTable tabId="17" name="PivotTable7"/>
  </pivotTables>
  <data>
    <tabular pivotCacheId="41064351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ylinders" xr10:uid="{A8F9B144-0330-4F07-9284-B1AC08E86461}" cache="Slicer_cylinders" caption="cylinders" rowHeight="234950"/>
  <slicer name="cylinders 1" xr10:uid="{5B19DBD2-CF07-4478-8137-62C9ED8116DC}" cache="Slicer_cylinders" caption="cylinders" rowHeight="234950"/>
  <slicer name="cylinders 2" xr10:uid="{27FE46FE-C992-48A1-9906-A10A5854654B}" cache="Slicer_cylinders" caption="cylinders" rowHeight="234950"/>
  <slicer name="model_year" xr10:uid="{76CB6C2E-24F1-49E8-83BF-4999E2B586EC}" cache="Slicer_model_year" caption="model_year" rowHeight="234950"/>
  <slicer name="model_year 1" xr10:uid="{AF8711EC-AB86-4F1D-9819-A52D9E51F1EA}" cache="Slicer_model_year" caption="model_year" rowHeight="234950"/>
  <slicer name="model_year 2" xr10:uid="{85B58D5C-676B-44C6-9283-C8EA2A5A3C81}" cache="Slicer_model_year" caption="model_year" rowHeight="234950"/>
  <slicer name="origin" xr10:uid="{D542C6D3-5852-47B3-B1EA-5495194D9CFC}" cache="Slicer_origin" caption="origin" rowHeight="234950"/>
  <slicer name="origin 1" xr10:uid="{11E7D166-0188-49E5-82D5-068EC9AE51B5}" cache="Slicer_origin" caption="origin" rowHeight="234950"/>
  <slicer name="origin 2" xr10:uid="{27B885F6-1EA7-46A7-83D7-E3B419DBF3E2}" cache="Slicer_origin" caption="origi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ylinders 3" xr10:uid="{C86DCC33-1754-4791-BC6B-EE197935162B}" cache="Slicer_cylinders" caption="cylinders" columnCount="2" style="Main" rowHeight="234950"/>
  <slicer name="model_year 3" xr10:uid="{FD0710D7-F542-409D-8C26-3C5B65257045}" cache="Slicer_model_year" caption="model_year" columnCount="5" style="Main" rowHeight="234950"/>
  <slicer name="origin 3" xr10:uid="{18376E34-E805-4CCE-975F-36B319783A89}" cache="Slicer_origin" caption="origin" style="Mai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9F06A9-37F1-4832-AF4B-970D525E850C}" name="Table2" displayName="Table2" ref="A1:C399" totalsRowShown="0">
  <autoFilter ref="A1:C399" xr:uid="{7E9F06A9-37F1-4832-AF4B-970D525E850C}"/>
  <tableColumns count="3">
    <tableColumn id="1" xr3:uid="{749AB5CE-1D35-4EB3-ABE1-91675ACEF28A}" name="mpg"/>
    <tableColumn id="2" xr3:uid="{C99B84D1-D5DC-4B53-8296-BCFA0C28C0A4}" name="Z-Score">
      <calculatedColumnFormula>IFERROR((A2-$P$3) / $R$3, "")</calculatedColumnFormula>
    </tableColumn>
    <tableColumn id="3" xr3:uid="{9DCAD4FA-FA9F-42CD-A24C-CE038989E5A6}" name="Is Outlier?">
      <calculatedColumnFormula>IF(ABS(B2)&gt;2,"Yes","No")</calculatedColumnFormula>
    </tableColumn>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8479CA-0E06-4C0E-9EFB-05377B95429C}" name="Table3" displayName="Table3" ref="Q21:U24" totalsRowShown="0">
  <autoFilter ref="Q21:U24" xr:uid="{8C8479CA-0E06-4C0E-9EFB-05377B95429C}"/>
  <tableColumns count="5">
    <tableColumn id="1" xr3:uid="{64C1AC68-DC51-4A7F-B2D1-718599DFEEE7}" name="Tier"/>
    <tableColumn id="2" xr3:uid="{4D31F049-1AA3-40F8-9101-76400B570E5F}" name="Horsepower"/>
    <tableColumn id="3" xr3:uid="{981CF89F-68DF-477E-970B-43881B595240}" name="Acceleration"/>
    <tableColumn id="4" xr3:uid="{2865BDC1-39FE-4A78-95BE-FAF4FC5A5B56}" name="MPG"/>
    <tableColumn id="5" xr3:uid="{570BFB8C-4A51-4198-ADB7-0CAE78BA42AB}" name="Count" dataDxfId="368">
      <calculatedColumnFormula>COUNTIF(F2:F399,"Mid Renga")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DF6D68-2A3D-4062-89D1-297CEE815F26}" name="Table4" displayName="Table4" ref="B1:K399" totalsRowShown="0" headerRowDxfId="367">
  <autoFilter ref="B1:K399" xr:uid="{5BDF6D68-2A3D-4062-89D1-297CEE815F26}"/>
  <tableColumns count="10">
    <tableColumn id="1" xr3:uid="{E0F00476-3165-4C3E-937F-972EF7F17138}" name="name"/>
    <tableColumn id="3" xr3:uid="{4B29F581-7ABA-4493-91C8-979306F9696C}" name="cylinders"/>
    <tableColumn id="2" xr3:uid="{2C27F168-557F-4D38-8798-A60AF719ADBB}" name="mpg"/>
    <tableColumn id="6" xr3:uid="{712943A7-FF47-4517-9054-43A8A4C16287}" name="weight"/>
    <tableColumn id="4" xr3:uid="{9B45E14B-4310-4538-8F61-789E8213CED8}" name="displacement"/>
    <tableColumn id="5" xr3:uid="{DE51C15E-4C39-468D-993E-2950B1AC5CB8}" name="horsepower"/>
    <tableColumn id="7" xr3:uid="{E8011323-BBCD-4968-8C09-4ABDEE3AF370}" name="Power-to-Weight">
      <calculatedColumnFormula>IFERROR(G2/E2, "")</calculatedColumnFormula>
    </tableColumn>
    <tableColumn id="8" xr3:uid="{BEB64A2D-A602-4E50-8799-C4F74DF6DE15}" name="acceleration"/>
    <tableColumn id="9" xr3:uid="{8C670FB5-DC78-4B3A-AE30-4AB0D71A2253}" name="model_year"/>
    <tableColumn id="10" xr3:uid="{F0AFAFCB-3D7F-4A78-ADE9-B6B83B333915}" name="origi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451D3E-6BF6-44C1-AD72-ECAECDCF8609}" name="Table1" displayName="Table1" ref="A1:D11" totalsRowShown="0">
  <autoFilter ref="A1:D11" xr:uid="{D7451D3E-6BF6-44C1-AD72-ECAECDCF8609}"/>
  <tableColumns count="4">
    <tableColumn id="1" xr3:uid="{E0B1324C-3F77-4E43-A624-11F08428A8CD}" name="number"/>
    <tableColumn id="2" xr3:uid="{71C3F337-929A-491C-924F-D89E338E08B2}" name="task"/>
    <tableColumn id="3" xr3:uid="{6A0F9EFC-4C89-4AAD-B465-C4CD8C263060}" name="dificulty"/>
    <tableColumn id="4" xr3:uid="{41DB20E6-B3D7-422C-9FCD-0D6FDC062DCB}" name="Completed"/>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6.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8" Type="http://schemas.openxmlformats.org/officeDocument/2006/relationships/drawing" Target="../drawings/drawing8.xml"/><Relationship Id="rId3" Type="http://schemas.openxmlformats.org/officeDocument/2006/relationships/pivotTable" Target="../pivotTables/pivotTable5.xml"/><Relationship Id="rId7" Type="http://schemas.openxmlformats.org/officeDocument/2006/relationships/pivotTable" Target="../pivotTables/pivotTable9.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 Id="rId9" Type="http://schemas.microsoft.com/office/2007/relationships/slicer" Target="../slicers/slicer1.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9.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9A42-96E4-40A9-B0BB-766F2E66D717}">
  <dimension ref="A1:Y413"/>
  <sheetViews>
    <sheetView zoomScale="85" zoomScaleNormal="85" workbookViewId="0">
      <selection sqref="A1:J399"/>
    </sheetView>
  </sheetViews>
  <sheetFormatPr defaultRowHeight="14.4" x14ac:dyDescent="0.3"/>
  <cols>
    <col min="1" max="1" width="37" bestFit="1" customWidth="1"/>
    <col min="4" max="4" width="12.88671875" customWidth="1"/>
    <col min="5" max="5" width="11.6640625" customWidth="1"/>
    <col min="7" max="7" width="10.109375" customWidth="1"/>
    <col min="8" max="8" width="12.6640625" customWidth="1"/>
    <col min="9" max="9" width="11.5546875" customWidth="1"/>
    <col min="20" max="20" width="10.5546875" bestFit="1" customWidth="1"/>
    <col min="21" max="21" width="11.44140625" bestFit="1" customWidth="1"/>
    <col min="22" max="22" width="11.109375" bestFit="1" customWidth="1"/>
    <col min="23" max="23" width="9.21875" customWidth="1"/>
    <col min="24" max="24" width="8.6640625" customWidth="1"/>
  </cols>
  <sheetData>
    <row r="1" spans="1:25" s="1" customFormat="1" ht="28.8" x14ac:dyDescent="0.3">
      <c r="A1" s="1" t="s">
        <v>0</v>
      </c>
      <c r="B1" s="1" t="s">
        <v>1</v>
      </c>
      <c r="C1" s="1" t="s">
        <v>2</v>
      </c>
      <c r="D1" s="1" t="s">
        <v>3</v>
      </c>
      <c r="E1" s="1" t="s">
        <v>4</v>
      </c>
      <c r="F1" s="1" t="s">
        <v>5</v>
      </c>
      <c r="G1" s="1" t="s">
        <v>338</v>
      </c>
      <c r="H1" s="1" t="s">
        <v>6</v>
      </c>
      <c r="I1" s="1" t="s">
        <v>7</v>
      </c>
      <c r="J1" s="1" t="s">
        <v>8</v>
      </c>
      <c r="V1" t="s">
        <v>350</v>
      </c>
    </row>
    <row r="2" spans="1:25" x14ac:dyDescent="0.3">
      <c r="A2" t="s">
        <v>35</v>
      </c>
      <c r="B2">
        <v>26</v>
      </c>
      <c r="C2">
        <v>4</v>
      </c>
      <c r="D2">
        <v>121</v>
      </c>
      <c r="E2">
        <v>113</v>
      </c>
      <c r="F2">
        <v>2234</v>
      </c>
      <c r="G2">
        <f t="shared" ref="G2:G65" si="0">IFERROR(E2/F2, "")</f>
        <v>5.0581915846016116E-2</v>
      </c>
      <c r="H2">
        <v>12.5</v>
      </c>
      <c r="I2">
        <v>70</v>
      </c>
      <c r="J2" t="s">
        <v>31</v>
      </c>
      <c r="W2" t="s">
        <v>342</v>
      </c>
      <c r="Y2" t="s">
        <v>349</v>
      </c>
    </row>
    <row r="3" spans="1:25" x14ac:dyDescent="0.3">
      <c r="A3" t="s">
        <v>34</v>
      </c>
      <c r="B3">
        <v>25</v>
      </c>
      <c r="C3">
        <v>4</v>
      </c>
      <c r="D3">
        <v>104</v>
      </c>
      <c r="E3">
        <v>95</v>
      </c>
      <c r="F3">
        <v>2375</v>
      </c>
      <c r="G3">
        <f t="shared" si="0"/>
        <v>0.04</v>
      </c>
      <c r="H3">
        <v>17.5</v>
      </c>
      <c r="I3">
        <v>70</v>
      </c>
      <c r="J3" t="s">
        <v>31</v>
      </c>
      <c r="V3" t="s">
        <v>343</v>
      </c>
      <c r="W3" t="s">
        <v>344</v>
      </c>
      <c r="X3" t="s">
        <v>345</v>
      </c>
    </row>
    <row r="4" spans="1:25" x14ac:dyDescent="0.3">
      <c r="A4" t="s">
        <v>33</v>
      </c>
      <c r="B4">
        <v>24</v>
      </c>
      <c r="C4">
        <v>4</v>
      </c>
      <c r="D4">
        <v>107</v>
      </c>
      <c r="E4">
        <v>90</v>
      </c>
      <c r="F4">
        <v>2430</v>
      </c>
      <c r="G4">
        <f t="shared" si="0"/>
        <v>3.7037037037037035E-2</v>
      </c>
      <c r="H4">
        <v>14.5</v>
      </c>
      <c r="I4">
        <v>70</v>
      </c>
      <c r="J4" t="s">
        <v>31</v>
      </c>
      <c r="T4" t="s">
        <v>346</v>
      </c>
      <c r="V4">
        <v>70</v>
      </c>
      <c r="W4">
        <v>79</v>
      </c>
      <c r="X4">
        <v>249</v>
      </c>
      <c r="Y4">
        <v>398</v>
      </c>
    </row>
    <row r="5" spans="1:25" x14ac:dyDescent="0.3">
      <c r="A5" t="s">
        <v>32</v>
      </c>
      <c r="B5">
        <v>25</v>
      </c>
      <c r="C5">
        <v>4</v>
      </c>
      <c r="D5">
        <v>110</v>
      </c>
      <c r="E5">
        <v>87</v>
      </c>
      <c r="F5">
        <v>2672</v>
      </c>
      <c r="G5">
        <f t="shared" si="0"/>
        <v>3.2559880239520958E-2</v>
      </c>
      <c r="H5">
        <v>17.5</v>
      </c>
      <c r="I5">
        <v>70</v>
      </c>
      <c r="J5" t="s">
        <v>31</v>
      </c>
      <c r="U5">
        <v>3</v>
      </c>
      <c r="V5">
        <v>0</v>
      </c>
      <c r="W5">
        <v>4</v>
      </c>
      <c r="X5">
        <v>0</v>
      </c>
      <c r="Y5">
        <v>4</v>
      </c>
    </row>
    <row r="6" spans="1:25" x14ac:dyDescent="0.3">
      <c r="A6" t="s">
        <v>30</v>
      </c>
      <c r="B6">
        <v>26</v>
      </c>
      <c r="C6">
        <v>4</v>
      </c>
      <c r="D6">
        <v>97</v>
      </c>
      <c r="E6">
        <v>46</v>
      </c>
      <c r="F6">
        <v>1835</v>
      </c>
      <c r="G6">
        <f t="shared" si="0"/>
        <v>2.5068119891008173E-2</v>
      </c>
      <c r="H6">
        <v>20.5</v>
      </c>
      <c r="I6">
        <v>70</v>
      </c>
      <c r="J6" t="s">
        <v>31</v>
      </c>
      <c r="U6">
        <v>4</v>
      </c>
      <c r="V6">
        <v>63</v>
      </c>
      <c r="W6">
        <v>69</v>
      </c>
      <c r="X6">
        <v>72</v>
      </c>
      <c r="Y6">
        <v>204</v>
      </c>
    </row>
    <row r="7" spans="1:25" x14ac:dyDescent="0.3">
      <c r="A7" t="s">
        <v>56</v>
      </c>
      <c r="B7">
        <v>28</v>
      </c>
      <c r="C7">
        <v>4</v>
      </c>
      <c r="D7">
        <v>116</v>
      </c>
      <c r="E7">
        <v>90</v>
      </c>
      <c r="F7">
        <v>2123</v>
      </c>
      <c r="G7">
        <f t="shared" si="0"/>
        <v>4.239284032030146E-2</v>
      </c>
      <c r="H7">
        <v>14</v>
      </c>
      <c r="I7">
        <v>71</v>
      </c>
      <c r="J7" t="s">
        <v>31</v>
      </c>
      <c r="T7" t="s">
        <v>347</v>
      </c>
      <c r="U7">
        <v>5</v>
      </c>
      <c r="V7">
        <v>3</v>
      </c>
      <c r="W7">
        <v>0</v>
      </c>
      <c r="X7">
        <v>0</v>
      </c>
      <c r="Y7">
        <v>3</v>
      </c>
    </row>
    <row r="8" spans="1:25" x14ac:dyDescent="0.3">
      <c r="A8" t="s">
        <v>58</v>
      </c>
      <c r="B8">
        <v>30</v>
      </c>
      <c r="C8">
        <v>4</v>
      </c>
      <c r="D8">
        <v>88</v>
      </c>
      <c r="E8">
        <v>76</v>
      </c>
      <c r="F8">
        <v>2065</v>
      </c>
      <c r="G8">
        <f t="shared" si="0"/>
        <v>3.6803874092009685E-2</v>
      </c>
      <c r="H8">
        <v>14.5</v>
      </c>
      <c r="I8">
        <v>71</v>
      </c>
      <c r="J8" t="s">
        <v>31</v>
      </c>
      <c r="U8">
        <v>6</v>
      </c>
      <c r="V8">
        <v>4</v>
      </c>
      <c r="W8">
        <v>6</v>
      </c>
      <c r="X8">
        <v>74</v>
      </c>
      <c r="Y8">
        <v>84</v>
      </c>
    </row>
    <row r="9" spans="1:25" x14ac:dyDescent="0.3">
      <c r="A9" t="s">
        <v>57</v>
      </c>
      <c r="B9">
        <v>30</v>
      </c>
      <c r="C9">
        <v>4</v>
      </c>
      <c r="D9">
        <v>79</v>
      </c>
      <c r="E9">
        <v>70</v>
      </c>
      <c r="F9">
        <v>2074</v>
      </c>
      <c r="G9">
        <f t="shared" si="0"/>
        <v>3.3751205400192864E-2</v>
      </c>
      <c r="H9">
        <v>19.5</v>
      </c>
      <c r="I9">
        <v>71</v>
      </c>
      <c r="J9" t="s">
        <v>31</v>
      </c>
      <c r="U9">
        <v>8</v>
      </c>
      <c r="V9">
        <v>0</v>
      </c>
      <c r="W9">
        <v>0</v>
      </c>
      <c r="X9">
        <v>103</v>
      </c>
      <c r="Y9">
        <v>103</v>
      </c>
    </row>
    <row r="10" spans="1:25" x14ac:dyDescent="0.3">
      <c r="A10" t="s">
        <v>61</v>
      </c>
      <c r="B10">
        <v>27</v>
      </c>
      <c r="C10">
        <v>4</v>
      </c>
      <c r="D10">
        <v>97</v>
      </c>
      <c r="E10">
        <v>60</v>
      </c>
      <c r="F10">
        <v>1834</v>
      </c>
      <c r="G10">
        <f t="shared" si="0"/>
        <v>3.271537622682661E-2</v>
      </c>
      <c r="H10">
        <v>19</v>
      </c>
      <c r="I10">
        <v>71</v>
      </c>
      <c r="J10" t="s">
        <v>31</v>
      </c>
      <c r="U10">
        <v>70</v>
      </c>
      <c r="V10">
        <v>5</v>
      </c>
      <c r="W10">
        <v>2</v>
      </c>
      <c r="X10">
        <v>22</v>
      </c>
      <c r="Y10">
        <v>29</v>
      </c>
    </row>
    <row r="11" spans="1:25" x14ac:dyDescent="0.3">
      <c r="A11" t="s">
        <v>78</v>
      </c>
      <c r="B11">
        <v>18</v>
      </c>
      <c r="C11">
        <v>4</v>
      </c>
      <c r="D11">
        <v>121</v>
      </c>
      <c r="E11">
        <v>112</v>
      </c>
      <c r="F11">
        <v>2933</v>
      </c>
      <c r="G11">
        <f t="shared" si="0"/>
        <v>3.8186157517899763E-2</v>
      </c>
      <c r="H11">
        <v>14.5</v>
      </c>
      <c r="I11">
        <v>72</v>
      </c>
      <c r="J11" t="s">
        <v>31</v>
      </c>
      <c r="U11">
        <v>71</v>
      </c>
      <c r="V11">
        <v>4</v>
      </c>
      <c r="W11">
        <v>4</v>
      </c>
      <c r="X11">
        <v>20</v>
      </c>
      <c r="Y11">
        <v>28</v>
      </c>
    </row>
    <row r="12" spans="1:25" x14ac:dyDescent="0.3">
      <c r="A12" t="s">
        <v>81</v>
      </c>
      <c r="B12">
        <v>26</v>
      </c>
      <c r="C12">
        <v>4</v>
      </c>
      <c r="D12">
        <v>96</v>
      </c>
      <c r="E12">
        <v>69</v>
      </c>
      <c r="F12">
        <v>2189</v>
      </c>
      <c r="G12">
        <f t="shared" si="0"/>
        <v>3.1521242576518956E-2</v>
      </c>
      <c r="H12">
        <v>18</v>
      </c>
      <c r="I12">
        <v>72</v>
      </c>
      <c r="J12" t="s">
        <v>31</v>
      </c>
      <c r="U12">
        <v>72</v>
      </c>
      <c r="V12">
        <v>5</v>
      </c>
      <c r="W12">
        <v>5</v>
      </c>
      <c r="X12">
        <v>18</v>
      </c>
      <c r="Y12">
        <v>28</v>
      </c>
    </row>
    <row r="13" spans="1:25" x14ac:dyDescent="0.3">
      <c r="A13" t="s">
        <v>79</v>
      </c>
      <c r="B13">
        <v>22</v>
      </c>
      <c r="C13">
        <v>4</v>
      </c>
      <c r="D13">
        <v>121</v>
      </c>
      <c r="E13">
        <v>76</v>
      </c>
      <c r="F13">
        <v>2511</v>
      </c>
      <c r="G13">
        <f t="shared" si="0"/>
        <v>3.0266825965750695E-2</v>
      </c>
      <c r="H13">
        <v>18</v>
      </c>
      <c r="I13">
        <v>72</v>
      </c>
      <c r="J13" t="s">
        <v>31</v>
      </c>
      <c r="U13">
        <v>73</v>
      </c>
      <c r="V13">
        <v>7</v>
      </c>
      <c r="W13">
        <v>4</v>
      </c>
      <c r="X13">
        <v>29</v>
      </c>
      <c r="Y13">
        <v>40</v>
      </c>
    </row>
    <row r="14" spans="1:25" x14ac:dyDescent="0.3">
      <c r="A14" t="s">
        <v>80</v>
      </c>
      <c r="B14">
        <v>21</v>
      </c>
      <c r="C14">
        <v>4</v>
      </c>
      <c r="D14">
        <v>120</v>
      </c>
      <c r="E14">
        <v>87</v>
      </c>
      <c r="F14">
        <v>2979</v>
      </c>
      <c r="G14">
        <f t="shared" si="0"/>
        <v>2.920443101711984E-2</v>
      </c>
      <c r="H14">
        <v>19.5</v>
      </c>
      <c r="I14">
        <v>72</v>
      </c>
      <c r="J14" t="s">
        <v>31</v>
      </c>
      <c r="U14">
        <v>74</v>
      </c>
      <c r="V14">
        <v>6</v>
      </c>
      <c r="W14">
        <v>6</v>
      </c>
      <c r="X14">
        <v>15</v>
      </c>
      <c r="Y14">
        <v>27</v>
      </c>
    </row>
    <row r="15" spans="1:25" x14ac:dyDescent="0.3">
      <c r="A15" t="s">
        <v>65</v>
      </c>
      <c r="B15">
        <v>23</v>
      </c>
      <c r="C15">
        <v>4</v>
      </c>
      <c r="D15">
        <v>97</v>
      </c>
      <c r="E15">
        <v>54</v>
      </c>
      <c r="F15">
        <v>2254</v>
      </c>
      <c r="G15">
        <f t="shared" si="0"/>
        <v>2.3957409050576754E-2</v>
      </c>
      <c r="H15">
        <v>23.5</v>
      </c>
      <c r="I15">
        <v>72</v>
      </c>
      <c r="J15" t="s">
        <v>31</v>
      </c>
      <c r="T15" t="s">
        <v>348</v>
      </c>
      <c r="U15">
        <v>75</v>
      </c>
      <c r="V15">
        <v>6</v>
      </c>
      <c r="W15">
        <v>4</v>
      </c>
      <c r="X15">
        <v>20</v>
      </c>
      <c r="Y15">
        <v>30</v>
      </c>
    </row>
    <row r="16" spans="1:25" x14ac:dyDescent="0.3">
      <c r="A16" t="s">
        <v>116</v>
      </c>
      <c r="B16">
        <v>24</v>
      </c>
      <c r="C16">
        <v>4</v>
      </c>
      <c r="D16">
        <v>121</v>
      </c>
      <c r="E16">
        <v>110</v>
      </c>
      <c r="F16">
        <v>2660</v>
      </c>
      <c r="G16">
        <f t="shared" si="0"/>
        <v>4.1353383458646614E-2</v>
      </c>
      <c r="H16">
        <v>14</v>
      </c>
      <c r="I16">
        <v>73</v>
      </c>
      <c r="J16" t="s">
        <v>31</v>
      </c>
      <c r="U16">
        <v>76</v>
      </c>
      <c r="V16">
        <v>8</v>
      </c>
      <c r="W16">
        <v>4</v>
      </c>
      <c r="X16">
        <v>22</v>
      </c>
      <c r="Y16">
        <v>34</v>
      </c>
    </row>
    <row r="17" spans="1:25" x14ac:dyDescent="0.3">
      <c r="A17" t="s">
        <v>108</v>
      </c>
      <c r="B17">
        <v>26</v>
      </c>
      <c r="C17">
        <v>4</v>
      </c>
      <c r="D17">
        <v>98</v>
      </c>
      <c r="E17">
        <v>90</v>
      </c>
      <c r="F17">
        <v>2265</v>
      </c>
      <c r="G17">
        <f t="shared" si="0"/>
        <v>3.9735099337748346E-2</v>
      </c>
      <c r="H17">
        <v>15.5</v>
      </c>
      <c r="I17">
        <v>73</v>
      </c>
      <c r="J17" t="s">
        <v>31</v>
      </c>
      <c r="U17">
        <v>77</v>
      </c>
      <c r="V17">
        <v>4</v>
      </c>
      <c r="W17">
        <v>6</v>
      </c>
      <c r="X17">
        <v>18</v>
      </c>
      <c r="Y17">
        <v>28</v>
      </c>
    </row>
    <row r="18" spans="1:25" x14ac:dyDescent="0.3">
      <c r="A18" t="s">
        <v>114</v>
      </c>
      <c r="B18">
        <v>19</v>
      </c>
      <c r="C18">
        <v>4</v>
      </c>
      <c r="D18">
        <v>121</v>
      </c>
      <c r="E18">
        <v>112</v>
      </c>
      <c r="F18">
        <v>2868</v>
      </c>
      <c r="G18">
        <f t="shared" si="0"/>
        <v>3.9051603905160388E-2</v>
      </c>
      <c r="H18">
        <v>15.5</v>
      </c>
      <c r="I18">
        <v>73</v>
      </c>
      <c r="J18" t="s">
        <v>31</v>
      </c>
      <c r="U18">
        <v>78</v>
      </c>
      <c r="V18">
        <v>6</v>
      </c>
      <c r="W18">
        <v>8</v>
      </c>
      <c r="X18">
        <v>22</v>
      </c>
      <c r="Y18">
        <v>36</v>
      </c>
    </row>
    <row r="19" spans="1:25" x14ac:dyDescent="0.3">
      <c r="A19" t="s">
        <v>113</v>
      </c>
      <c r="B19">
        <v>20</v>
      </c>
      <c r="C19">
        <v>4</v>
      </c>
      <c r="D19">
        <v>114</v>
      </c>
      <c r="E19">
        <v>91</v>
      </c>
      <c r="F19">
        <v>2582</v>
      </c>
      <c r="G19">
        <f t="shared" si="0"/>
        <v>3.5243996901626648E-2</v>
      </c>
      <c r="H19">
        <v>14</v>
      </c>
      <c r="I19">
        <v>73</v>
      </c>
      <c r="J19" t="s">
        <v>31</v>
      </c>
      <c r="U19">
        <v>79</v>
      </c>
      <c r="V19">
        <v>4</v>
      </c>
      <c r="W19">
        <v>2</v>
      </c>
      <c r="X19">
        <v>23</v>
      </c>
      <c r="Y19">
        <v>29</v>
      </c>
    </row>
    <row r="20" spans="1:25" x14ac:dyDescent="0.3">
      <c r="A20" t="s">
        <v>112</v>
      </c>
      <c r="B20">
        <v>24</v>
      </c>
      <c r="C20">
        <v>4</v>
      </c>
      <c r="D20">
        <v>116</v>
      </c>
      <c r="E20">
        <v>75</v>
      </c>
      <c r="F20">
        <v>2158</v>
      </c>
      <c r="G20">
        <f t="shared" si="0"/>
        <v>3.4754402224281743E-2</v>
      </c>
      <c r="H20">
        <v>15.5</v>
      </c>
      <c r="I20">
        <v>73</v>
      </c>
      <c r="J20" t="s">
        <v>31</v>
      </c>
      <c r="U20">
        <v>80</v>
      </c>
      <c r="V20">
        <v>9</v>
      </c>
      <c r="W20">
        <v>13</v>
      </c>
      <c r="X20">
        <v>7</v>
      </c>
      <c r="Y20">
        <v>29</v>
      </c>
    </row>
    <row r="21" spans="1:25" x14ac:dyDescent="0.3">
      <c r="A21" t="s">
        <v>111</v>
      </c>
      <c r="B21">
        <v>29</v>
      </c>
      <c r="C21">
        <v>4</v>
      </c>
      <c r="D21">
        <v>68</v>
      </c>
      <c r="E21">
        <v>49</v>
      </c>
      <c r="F21">
        <v>1867</v>
      </c>
      <c r="G21">
        <f t="shared" si="0"/>
        <v>2.6245313336904125E-2</v>
      </c>
      <c r="H21">
        <v>19.5</v>
      </c>
      <c r="I21">
        <v>73</v>
      </c>
      <c r="J21" t="s">
        <v>31</v>
      </c>
      <c r="U21">
        <v>81</v>
      </c>
      <c r="V21">
        <v>4</v>
      </c>
      <c r="W21">
        <v>12</v>
      </c>
      <c r="X21">
        <v>13</v>
      </c>
      <c r="Y21">
        <v>29</v>
      </c>
    </row>
    <row r="22" spans="1:25" x14ac:dyDescent="0.3">
      <c r="A22" t="s">
        <v>100</v>
      </c>
      <c r="B22">
        <v>26</v>
      </c>
      <c r="C22">
        <v>4</v>
      </c>
      <c r="D22">
        <v>97</v>
      </c>
      <c r="E22">
        <v>46</v>
      </c>
      <c r="F22">
        <v>1950</v>
      </c>
      <c r="G22">
        <f t="shared" si="0"/>
        <v>2.3589743589743591E-2</v>
      </c>
      <c r="H22">
        <v>21</v>
      </c>
      <c r="I22">
        <v>73</v>
      </c>
      <c r="J22" t="s">
        <v>31</v>
      </c>
      <c r="U22">
        <v>82</v>
      </c>
      <c r="V22">
        <v>2</v>
      </c>
      <c r="W22">
        <v>9</v>
      </c>
      <c r="X22">
        <v>20</v>
      </c>
      <c r="Y22">
        <v>31</v>
      </c>
    </row>
    <row r="23" spans="1:25" x14ac:dyDescent="0.3">
      <c r="A23" t="s">
        <v>125</v>
      </c>
      <c r="B23">
        <v>29</v>
      </c>
      <c r="C23">
        <v>4</v>
      </c>
      <c r="D23">
        <v>98</v>
      </c>
      <c r="E23">
        <v>83</v>
      </c>
      <c r="F23">
        <v>2219</v>
      </c>
      <c r="G23">
        <f t="shared" si="0"/>
        <v>3.740423614240649E-2</v>
      </c>
      <c r="H23">
        <v>16.5</v>
      </c>
      <c r="I23">
        <v>74</v>
      </c>
      <c r="J23" t="s">
        <v>31</v>
      </c>
      <c r="T23" t="s">
        <v>349</v>
      </c>
      <c r="V23">
        <v>210</v>
      </c>
      <c r="W23">
        <v>237</v>
      </c>
      <c r="X23">
        <v>747</v>
      </c>
      <c r="Y23">
        <v>1194</v>
      </c>
    </row>
    <row r="24" spans="1:25" x14ac:dyDescent="0.3">
      <c r="A24" t="s">
        <v>111</v>
      </c>
      <c r="B24">
        <v>24</v>
      </c>
      <c r="C24">
        <v>4</v>
      </c>
      <c r="D24">
        <v>90</v>
      </c>
      <c r="E24">
        <v>75</v>
      </c>
      <c r="F24">
        <v>2108</v>
      </c>
      <c r="G24">
        <f t="shared" si="0"/>
        <v>3.5578747628083489E-2</v>
      </c>
      <c r="H24">
        <v>15.5</v>
      </c>
      <c r="I24">
        <v>74</v>
      </c>
      <c r="J24" t="s">
        <v>31</v>
      </c>
    </row>
    <row r="25" spans="1:25" x14ac:dyDescent="0.3">
      <c r="A25" t="s">
        <v>126</v>
      </c>
      <c r="B25">
        <v>26</v>
      </c>
      <c r="C25">
        <v>4</v>
      </c>
      <c r="D25">
        <v>79</v>
      </c>
      <c r="E25">
        <v>67</v>
      </c>
      <c r="F25">
        <v>1963</v>
      </c>
      <c r="G25">
        <f t="shared" si="0"/>
        <v>3.4131431482424861E-2</v>
      </c>
      <c r="H25">
        <v>15.5</v>
      </c>
      <c r="I25">
        <v>74</v>
      </c>
      <c r="J25" t="s">
        <v>31</v>
      </c>
    </row>
    <row r="26" spans="1:25" x14ac:dyDescent="0.3">
      <c r="A26" t="s">
        <v>112</v>
      </c>
      <c r="B26">
        <v>26</v>
      </c>
      <c r="C26">
        <v>4</v>
      </c>
      <c r="D26">
        <v>97</v>
      </c>
      <c r="E26">
        <v>78</v>
      </c>
      <c r="F26">
        <v>2300</v>
      </c>
      <c r="G26">
        <f t="shared" si="0"/>
        <v>3.3913043478260872E-2</v>
      </c>
      <c r="H26">
        <v>14.5</v>
      </c>
      <c r="I26">
        <v>74</v>
      </c>
      <c r="J26" t="s">
        <v>31</v>
      </c>
    </row>
    <row r="27" spans="1:25" x14ac:dyDescent="0.3">
      <c r="A27" t="s">
        <v>132</v>
      </c>
      <c r="B27">
        <v>31</v>
      </c>
      <c r="C27">
        <v>4</v>
      </c>
      <c r="D27">
        <v>79</v>
      </c>
      <c r="E27">
        <v>67</v>
      </c>
      <c r="F27">
        <v>2000</v>
      </c>
      <c r="G27">
        <f t="shared" si="0"/>
        <v>3.3500000000000002E-2</v>
      </c>
      <c r="H27">
        <v>16</v>
      </c>
      <c r="I27">
        <v>74</v>
      </c>
      <c r="J27" t="s">
        <v>31</v>
      </c>
    </row>
    <row r="28" spans="1:25" x14ac:dyDescent="0.3">
      <c r="A28" t="s">
        <v>129</v>
      </c>
      <c r="B28">
        <v>26</v>
      </c>
      <c r="C28">
        <v>4</v>
      </c>
      <c r="D28">
        <v>116</v>
      </c>
      <c r="E28">
        <v>75</v>
      </c>
      <c r="F28">
        <v>2246</v>
      </c>
      <c r="G28">
        <f t="shared" si="0"/>
        <v>3.3392698130008905E-2</v>
      </c>
      <c r="H28">
        <v>14</v>
      </c>
      <c r="I28">
        <v>74</v>
      </c>
      <c r="J28" t="s">
        <v>31</v>
      </c>
    </row>
    <row r="29" spans="1:25" x14ac:dyDescent="0.3">
      <c r="A29" t="s">
        <v>116</v>
      </c>
      <c r="B29">
        <v>25</v>
      </c>
      <c r="C29">
        <v>4</v>
      </c>
      <c r="D29">
        <v>121</v>
      </c>
      <c r="E29">
        <v>115</v>
      </c>
      <c r="F29">
        <v>2671</v>
      </c>
      <c r="G29">
        <f t="shared" si="0"/>
        <v>4.3055035567203297E-2</v>
      </c>
      <c r="H29">
        <v>13.5</v>
      </c>
      <c r="I29">
        <v>75</v>
      </c>
      <c r="J29" t="s">
        <v>31</v>
      </c>
    </row>
    <row r="30" spans="1:25" x14ac:dyDescent="0.3">
      <c r="A30" t="s">
        <v>145</v>
      </c>
      <c r="B30">
        <v>29</v>
      </c>
      <c r="C30">
        <v>4</v>
      </c>
      <c r="D30">
        <v>90</v>
      </c>
      <c r="E30">
        <v>70</v>
      </c>
      <c r="F30">
        <v>1937</v>
      </c>
      <c r="G30">
        <f t="shared" si="0"/>
        <v>3.6138358286009295E-2</v>
      </c>
      <c r="H30">
        <v>14</v>
      </c>
      <c r="I30">
        <v>75</v>
      </c>
      <c r="J30" t="s">
        <v>31</v>
      </c>
    </row>
    <row r="31" spans="1:25" x14ac:dyDescent="0.3">
      <c r="A31" t="s">
        <v>113</v>
      </c>
      <c r="B31">
        <v>23</v>
      </c>
      <c r="C31">
        <v>4</v>
      </c>
      <c r="D31">
        <v>115</v>
      </c>
      <c r="E31">
        <v>95</v>
      </c>
      <c r="F31">
        <v>2694</v>
      </c>
      <c r="G31">
        <f t="shared" si="0"/>
        <v>3.526354862657758E-2</v>
      </c>
      <c r="H31">
        <v>15</v>
      </c>
      <c r="I31">
        <v>75</v>
      </c>
      <c r="J31" t="s">
        <v>31</v>
      </c>
    </row>
    <row r="32" spans="1:25" x14ac:dyDescent="0.3">
      <c r="A32" t="s">
        <v>147</v>
      </c>
      <c r="B32">
        <v>22</v>
      </c>
      <c r="C32">
        <v>4</v>
      </c>
      <c r="D32">
        <v>121</v>
      </c>
      <c r="E32">
        <v>98</v>
      </c>
      <c r="F32">
        <v>2945</v>
      </c>
      <c r="G32">
        <f t="shared" si="0"/>
        <v>3.3276740237691005E-2</v>
      </c>
      <c r="H32">
        <v>14.5</v>
      </c>
      <c r="I32">
        <v>75</v>
      </c>
      <c r="J32" t="s">
        <v>31</v>
      </c>
    </row>
    <row r="33" spans="1:10" x14ac:dyDescent="0.3">
      <c r="A33" t="s">
        <v>126</v>
      </c>
      <c r="B33">
        <v>25</v>
      </c>
      <c r="C33">
        <v>4</v>
      </c>
      <c r="D33">
        <v>90</v>
      </c>
      <c r="E33">
        <v>71</v>
      </c>
      <c r="F33">
        <v>2223</v>
      </c>
      <c r="G33">
        <f t="shared" si="0"/>
        <v>3.1938821412505626E-2</v>
      </c>
      <c r="H33">
        <v>16.5</v>
      </c>
      <c r="I33">
        <v>75</v>
      </c>
      <c r="J33" t="s">
        <v>31</v>
      </c>
    </row>
    <row r="34" spans="1:10" x14ac:dyDescent="0.3">
      <c r="A34" t="s">
        <v>32</v>
      </c>
      <c r="B34">
        <v>23</v>
      </c>
      <c r="C34">
        <v>4</v>
      </c>
      <c r="D34">
        <v>120</v>
      </c>
      <c r="E34">
        <v>88</v>
      </c>
      <c r="F34">
        <v>2957</v>
      </c>
      <c r="G34">
        <f t="shared" si="0"/>
        <v>2.9759891782211702E-2</v>
      </c>
      <c r="H34">
        <v>17</v>
      </c>
      <c r="I34">
        <v>75</v>
      </c>
      <c r="J34" t="s">
        <v>31</v>
      </c>
    </row>
    <row r="35" spans="1:10" x14ac:dyDescent="0.3">
      <c r="A35" t="s">
        <v>145</v>
      </c>
      <c r="B35">
        <v>29.5</v>
      </c>
      <c r="C35">
        <v>4</v>
      </c>
      <c r="D35">
        <v>97</v>
      </c>
      <c r="E35">
        <v>71</v>
      </c>
      <c r="F35">
        <v>1825</v>
      </c>
      <c r="G35">
        <f t="shared" si="0"/>
        <v>3.8904109589041093E-2</v>
      </c>
      <c r="H35">
        <v>12.2</v>
      </c>
      <c r="I35">
        <v>76</v>
      </c>
      <c r="J35" t="s">
        <v>31</v>
      </c>
    </row>
    <row r="36" spans="1:10" x14ac:dyDescent="0.3">
      <c r="A36" t="s">
        <v>151</v>
      </c>
      <c r="B36">
        <v>27</v>
      </c>
      <c r="C36">
        <v>4</v>
      </c>
      <c r="D36">
        <v>101</v>
      </c>
      <c r="E36">
        <v>83</v>
      </c>
      <c r="F36">
        <v>2202</v>
      </c>
      <c r="G36">
        <f t="shared" si="0"/>
        <v>3.7693006357856496E-2</v>
      </c>
      <c r="H36">
        <v>15.3</v>
      </c>
      <c r="I36">
        <v>76</v>
      </c>
      <c r="J36" t="s">
        <v>31</v>
      </c>
    </row>
    <row r="37" spans="1:10" x14ac:dyDescent="0.3">
      <c r="A37" t="s">
        <v>56</v>
      </c>
      <c r="B37">
        <v>25</v>
      </c>
      <c r="C37">
        <v>4</v>
      </c>
      <c r="D37">
        <v>116</v>
      </c>
      <c r="E37">
        <v>81</v>
      </c>
      <c r="F37">
        <v>2220</v>
      </c>
      <c r="G37">
        <f t="shared" si="0"/>
        <v>3.6486486486486489E-2</v>
      </c>
      <c r="H37">
        <v>16.899999999999999</v>
      </c>
      <c r="I37">
        <v>76</v>
      </c>
      <c r="J37" t="s">
        <v>31</v>
      </c>
    </row>
    <row r="38" spans="1:10" x14ac:dyDescent="0.3">
      <c r="A38" t="s">
        <v>155</v>
      </c>
      <c r="B38">
        <v>29</v>
      </c>
      <c r="C38">
        <v>4</v>
      </c>
      <c r="D38">
        <v>90</v>
      </c>
      <c r="E38">
        <v>70</v>
      </c>
      <c r="F38">
        <v>1937</v>
      </c>
      <c r="G38">
        <f t="shared" si="0"/>
        <v>3.6138358286009295E-2</v>
      </c>
      <c r="H38">
        <v>14.2</v>
      </c>
      <c r="I38">
        <v>76</v>
      </c>
      <c r="J38" t="s">
        <v>31</v>
      </c>
    </row>
    <row r="39" spans="1:10" x14ac:dyDescent="0.3">
      <c r="A39" t="s">
        <v>149</v>
      </c>
      <c r="B39">
        <v>28</v>
      </c>
      <c r="C39">
        <v>4</v>
      </c>
      <c r="D39">
        <v>107</v>
      </c>
      <c r="E39">
        <v>86</v>
      </c>
      <c r="F39">
        <v>2464</v>
      </c>
      <c r="G39">
        <f t="shared" si="0"/>
        <v>3.49025974025974E-2</v>
      </c>
      <c r="H39">
        <v>15.5</v>
      </c>
      <c r="I39">
        <v>76</v>
      </c>
      <c r="J39" t="s">
        <v>31</v>
      </c>
    </row>
    <row r="40" spans="1:10" x14ac:dyDescent="0.3">
      <c r="A40" t="s">
        <v>161</v>
      </c>
      <c r="B40">
        <v>20</v>
      </c>
      <c r="C40">
        <v>4</v>
      </c>
      <c r="D40">
        <v>130</v>
      </c>
      <c r="E40">
        <v>102</v>
      </c>
      <c r="F40">
        <v>3150</v>
      </c>
      <c r="G40">
        <f t="shared" si="0"/>
        <v>3.2380952380952378E-2</v>
      </c>
      <c r="H40">
        <v>15.7</v>
      </c>
      <c r="I40">
        <v>76</v>
      </c>
      <c r="J40" t="s">
        <v>31</v>
      </c>
    </row>
    <row r="41" spans="1:10" x14ac:dyDescent="0.3">
      <c r="A41" t="s">
        <v>32</v>
      </c>
      <c r="B41">
        <v>19</v>
      </c>
      <c r="C41">
        <v>4</v>
      </c>
      <c r="D41">
        <v>120</v>
      </c>
      <c r="E41">
        <v>88</v>
      </c>
      <c r="F41">
        <v>3270</v>
      </c>
      <c r="G41">
        <f t="shared" si="0"/>
        <v>2.6911314984709479E-2</v>
      </c>
      <c r="H41">
        <v>21.9</v>
      </c>
      <c r="I41">
        <v>76</v>
      </c>
      <c r="J41" t="s">
        <v>31</v>
      </c>
    </row>
    <row r="42" spans="1:10" x14ac:dyDescent="0.3">
      <c r="A42" t="s">
        <v>163</v>
      </c>
      <c r="B42">
        <v>16.5</v>
      </c>
      <c r="C42">
        <v>6</v>
      </c>
      <c r="D42">
        <v>168</v>
      </c>
      <c r="E42">
        <v>120</v>
      </c>
      <c r="F42">
        <v>3820</v>
      </c>
      <c r="G42">
        <f t="shared" si="0"/>
        <v>3.1413612565445025E-2</v>
      </c>
      <c r="H42">
        <v>16.7</v>
      </c>
      <c r="I42">
        <v>76</v>
      </c>
      <c r="J42" t="s">
        <v>31</v>
      </c>
    </row>
    <row r="43" spans="1:10" x14ac:dyDescent="0.3">
      <c r="A43" t="s">
        <v>191</v>
      </c>
      <c r="B43">
        <v>21.5</v>
      </c>
      <c r="C43">
        <v>4</v>
      </c>
      <c r="D43">
        <v>121</v>
      </c>
      <c r="E43">
        <v>110</v>
      </c>
      <c r="F43">
        <v>2600</v>
      </c>
      <c r="G43">
        <f t="shared" si="0"/>
        <v>4.230769230769231E-2</v>
      </c>
      <c r="H43">
        <v>12.8</v>
      </c>
      <c r="I43">
        <v>77</v>
      </c>
      <c r="J43" t="s">
        <v>31</v>
      </c>
    </row>
    <row r="44" spans="1:10" x14ac:dyDescent="0.3">
      <c r="A44" t="s">
        <v>184</v>
      </c>
      <c r="B44">
        <v>29</v>
      </c>
      <c r="C44">
        <v>4</v>
      </c>
      <c r="D44">
        <v>97</v>
      </c>
      <c r="E44">
        <v>78</v>
      </c>
      <c r="F44">
        <v>1940</v>
      </c>
      <c r="G44">
        <f t="shared" si="0"/>
        <v>4.0206185567010312E-2</v>
      </c>
      <c r="H44">
        <v>14.5</v>
      </c>
      <c r="I44">
        <v>77</v>
      </c>
      <c r="J44" t="s">
        <v>31</v>
      </c>
    </row>
    <row r="45" spans="1:10" x14ac:dyDescent="0.3">
      <c r="A45" t="s">
        <v>126</v>
      </c>
      <c r="B45">
        <v>30.5</v>
      </c>
      <c r="C45">
        <v>4</v>
      </c>
      <c r="D45">
        <v>97</v>
      </c>
      <c r="E45">
        <v>78</v>
      </c>
      <c r="F45">
        <v>2190</v>
      </c>
      <c r="G45">
        <f t="shared" si="0"/>
        <v>3.5616438356164383E-2</v>
      </c>
      <c r="H45">
        <v>14.1</v>
      </c>
      <c r="I45">
        <v>77</v>
      </c>
      <c r="J45" t="s">
        <v>31</v>
      </c>
    </row>
    <row r="46" spans="1:10" x14ac:dyDescent="0.3">
      <c r="A46" t="s">
        <v>170</v>
      </c>
      <c r="B46">
        <v>36</v>
      </c>
      <c r="C46">
        <v>4</v>
      </c>
      <c r="D46">
        <v>79</v>
      </c>
      <c r="E46">
        <v>58</v>
      </c>
      <c r="F46">
        <v>1825</v>
      </c>
      <c r="G46">
        <f t="shared" si="0"/>
        <v>3.1780821917808219E-2</v>
      </c>
      <c r="H46">
        <v>18.600000000000001</v>
      </c>
      <c r="I46">
        <v>77</v>
      </c>
      <c r="J46" t="s">
        <v>31</v>
      </c>
    </row>
    <row r="47" spans="1:10" x14ac:dyDescent="0.3">
      <c r="A47" t="s">
        <v>220</v>
      </c>
      <c r="B47">
        <v>21.6</v>
      </c>
      <c r="C47">
        <v>4</v>
      </c>
      <c r="D47">
        <v>121</v>
      </c>
      <c r="E47">
        <v>115</v>
      </c>
      <c r="F47">
        <v>2795</v>
      </c>
      <c r="G47">
        <f t="shared" si="0"/>
        <v>4.1144901610017888E-2</v>
      </c>
      <c r="H47">
        <v>15.7</v>
      </c>
      <c r="I47">
        <v>78</v>
      </c>
      <c r="J47" t="s">
        <v>31</v>
      </c>
    </row>
    <row r="48" spans="1:10" x14ac:dyDescent="0.3">
      <c r="A48" t="s">
        <v>222</v>
      </c>
      <c r="B48">
        <v>31.5</v>
      </c>
      <c r="C48">
        <v>4</v>
      </c>
      <c r="D48">
        <v>89</v>
      </c>
      <c r="E48">
        <v>71</v>
      </c>
      <c r="F48">
        <v>1990</v>
      </c>
      <c r="G48">
        <f t="shared" si="0"/>
        <v>3.5678391959798994E-2</v>
      </c>
      <c r="H48">
        <v>14.9</v>
      </c>
      <c r="I48">
        <v>78</v>
      </c>
      <c r="J48" t="s">
        <v>31</v>
      </c>
    </row>
    <row r="49" spans="1:10" x14ac:dyDescent="0.3">
      <c r="A49" t="s">
        <v>193</v>
      </c>
      <c r="B49">
        <v>43.1</v>
      </c>
      <c r="C49">
        <v>4</v>
      </c>
      <c r="D49">
        <v>90</v>
      </c>
      <c r="E49">
        <v>48</v>
      </c>
      <c r="F49">
        <v>1985</v>
      </c>
      <c r="G49">
        <f t="shared" si="0"/>
        <v>2.4181360201511334E-2</v>
      </c>
      <c r="H49">
        <v>21.5</v>
      </c>
      <c r="I49">
        <v>78</v>
      </c>
      <c r="J49" t="s">
        <v>31</v>
      </c>
    </row>
    <row r="50" spans="1:10" x14ac:dyDescent="0.3">
      <c r="A50" t="s">
        <v>218</v>
      </c>
      <c r="B50">
        <v>20.3</v>
      </c>
      <c r="C50">
        <v>5</v>
      </c>
      <c r="D50">
        <v>131</v>
      </c>
      <c r="E50">
        <v>103</v>
      </c>
      <c r="F50">
        <v>2830</v>
      </c>
      <c r="G50">
        <f t="shared" si="0"/>
        <v>3.6395759717314485E-2</v>
      </c>
      <c r="H50">
        <v>15.9</v>
      </c>
      <c r="I50">
        <v>78</v>
      </c>
      <c r="J50" t="s">
        <v>31</v>
      </c>
    </row>
    <row r="51" spans="1:10" x14ac:dyDescent="0.3">
      <c r="A51" t="s">
        <v>219</v>
      </c>
      <c r="B51">
        <v>17</v>
      </c>
      <c r="C51">
        <v>6</v>
      </c>
      <c r="D51">
        <v>163</v>
      </c>
      <c r="E51">
        <v>125</v>
      </c>
      <c r="F51">
        <v>3140</v>
      </c>
      <c r="G51">
        <f t="shared" si="0"/>
        <v>3.9808917197452227E-2</v>
      </c>
      <c r="H51">
        <v>13.6</v>
      </c>
      <c r="I51">
        <v>78</v>
      </c>
      <c r="J51" t="s">
        <v>31</v>
      </c>
    </row>
    <row r="52" spans="1:10" x14ac:dyDescent="0.3">
      <c r="A52" t="s">
        <v>221</v>
      </c>
      <c r="B52">
        <v>16.2</v>
      </c>
      <c r="C52">
        <v>6</v>
      </c>
      <c r="D52">
        <v>163</v>
      </c>
      <c r="E52">
        <v>133</v>
      </c>
      <c r="F52">
        <v>3410</v>
      </c>
      <c r="G52">
        <f t="shared" si="0"/>
        <v>3.9002932551319647E-2</v>
      </c>
      <c r="H52">
        <v>15.8</v>
      </c>
      <c r="I52">
        <v>78</v>
      </c>
      <c r="J52" t="s">
        <v>31</v>
      </c>
    </row>
    <row r="53" spans="1:10" x14ac:dyDescent="0.3">
      <c r="A53" t="s">
        <v>234</v>
      </c>
      <c r="B53">
        <v>31.9</v>
      </c>
      <c r="C53">
        <v>4</v>
      </c>
      <c r="D53">
        <v>89</v>
      </c>
      <c r="E53">
        <v>71</v>
      </c>
      <c r="F53">
        <v>1925</v>
      </c>
      <c r="G53">
        <f t="shared" si="0"/>
        <v>3.6883116883116886E-2</v>
      </c>
      <c r="H53">
        <v>14</v>
      </c>
      <c r="I53">
        <v>79</v>
      </c>
      <c r="J53" t="s">
        <v>31</v>
      </c>
    </row>
    <row r="54" spans="1:10" x14ac:dyDescent="0.3">
      <c r="A54" t="s">
        <v>243</v>
      </c>
      <c r="B54">
        <v>37.299999999999997</v>
      </c>
      <c r="C54">
        <v>4</v>
      </c>
      <c r="D54">
        <v>91</v>
      </c>
      <c r="E54">
        <v>69</v>
      </c>
      <c r="F54">
        <v>2130</v>
      </c>
      <c r="G54">
        <f t="shared" si="0"/>
        <v>3.2394366197183097E-2</v>
      </c>
      <c r="H54">
        <v>14.7</v>
      </c>
      <c r="I54">
        <v>79</v>
      </c>
      <c r="J54" t="s">
        <v>31</v>
      </c>
    </row>
    <row r="55" spans="1:10" x14ac:dyDescent="0.3">
      <c r="A55" t="s">
        <v>32</v>
      </c>
      <c r="B55">
        <v>27.2</v>
      </c>
      <c r="C55">
        <v>4</v>
      </c>
      <c r="D55">
        <v>141</v>
      </c>
      <c r="E55">
        <v>71</v>
      </c>
      <c r="F55">
        <v>3190</v>
      </c>
      <c r="G55">
        <f t="shared" si="0"/>
        <v>2.2257053291536051E-2</v>
      </c>
      <c r="H55">
        <v>24.8</v>
      </c>
      <c r="I55">
        <v>79</v>
      </c>
      <c r="J55" t="s">
        <v>31</v>
      </c>
    </row>
    <row r="56" spans="1:10" x14ac:dyDescent="0.3">
      <c r="A56" t="s">
        <v>238</v>
      </c>
      <c r="B56">
        <v>25.4</v>
      </c>
      <c r="C56">
        <v>5</v>
      </c>
      <c r="D56">
        <v>183</v>
      </c>
      <c r="E56">
        <v>77</v>
      </c>
      <c r="F56">
        <v>3530</v>
      </c>
      <c r="G56">
        <f t="shared" si="0"/>
        <v>2.1813031161473088E-2</v>
      </c>
      <c r="H56">
        <v>20.100000000000001</v>
      </c>
      <c r="I56">
        <v>79</v>
      </c>
      <c r="J56" t="s">
        <v>31</v>
      </c>
    </row>
    <row r="57" spans="1:10" x14ac:dyDescent="0.3">
      <c r="A57" t="s">
        <v>251</v>
      </c>
      <c r="B57">
        <v>34.299999999999997</v>
      </c>
      <c r="C57">
        <v>4</v>
      </c>
      <c r="D57">
        <v>97</v>
      </c>
      <c r="E57">
        <v>78</v>
      </c>
      <c r="F57">
        <v>2188</v>
      </c>
      <c r="G57">
        <f t="shared" si="0"/>
        <v>3.5648994515539302E-2</v>
      </c>
      <c r="H57">
        <v>15.8</v>
      </c>
      <c r="I57">
        <v>80</v>
      </c>
      <c r="J57" t="s">
        <v>31</v>
      </c>
    </row>
    <row r="58" spans="1:10" x14ac:dyDescent="0.3">
      <c r="A58" t="s">
        <v>155</v>
      </c>
      <c r="B58">
        <v>41.5</v>
      </c>
      <c r="C58">
        <v>4</v>
      </c>
      <c r="D58">
        <v>98</v>
      </c>
      <c r="E58">
        <v>76</v>
      </c>
      <c r="F58">
        <v>2144</v>
      </c>
      <c r="G58">
        <f t="shared" si="0"/>
        <v>3.5447761194029849E-2</v>
      </c>
      <c r="H58">
        <v>14.7</v>
      </c>
      <c r="I58">
        <v>80</v>
      </c>
      <c r="J58" t="s">
        <v>31</v>
      </c>
    </row>
    <row r="59" spans="1:10" x14ac:dyDescent="0.3">
      <c r="A59" t="s">
        <v>265</v>
      </c>
      <c r="B59">
        <v>35</v>
      </c>
      <c r="C59">
        <v>4</v>
      </c>
      <c r="D59">
        <v>122</v>
      </c>
      <c r="E59">
        <v>88</v>
      </c>
      <c r="F59">
        <v>2500</v>
      </c>
      <c r="G59">
        <f t="shared" si="0"/>
        <v>3.5200000000000002E-2</v>
      </c>
      <c r="H59">
        <v>15.1</v>
      </c>
      <c r="I59">
        <v>80</v>
      </c>
      <c r="J59" t="s">
        <v>31</v>
      </c>
    </row>
    <row r="60" spans="1:10" x14ac:dyDescent="0.3">
      <c r="A60" t="s">
        <v>262</v>
      </c>
      <c r="B60">
        <v>29.8</v>
      </c>
      <c r="C60">
        <v>4</v>
      </c>
      <c r="D60">
        <v>89</v>
      </c>
      <c r="E60">
        <v>62</v>
      </c>
      <c r="F60">
        <v>1845</v>
      </c>
      <c r="G60">
        <f t="shared" si="0"/>
        <v>3.3604336043360432E-2</v>
      </c>
      <c r="H60">
        <v>15.3</v>
      </c>
      <c r="I60">
        <v>80</v>
      </c>
      <c r="J60" t="s">
        <v>31</v>
      </c>
    </row>
    <row r="61" spans="1:10" x14ac:dyDescent="0.3">
      <c r="A61" t="s">
        <v>256</v>
      </c>
      <c r="B61">
        <v>44.3</v>
      </c>
      <c r="C61">
        <v>4</v>
      </c>
      <c r="D61">
        <v>90</v>
      </c>
      <c r="E61">
        <v>48</v>
      </c>
      <c r="F61">
        <v>2085</v>
      </c>
      <c r="G61">
        <f t="shared" si="0"/>
        <v>2.302158273381295E-2</v>
      </c>
      <c r="H61">
        <v>21.7</v>
      </c>
      <c r="I61">
        <v>80</v>
      </c>
      <c r="J61" t="s">
        <v>31</v>
      </c>
    </row>
    <row r="62" spans="1:10" x14ac:dyDescent="0.3">
      <c r="A62" t="s">
        <v>259</v>
      </c>
      <c r="B62">
        <v>30</v>
      </c>
      <c r="C62">
        <v>4</v>
      </c>
      <c r="D62">
        <v>146</v>
      </c>
      <c r="E62">
        <v>67</v>
      </c>
      <c r="F62">
        <v>3250</v>
      </c>
      <c r="G62">
        <f t="shared" si="0"/>
        <v>2.0615384615384615E-2</v>
      </c>
      <c r="H62">
        <v>21.8</v>
      </c>
      <c r="I62">
        <v>80</v>
      </c>
      <c r="J62" t="s">
        <v>31</v>
      </c>
    </row>
    <row r="63" spans="1:10" x14ac:dyDescent="0.3">
      <c r="A63" t="s">
        <v>257</v>
      </c>
      <c r="B63">
        <v>43.4</v>
      </c>
      <c r="C63">
        <v>4</v>
      </c>
      <c r="D63">
        <v>90</v>
      </c>
      <c r="E63">
        <v>48</v>
      </c>
      <c r="F63">
        <v>2335</v>
      </c>
      <c r="G63">
        <f t="shared" si="0"/>
        <v>2.0556745182012847E-2</v>
      </c>
      <c r="H63">
        <v>23.7</v>
      </c>
      <c r="I63">
        <v>80</v>
      </c>
      <c r="J63" t="s">
        <v>31</v>
      </c>
    </row>
    <row r="64" spans="1:10" x14ac:dyDescent="0.3">
      <c r="A64" t="s">
        <v>261</v>
      </c>
      <c r="B64">
        <v>40.9</v>
      </c>
      <c r="C64">
        <v>4</v>
      </c>
      <c r="D64">
        <v>85</v>
      </c>
      <c r="F64">
        <v>1835</v>
      </c>
      <c r="G64">
        <f t="shared" si="0"/>
        <v>0</v>
      </c>
      <c r="H64">
        <v>17.3</v>
      </c>
      <c r="I64">
        <v>80</v>
      </c>
      <c r="J64" t="s">
        <v>31</v>
      </c>
    </row>
    <row r="65" spans="1:10" x14ac:dyDescent="0.3">
      <c r="A65" t="s">
        <v>258</v>
      </c>
      <c r="B65">
        <v>36.4</v>
      </c>
      <c r="C65">
        <v>5</v>
      </c>
      <c r="D65">
        <v>121</v>
      </c>
      <c r="E65">
        <v>67</v>
      </c>
      <c r="F65">
        <v>2950</v>
      </c>
      <c r="G65">
        <f t="shared" si="0"/>
        <v>2.271186440677966E-2</v>
      </c>
      <c r="H65">
        <v>19.899999999999999</v>
      </c>
      <c r="I65">
        <v>80</v>
      </c>
      <c r="J65" t="s">
        <v>31</v>
      </c>
    </row>
    <row r="66" spans="1:10" x14ac:dyDescent="0.3">
      <c r="A66" t="s">
        <v>279</v>
      </c>
      <c r="B66">
        <v>33</v>
      </c>
      <c r="C66">
        <v>4</v>
      </c>
      <c r="D66">
        <v>105</v>
      </c>
      <c r="E66">
        <v>74</v>
      </c>
      <c r="F66">
        <v>2190</v>
      </c>
      <c r="G66">
        <f t="shared" ref="G66:G129" si="1">IFERROR(E66/F66, "")</f>
        <v>3.3789954337899546E-2</v>
      </c>
      <c r="H66">
        <v>14.2</v>
      </c>
      <c r="I66">
        <v>81</v>
      </c>
      <c r="J66" t="s">
        <v>31</v>
      </c>
    </row>
    <row r="67" spans="1:10" x14ac:dyDescent="0.3">
      <c r="A67" t="s">
        <v>283</v>
      </c>
      <c r="B67">
        <v>28.1</v>
      </c>
      <c r="C67">
        <v>4</v>
      </c>
      <c r="D67">
        <v>141</v>
      </c>
      <c r="E67">
        <v>80</v>
      </c>
      <c r="F67">
        <v>3230</v>
      </c>
      <c r="G67">
        <f t="shared" si="1"/>
        <v>2.4767801857585141E-2</v>
      </c>
      <c r="H67">
        <v>20.399999999999999</v>
      </c>
      <c r="I67">
        <v>81</v>
      </c>
      <c r="J67" t="s">
        <v>31</v>
      </c>
    </row>
    <row r="68" spans="1:10" x14ac:dyDescent="0.3">
      <c r="A68" t="s">
        <v>280</v>
      </c>
      <c r="B68">
        <v>34.5</v>
      </c>
      <c r="C68">
        <v>4</v>
      </c>
      <c r="D68">
        <v>100</v>
      </c>
      <c r="F68">
        <v>2320</v>
      </c>
      <c r="G68">
        <f t="shared" si="1"/>
        <v>0</v>
      </c>
      <c r="H68">
        <v>15.8</v>
      </c>
      <c r="I68">
        <v>81</v>
      </c>
      <c r="J68" t="s">
        <v>31</v>
      </c>
    </row>
    <row r="69" spans="1:10" x14ac:dyDescent="0.3">
      <c r="A69" t="s">
        <v>284</v>
      </c>
      <c r="B69">
        <v>30.7</v>
      </c>
      <c r="C69">
        <v>6</v>
      </c>
      <c r="D69">
        <v>145</v>
      </c>
      <c r="E69">
        <v>76</v>
      </c>
      <c r="F69">
        <v>3160</v>
      </c>
      <c r="G69">
        <f t="shared" si="1"/>
        <v>2.4050632911392405E-2</v>
      </c>
      <c r="H69">
        <v>19.600000000000001</v>
      </c>
      <c r="I69">
        <v>81</v>
      </c>
      <c r="J69" t="s">
        <v>31</v>
      </c>
    </row>
    <row r="70" spans="1:10" x14ac:dyDescent="0.3">
      <c r="A70" t="s">
        <v>297</v>
      </c>
      <c r="B70">
        <v>36</v>
      </c>
      <c r="C70">
        <v>4</v>
      </c>
      <c r="D70">
        <v>105</v>
      </c>
      <c r="E70">
        <v>74</v>
      </c>
      <c r="F70">
        <v>1980</v>
      </c>
      <c r="G70">
        <f t="shared" si="1"/>
        <v>3.7373737373737372E-2</v>
      </c>
      <c r="H70">
        <v>15.3</v>
      </c>
      <c r="I70">
        <v>82</v>
      </c>
      <c r="J70" t="s">
        <v>31</v>
      </c>
    </row>
    <row r="71" spans="1:10" x14ac:dyDescent="0.3">
      <c r="A71" t="s">
        <v>313</v>
      </c>
      <c r="B71">
        <v>44</v>
      </c>
      <c r="C71">
        <v>4</v>
      </c>
      <c r="D71">
        <v>97</v>
      </c>
      <c r="E71">
        <v>52</v>
      </c>
      <c r="F71">
        <v>2130</v>
      </c>
      <c r="G71">
        <f t="shared" si="1"/>
        <v>2.4413145539906103E-2</v>
      </c>
      <c r="H71">
        <v>24.6</v>
      </c>
      <c r="I71">
        <v>82</v>
      </c>
      <c r="J71" t="s">
        <v>31</v>
      </c>
    </row>
    <row r="72" spans="1:10" x14ac:dyDescent="0.3">
      <c r="A72" t="s">
        <v>29</v>
      </c>
      <c r="B72">
        <v>27</v>
      </c>
      <c r="C72">
        <v>4</v>
      </c>
      <c r="D72">
        <v>97</v>
      </c>
      <c r="E72">
        <v>88</v>
      </c>
      <c r="F72">
        <v>2130</v>
      </c>
      <c r="G72">
        <f t="shared" si="1"/>
        <v>4.1314553990610327E-2</v>
      </c>
      <c r="H72">
        <v>14.5</v>
      </c>
      <c r="I72">
        <v>70</v>
      </c>
      <c r="J72" t="s">
        <v>25</v>
      </c>
    </row>
    <row r="73" spans="1:10" x14ac:dyDescent="0.3">
      <c r="A73" t="s">
        <v>24</v>
      </c>
      <c r="B73">
        <v>24</v>
      </c>
      <c r="C73">
        <v>4</v>
      </c>
      <c r="D73">
        <v>113</v>
      </c>
      <c r="E73">
        <v>95</v>
      </c>
      <c r="F73">
        <v>2372</v>
      </c>
      <c r="G73">
        <f t="shared" si="1"/>
        <v>4.0050590219224282E-2</v>
      </c>
      <c r="H73">
        <v>15</v>
      </c>
      <c r="I73">
        <v>70</v>
      </c>
      <c r="J73" t="s">
        <v>25</v>
      </c>
    </row>
    <row r="74" spans="1:10" x14ac:dyDescent="0.3">
      <c r="A74" t="s">
        <v>60</v>
      </c>
      <c r="B74">
        <v>35</v>
      </c>
      <c r="C74">
        <v>4</v>
      </c>
      <c r="D74">
        <v>72</v>
      </c>
      <c r="E74">
        <v>69</v>
      </c>
      <c r="F74">
        <v>1613</v>
      </c>
      <c r="G74">
        <f t="shared" si="1"/>
        <v>4.2777433353998758E-2</v>
      </c>
      <c r="H74">
        <v>18</v>
      </c>
      <c r="I74">
        <v>71</v>
      </c>
      <c r="J74" t="s">
        <v>25</v>
      </c>
    </row>
    <row r="75" spans="1:10" x14ac:dyDescent="0.3">
      <c r="A75" t="s">
        <v>42</v>
      </c>
      <c r="B75">
        <v>25</v>
      </c>
      <c r="C75">
        <v>4</v>
      </c>
      <c r="D75">
        <v>113</v>
      </c>
      <c r="E75">
        <v>95</v>
      </c>
      <c r="F75">
        <v>2228</v>
      </c>
      <c r="G75">
        <f t="shared" si="1"/>
        <v>4.2639138240574505E-2</v>
      </c>
      <c r="H75">
        <v>14</v>
      </c>
      <c r="I75">
        <v>71</v>
      </c>
      <c r="J75" t="s">
        <v>25</v>
      </c>
    </row>
    <row r="76" spans="1:10" x14ac:dyDescent="0.3">
      <c r="A76" t="s">
        <v>29</v>
      </c>
      <c r="B76">
        <v>27</v>
      </c>
      <c r="C76">
        <v>4</v>
      </c>
      <c r="D76">
        <v>97</v>
      </c>
      <c r="E76">
        <v>88</v>
      </c>
      <c r="F76">
        <v>2130</v>
      </c>
      <c r="G76">
        <f t="shared" si="1"/>
        <v>4.1314553990610327E-2</v>
      </c>
      <c r="H76">
        <v>14.5</v>
      </c>
      <c r="I76">
        <v>71</v>
      </c>
      <c r="J76" t="s">
        <v>25</v>
      </c>
    </row>
    <row r="77" spans="1:10" x14ac:dyDescent="0.3">
      <c r="A77" t="s">
        <v>59</v>
      </c>
      <c r="B77">
        <v>31</v>
      </c>
      <c r="C77">
        <v>4</v>
      </c>
      <c r="D77">
        <v>71</v>
      </c>
      <c r="E77">
        <v>65</v>
      </c>
      <c r="F77">
        <v>1773</v>
      </c>
      <c r="G77">
        <f t="shared" si="1"/>
        <v>3.6661026508742242E-2</v>
      </c>
      <c r="H77">
        <v>19</v>
      </c>
      <c r="I77">
        <v>71</v>
      </c>
      <c r="J77" t="s">
        <v>25</v>
      </c>
    </row>
    <row r="78" spans="1:10" x14ac:dyDescent="0.3">
      <c r="A78" t="s">
        <v>73</v>
      </c>
      <c r="B78">
        <v>19</v>
      </c>
      <c r="C78">
        <v>3</v>
      </c>
      <c r="D78">
        <v>70</v>
      </c>
      <c r="E78">
        <v>97</v>
      </c>
      <c r="F78">
        <v>2330</v>
      </c>
      <c r="G78">
        <f t="shared" si="1"/>
        <v>4.1630901287553645E-2</v>
      </c>
      <c r="H78">
        <v>13.5</v>
      </c>
      <c r="I78">
        <v>72</v>
      </c>
      <c r="J78" t="s">
        <v>25</v>
      </c>
    </row>
    <row r="79" spans="1:10" x14ac:dyDescent="0.3">
      <c r="A79" t="s">
        <v>86</v>
      </c>
      <c r="B79">
        <v>27</v>
      </c>
      <c r="C79">
        <v>4</v>
      </c>
      <c r="D79">
        <v>97</v>
      </c>
      <c r="E79">
        <v>88</v>
      </c>
      <c r="F79">
        <v>2100</v>
      </c>
      <c r="G79">
        <f t="shared" si="1"/>
        <v>4.1904761904761903E-2</v>
      </c>
      <c r="H79">
        <v>16.5</v>
      </c>
      <c r="I79">
        <v>72</v>
      </c>
      <c r="J79" t="s">
        <v>25</v>
      </c>
    </row>
    <row r="80" spans="1:10" x14ac:dyDescent="0.3">
      <c r="A80" t="s">
        <v>63</v>
      </c>
      <c r="B80">
        <v>24</v>
      </c>
      <c r="C80">
        <v>4</v>
      </c>
      <c r="D80">
        <v>113</v>
      </c>
      <c r="E80">
        <v>95</v>
      </c>
      <c r="F80">
        <v>2278</v>
      </c>
      <c r="G80">
        <f t="shared" si="1"/>
        <v>4.1703248463564532E-2</v>
      </c>
      <c r="H80">
        <v>15.5</v>
      </c>
      <c r="I80">
        <v>72</v>
      </c>
      <c r="J80" t="s">
        <v>25</v>
      </c>
    </row>
    <row r="81" spans="1:10" x14ac:dyDescent="0.3">
      <c r="A81" t="s">
        <v>83</v>
      </c>
      <c r="B81">
        <v>28</v>
      </c>
      <c r="C81">
        <v>4</v>
      </c>
      <c r="D81">
        <v>97</v>
      </c>
      <c r="E81">
        <v>92</v>
      </c>
      <c r="F81">
        <v>2288</v>
      </c>
      <c r="G81">
        <f t="shared" si="1"/>
        <v>4.0209790209790208E-2</v>
      </c>
      <c r="H81">
        <v>17</v>
      </c>
      <c r="I81">
        <v>72</v>
      </c>
      <c r="J81" t="s">
        <v>25</v>
      </c>
    </row>
    <row r="82" spans="1:10" x14ac:dyDescent="0.3">
      <c r="A82" t="s">
        <v>84</v>
      </c>
      <c r="B82">
        <v>23</v>
      </c>
      <c r="C82">
        <v>4</v>
      </c>
      <c r="D82">
        <v>120</v>
      </c>
      <c r="E82">
        <v>97</v>
      </c>
      <c r="F82">
        <v>2506</v>
      </c>
      <c r="G82">
        <f t="shared" si="1"/>
        <v>3.8707102952913006E-2</v>
      </c>
      <c r="H82">
        <v>14.5</v>
      </c>
      <c r="I82">
        <v>72</v>
      </c>
      <c r="J82" t="s">
        <v>25</v>
      </c>
    </row>
    <row r="83" spans="1:10" x14ac:dyDescent="0.3">
      <c r="A83" t="s">
        <v>106</v>
      </c>
      <c r="B83">
        <v>18</v>
      </c>
      <c r="C83">
        <v>3</v>
      </c>
      <c r="D83">
        <v>70</v>
      </c>
      <c r="E83">
        <v>90</v>
      </c>
      <c r="F83">
        <v>2124</v>
      </c>
      <c r="G83">
        <f t="shared" si="1"/>
        <v>4.2372881355932202E-2</v>
      </c>
      <c r="H83">
        <v>13.5</v>
      </c>
      <c r="I83">
        <v>73</v>
      </c>
      <c r="J83" t="s">
        <v>25</v>
      </c>
    </row>
    <row r="84" spans="1:10" x14ac:dyDescent="0.3">
      <c r="A84" t="s">
        <v>105</v>
      </c>
      <c r="B84">
        <v>22</v>
      </c>
      <c r="C84">
        <v>4</v>
      </c>
      <c r="D84">
        <v>108</v>
      </c>
      <c r="E84">
        <v>94</v>
      </c>
      <c r="F84">
        <v>2379</v>
      </c>
      <c r="G84">
        <f t="shared" si="1"/>
        <v>3.9512400168137875E-2</v>
      </c>
      <c r="H84">
        <v>16.5</v>
      </c>
      <c r="I84">
        <v>73</v>
      </c>
      <c r="J84" t="s">
        <v>25</v>
      </c>
    </row>
    <row r="85" spans="1:10" x14ac:dyDescent="0.3">
      <c r="A85" t="s">
        <v>104</v>
      </c>
      <c r="B85">
        <v>20</v>
      </c>
      <c r="C85">
        <v>4</v>
      </c>
      <c r="D85">
        <v>97</v>
      </c>
      <c r="E85">
        <v>88</v>
      </c>
      <c r="F85">
        <v>2279</v>
      </c>
      <c r="G85">
        <f t="shared" si="1"/>
        <v>3.861342694164107E-2</v>
      </c>
      <c r="H85">
        <v>19</v>
      </c>
      <c r="I85">
        <v>73</v>
      </c>
      <c r="J85" t="s">
        <v>25</v>
      </c>
    </row>
    <row r="86" spans="1:10" x14ac:dyDescent="0.3">
      <c r="A86" t="s">
        <v>117</v>
      </c>
      <c r="B86">
        <v>20</v>
      </c>
      <c r="C86">
        <v>6</v>
      </c>
      <c r="D86">
        <v>156</v>
      </c>
      <c r="E86">
        <v>122</v>
      </c>
      <c r="F86">
        <v>2807</v>
      </c>
      <c r="G86">
        <f t="shared" si="1"/>
        <v>4.3462771642322762E-2</v>
      </c>
      <c r="H86">
        <v>13.5</v>
      </c>
      <c r="I86">
        <v>73</v>
      </c>
      <c r="J86" t="s">
        <v>25</v>
      </c>
    </row>
    <row r="87" spans="1:10" x14ac:dyDescent="0.3">
      <c r="A87" t="s">
        <v>130</v>
      </c>
      <c r="B87">
        <v>24</v>
      </c>
      <c r="C87">
        <v>4</v>
      </c>
      <c r="D87">
        <v>120</v>
      </c>
      <c r="E87">
        <v>97</v>
      </c>
      <c r="F87">
        <v>2489</v>
      </c>
      <c r="G87">
        <f t="shared" si="1"/>
        <v>3.8971474487746086E-2</v>
      </c>
      <c r="H87">
        <v>15</v>
      </c>
      <c r="I87">
        <v>74</v>
      </c>
      <c r="J87" t="s">
        <v>25</v>
      </c>
    </row>
    <row r="88" spans="1:10" x14ac:dyDescent="0.3">
      <c r="A88" t="s">
        <v>131</v>
      </c>
      <c r="B88">
        <v>26</v>
      </c>
      <c r="C88">
        <v>4</v>
      </c>
      <c r="D88">
        <v>108</v>
      </c>
      <c r="E88">
        <v>93</v>
      </c>
      <c r="F88">
        <v>2391</v>
      </c>
      <c r="G88">
        <f t="shared" si="1"/>
        <v>3.889585947302384E-2</v>
      </c>
      <c r="H88">
        <v>15.5</v>
      </c>
      <c r="I88">
        <v>74</v>
      </c>
      <c r="J88" t="s">
        <v>25</v>
      </c>
    </row>
    <row r="89" spans="1:10" x14ac:dyDescent="0.3">
      <c r="A89" t="s">
        <v>59</v>
      </c>
      <c r="B89">
        <v>32</v>
      </c>
      <c r="C89">
        <v>4</v>
      </c>
      <c r="D89">
        <v>71</v>
      </c>
      <c r="E89">
        <v>65</v>
      </c>
      <c r="F89">
        <v>1836</v>
      </c>
      <c r="G89">
        <f t="shared" si="1"/>
        <v>3.5403050108932459E-2</v>
      </c>
      <c r="H89">
        <v>21</v>
      </c>
      <c r="I89">
        <v>74</v>
      </c>
      <c r="J89" t="s">
        <v>25</v>
      </c>
    </row>
    <row r="90" spans="1:10" x14ac:dyDescent="0.3">
      <c r="A90" t="s">
        <v>120</v>
      </c>
      <c r="B90">
        <v>31</v>
      </c>
      <c r="C90">
        <v>4</v>
      </c>
      <c r="D90">
        <v>79</v>
      </c>
      <c r="E90">
        <v>67</v>
      </c>
      <c r="F90">
        <v>1950</v>
      </c>
      <c r="G90">
        <f t="shared" si="1"/>
        <v>3.4358974358974358E-2</v>
      </c>
      <c r="H90">
        <v>19</v>
      </c>
      <c r="I90">
        <v>74</v>
      </c>
      <c r="J90" t="s">
        <v>25</v>
      </c>
    </row>
    <row r="91" spans="1:10" x14ac:dyDescent="0.3">
      <c r="A91" t="s">
        <v>42</v>
      </c>
      <c r="B91">
        <v>31</v>
      </c>
      <c r="C91">
        <v>4</v>
      </c>
      <c r="D91">
        <v>76</v>
      </c>
      <c r="E91">
        <v>52</v>
      </c>
      <c r="F91">
        <v>1649</v>
      </c>
      <c r="G91">
        <f t="shared" si="1"/>
        <v>3.1534263189812006E-2</v>
      </c>
      <c r="H91">
        <v>16.5</v>
      </c>
      <c r="I91">
        <v>74</v>
      </c>
      <c r="J91" t="s">
        <v>25</v>
      </c>
    </row>
    <row r="92" spans="1:10" x14ac:dyDescent="0.3">
      <c r="A92" t="s">
        <v>127</v>
      </c>
      <c r="B92">
        <v>32</v>
      </c>
      <c r="C92">
        <v>4</v>
      </c>
      <c r="D92">
        <v>83</v>
      </c>
      <c r="E92">
        <v>61</v>
      </c>
      <c r="F92">
        <v>2003</v>
      </c>
      <c r="G92">
        <f t="shared" si="1"/>
        <v>3.0454318522216674E-2</v>
      </c>
      <c r="H92">
        <v>19</v>
      </c>
      <c r="I92">
        <v>74</v>
      </c>
      <c r="J92" t="s">
        <v>25</v>
      </c>
    </row>
    <row r="93" spans="1:10" x14ac:dyDescent="0.3">
      <c r="A93" t="s">
        <v>127</v>
      </c>
      <c r="B93">
        <v>24</v>
      </c>
      <c r="C93">
        <v>4</v>
      </c>
      <c r="D93">
        <v>119</v>
      </c>
      <c r="E93">
        <v>97</v>
      </c>
      <c r="F93">
        <v>2545</v>
      </c>
      <c r="G93">
        <f t="shared" si="1"/>
        <v>3.81139489194499E-2</v>
      </c>
      <c r="H93">
        <v>17</v>
      </c>
      <c r="I93">
        <v>75</v>
      </c>
      <c r="J93" t="s">
        <v>25</v>
      </c>
    </row>
    <row r="94" spans="1:10" x14ac:dyDescent="0.3">
      <c r="A94" t="s">
        <v>42</v>
      </c>
      <c r="B94">
        <v>24</v>
      </c>
      <c r="C94">
        <v>4</v>
      </c>
      <c r="D94">
        <v>134</v>
      </c>
      <c r="E94">
        <v>96</v>
      </c>
      <c r="F94">
        <v>2702</v>
      </c>
      <c r="G94">
        <f t="shared" si="1"/>
        <v>3.552923760177646E-2</v>
      </c>
      <c r="H94">
        <v>13.5</v>
      </c>
      <c r="I94">
        <v>75</v>
      </c>
      <c r="J94" t="s">
        <v>25</v>
      </c>
    </row>
    <row r="95" spans="1:10" x14ac:dyDescent="0.3">
      <c r="A95" t="s">
        <v>143</v>
      </c>
      <c r="B95">
        <v>29</v>
      </c>
      <c r="C95">
        <v>4</v>
      </c>
      <c r="D95">
        <v>97</v>
      </c>
      <c r="E95">
        <v>75</v>
      </c>
      <c r="F95">
        <v>2171</v>
      </c>
      <c r="G95">
        <f t="shared" si="1"/>
        <v>3.4546292031321972E-2</v>
      </c>
      <c r="H95">
        <v>16</v>
      </c>
      <c r="I95">
        <v>75</v>
      </c>
      <c r="J95" t="s">
        <v>25</v>
      </c>
    </row>
    <row r="96" spans="1:10" x14ac:dyDescent="0.3">
      <c r="A96" t="s">
        <v>148</v>
      </c>
      <c r="B96">
        <v>33</v>
      </c>
      <c r="C96">
        <v>4</v>
      </c>
      <c r="D96">
        <v>91</v>
      </c>
      <c r="E96">
        <v>53</v>
      </c>
      <c r="F96">
        <v>1795</v>
      </c>
      <c r="G96">
        <f t="shared" si="1"/>
        <v>2.9526462395543174E-2</v>
      </c>
      <c r="H96">
        <v>17.5</v>
      </c>
      <c r="I96">
        <v>75</v>
      </c>
      <c r="J96" t="s">
        <v>25</v>
      </c>
    </row>
    <row r="97" spans="1:10" x14ac:dyDescent="0.3">
      <c r="A97" t="s">
        <v>160</v>
      </c>
      <c r="B97">
        <v>32</v>
      </c>
      <c r="C97">
        <v>4</v>
      </c>
      <c r="D97">
        <v>85</v>
      </c>
      <c r="E97">
        <v>70</v>
      </c>
      <c r="F97">
        <v>1990</v>
      </c>
      <c r="G97">
        <f t="shared" si="1"/>
        <v>3.5175879396984924E-2</v>
      </c>
      <c r="H97">
        <v>17</v>
      </c>
      <c r="I97">
        <v>76</v>
      </c>
      <c r="J97" t="s">
        <v>25</v>
      </c>
    </row>
    <row r="98" spans="1:10" x14ac:dyDescent="0.3">
      <c r="A98" t="s">
        <v>143</v>
      </c>
      <c r="B98">
        <v>28</v>
      </c>
      <c r="C98">
        <v>4</v>
      </c>
      <c r="D98">
        <v>97</v>
      </c>
      <c r="E98">
        <v>75</v>
      </c>
      <c r="F98">
        <v>2155</v>
      </c>
      <c r="G98">
        <f t="shared" si="1"/>
        <v>3.4802784222737818E-2</v>
      </c>
      <c r="H98">
        <v>16.399999999999999</v>
      </c>
      <c r="I98">
        <v>76</v>
      </c>
      <c r="J98" t="s">
        <v>25</v>
      </c>
    </row>
    <row r="99" spans="1:10" x14ac:dyDescent="0.3">
      <c r="A99" t="s">
        <v>130</v>
      </c>
      <c r="B99">
        <v>33</v>
      </c>
      <c r="C99">
        <v>4</v>
      </c>
      <c r="D99">
        <v>91</v>
      </c>
      <c r="E99">
        <v>53</v>
      </c>
      <c r="F99">
        <v>1795</v>
      </c>
      <c r="G99">
        <f t="shared" si="1"/>
        <v>2.9526462395543174E-2</v>
      </c>
      <c r="H99">
        <v>17.399999999999999</v>
      </c>
      <c r="I99">
        <v>76</v>
      </c>
      <c r="J99" t="s">
        <v>25</v>
      </c>
    </row>
    <row r="100" spans="1:10" x14ac:dyDescent="0.3">
      <c r="A100" t="s">
        <v>117</v>
      </c>
      <c r="B100">
        <v>19</v>
      </c>
      <c r="C100">
        <v>6</v>
      </c>
      <c r="D100">
        <v>156</v>
      </c>
      <c r="E100">
        <v>108</v>
      </c>
      <c r="F100">
        <v>2930</v>
      </c>
      <c r="G100">
        <f t="shared" si="1"/>
        <v>3.6860068259385668E-2</v>
      </c>
      <c r="H100">
        <v>15.5</v>
      </c>
      <c r="I100">
        <v>76</v>
      </c>
      <c r="J100" t="s">
        <v>25</v>
      </c>
    </row>
    <row r="101" spans="1:10" x14ac:dyDescent="0.3">
      <c r="A101" t="s">
        <v>192</v>
      </c>
      <c r="B101">
        <v>21.5</v>
      </c>
      <c r="C101">
        <v>3</v>
      </c>
      <c r="D101">
        <v>80</v>
      </c>
      <c r="E101">
        <v>110</v>
      </c>
      <c r="F101">
        <v>2720</v>
      </c>
      <c r="G101">
        <f t="shared" si="1"/>
        <v>4.0441176470588237E-2</v>
      </c>
      <c r="H101">
        <v>13.5</v>
      </c>
      <c r="I101">
        <v>77</v>
      </c>
      <c r="J101" t="s">
        <v>25</v>
      </c>
    </row>
    <row r="102" spans="1:10" x14ac:dyDescent="0.3">
      <c r="A102" t="s">
        <v>172</v>
      </c>
      <c r="B102">
        <v>33.5</v>
      </c>
      <c r="C102">
        <v>4</v>
      </c>
      <c r="D102">
        <v>85</v>
      </c>
      <c r="E102">
        <v>70</v>
      </c>
      <c r="F102">
        <v>1945</v>
      </c>
      <c r="G102">
        <f t="shared" si="1"/>
        <v>3.5989717223650387E-2</v>
      </c>
      <c r="H102">
        <v>16.8</v>
      </c>
      <c r="I102">
        <v>77</v>
      </c>
      <c r="J102" t="s">
        <v>25</v>
      </c>
    </row>
    <row r="103" spans="1:10" x14ac:dyDescent="0.3">
      <c r="A103" t="s">
        <v>189</v>
      </c>
      <c r="B103">
        <v>30</v>
      </c>
      <c r="C103">
        <v>4</v>
      </c>
      <c r="D103">
        <v>97</v>
      </c>
      <c r="E103">
        <v>67</v>
      </c>
      <c r="F103">
        <v>1985</v>
      </c>
      <c r="G103">
        <f t="shared" si="1"/>
        <v>3.3753148614609575E-2</v>
      </c>
      <c r="H103">
        <v>16.399999999999999</v>
      </c>
      <c r="I103">
        <v>77</v>
      </c>
      <c r="J103" t="s">
        <v>25</v>
      </c>
    </row>
    <row r="104" spans="1:10" x14ac:dyDescent="0.3">
      <c r="A104" t="s">
        <v>168</v>
      </c>
      <c r="B104">
        <v>31.5</v>
      </c>
      <c r="C104">
        <v>4</v>
      </c>
      <c r="D104">
        <v>98</v>
      </c>
      <c r="E104">
        <v>68</v>
      </c>
      <c r="F104">
        <v>2045</v>
      </c>
      <c r="G104">
        <f t="shared" si="1"/>
        <v>3.3251833740831294E-2</v>
      </c>
      <c r="H104">
        <v>18.5</v>
      </c>
      <c r="I104">
        <v>77</v>
      </c>
      <c r="J104" t="s">
        <v>25</v>
      </c>
    </row>
    <row r="105" spans="1:10" x14ac:dyDescent="0.3">
      <c r="A105" t="s">
        <v>186</v>
      </c>
      <c r="B105">
        <v>26</v>
      </c>
      <c r="C105">
        <v>4</v>
      </c>
      <c r="D105">
        <v>97</v>
      </c>
      <c r="E105">
        <v>75</v>
      </c>
      <c r="F105">
        <v>2265</v>
      </c>
      <c r="G105">
        <f t="shared" si="1"/>
        <v>3.3112582781456956E-2</v>
      </c>
      <c r="H105">
        <v>18.2</v>
      </c>
      <c r="I105">
        <v>77</v>
      </c>
      <c r="J105" t="s">
        <v>25</v>
      </c>
    </row>
    <row r="106" spans="1:10" x14ac:dyDescent="0.3">
      <c r="A106" t="s">
        <v>190</v>
      </c>
      <c r="B106">
        <v>22</v>
      </c>
      <c r="C106">
        <v>6</v>
      </c>
      <c r="D106">
        <v>146</v>
      </c>
      <c r="E106">
        <v>97</v>
      </c>
      <c r="F106">
        <v>2815</v>
      </c>
      <c r="G106">
        <f t="shared" si="1"/>
        <v>3.4458259325044406E-2</v>
      </c>
      <c r="H106">
        <v>14.5</v>
      </c>
      <c r="I106">
        <v>77</v>
      </c>
      <c r="J106" t="s">
        <v>25</v>
      </c>
    </row>
    <row r="107" spans="1:10" x14ac:dyDescent="0.3">
      <c r="A107" t="s">
        <v>212</v>
      </c>
      <c r="B107">
        <v>27.2</v>
      </c>
      <c r="C107">
        <v>4</v>
      </c>
      <c r="D107">
        <v>119</v>
      </c>
      <c r="E107">
        <v>97</v>
      </c>
      <c r="F107">
        <v>2300</v>
      </c>
      <c r="G107">
        <f t="shared" si="1"/>
        <v>4.2173913043478263E-2</v>
      </c>
      <c r="H107">
        <v>14.7</v>
      </c>
      <c r="I107">
        <v>78</v>
      </c>
      <c r="J107" t="s">
        <v>25</v>
      </c>
    </row>
    <row r="108" spans="1:10" x14ac:dyDescent="0.3">
      <c r="A108" t="s">
        <v>217</v>
      </c>
      <c r="B108">
        <v>23.9</v>
      </c>
      <c r="C108">
        <v>4</v>
      </c>
      <c r="D108">
        <v>119</v>
      </c>
      <c r="E108">
        <v>97</v>
      </c>
      <c r="F108">
        <v>2405</v>
      </c>
      <c r="G108">
        <f t="shared" si="1"/>
        <v>4.0332640332640335E-2</v>
      </c>
      <c r="H108">
        <v>14.9</v>
      </c>
      <c r="I108">
        <v>78</v>
      </c>
      <c r="J108" t="s">
        <v>25</v>
      </c>
    </row>
    <row r="109" spans="1:10" x14ac:dyDescent="0.3">
      <c r="A109" t="s">
        <v>214</v>
      </c>
      <c r="B109">
        <v>21.1</v>
      </c>
      <c r="C109">
        <v>4</v>
      </c>
      <c r="D109">
        <v>134</v>
      </c>
      <c r="E109">
        <v>95</v>
      </c>
      <c r="F109">
        <v>2515</v>
      </c>
      <c r="G109">
        <f t="shared" si="1"/>
        <v>3.7773359840954271E-2</v>
      </c>
      <c r="H109">
        <v>14.8</v>
      </c>
      <c r="I109">
        <v>78</v>
      </c>
      <c r="J109" t="s">
        <v>25</v>
      </c>
    </row>
    <row r="110" spans="1:10" x14ac:dyDescent="0.3">
      <c r="A110" t="s">
        <v>42</v>
      </c>
      <c r="B110">
        <v>27.5</v>
      </c>
      <c r="C110">
        <v>4</v>
      </c>
      <c r="D110">
        <v>134</v>
      </c>
      <c r="E110">
        <v>95</v>
      </c>
      <c r="F110">
        <v>2560</v>
      </c>
      <c r="G110">
        <f t="shared" si="1"/>
        <v>3.7109375E-2</v>
      </c>
      <c r="H110">
        <v>14.2</v>
      </c>
      <c r="I110">
        <v>78</v>
      </c>
      <c r="J110" t="s">
        <v>25</v>
      </c>
    </row>
    <row r="111" spans="1:10" x14ac:dyDescent="0.3">
      <c r="A111" t="s">
        <v>196</v>
      </c>
      <c r="B111">
        <v>39.4</v>
      </c>
      <c r="C111">
        <v>4</v>
      </c>
      <c r="D111">
        <v>85</v>
      </c>
      <c r="E111">
        <v>70</v>
      </c>
      <c r="F111">
        <v>2070</v>
      </c>
      <c r="G111">
        <f t="shared" si="1"/>
        <v>3.3816425120772944E-2</v>
      </c>
      <c r="H111">
        <v>18.600000000000001</v>
      </c>
      <c r="I111">
        <v>78</v>
      </c>
      <c r="J111" t="s">
        <v>25</v>
      </c>
    </row>
    <row r="112" spans="1:10" x14ac:dyDescent="0.3">
      <c r="A112" t="s">
        <v>148</v>
      </c>
      <c r="B112">
        <v>36.1</v>
      </c>
      <c r="C112">
        <v>4</v>
      </c>
      <c r="D112">
        <v>91</v>
      </c>
      <c r="E112">
        <v>60</v>
      </c>
      <c r="F112">
        <v>1800</v>
      </c>
      <c r="G112">
        <f t="shared" si="1"/>
        <v>3.3333333333333333E-2</v>
      </c>
      <c r="H112">
        <v>16.399999999999999</v>
      </c>
      <c r="I112">
        <v>78</v>
      </c>
      <c r="J112" t="s">
        <v>25</v>
      </c>
    </row>
    <row r="113" spans="1:10" x14ac:dyDescent="0.3">
      <c r="A113" t="s">
        <v>223</v>
      </c>
      <c r="B113">
        <v>29.5</v>
      </c>
      <c r="C113">
        <v>4</v>
      </c>
      <c r="D113">
        <v>98</v>
      </c>
      <c r="E113">
        <v>68</v>
      </c>
      <c r="F113">
        <v>2135</v>
      </c>
      <c r="G113">
        <f t="shared" si="1"/>
        <v>3.1850117096018739E-2</v>
      </c>
      <c r="H113">
        <v>16.600000000000001</v>
      </c>
      <c r="I113">
        <v>78</v>
      </c>
      <c r="J113" t="s">
        <v>25</v>
      </c>
    </row>
    <row r="114" spans="1:10" x14ac:dyDescent="0.3">
      <c r="A114" t="s">
        <v>195</v>
      </c>
      <c r="B114">
        <v>32.799999999999997</v>
      </c>
      <c r="C114">
        <v>4</v>
      </c>
      <c r="D114">
        <v>78</v>
      </c>
      <c r="E114">
        <v>52</v>
      </c>
      <c r="F114">
        <v>1985</v>
      </c>
      <c r="G114">
        <f t="shared" si="1"/>
        <v>2.6196473551637279E-2</v>
      </c>
      <c r="H114">
        <v>19.399999999999999</v>
      </c>
      <c r="I114">
        <v>78</v>
      </c>
      <c r="J114" t="s">
        <v>25</v>
      </c>
    </row>
    <row r="115" spans="1:10" x14ac:dyDescent="0.3">
      <c r="A115" t="s">
        <v>235</v>
      </c>
      <c r="B115">
        <v>34.1</v>
      </c>
      <c r="C115">
        <v>4</v>
      </c>
      <c r="D115">
        <v>86</v>
      </c>
      <c r="E115">
        <v>65</v>
      </c>
      <c r="F115">
        <v>1975</v>
      </c>
      <c r="G115">
        <f t="shared" si="1"/>
        <v>3.2911392405063293E-2</v>
      </c>
      <c r="H115">
        <v>15.2</v>
      </c>
      <c r="I115">
        <v>79</v>
      </c>
      <c r="J115" t="s">
        <v>25</v>
      </c>
    </row>
    <row r="116" spans="1:10" x14ac:dyDescent="0.3">
      <c r="A116" t="s">
        <v>242</v>
      </c>
      <c r="B116">
        <v>31.8</v>
      </c>
      <c r="C116">
        <v>4</v>
      </c>
      <c r="D116">
        <v>85</v>
      </c>
      <c r="E116">
        <v>65</v>
      </c>
      <c r="F116">
        <v>2020</v>
      </c>
      <c r="G116">
        <f t="shared" si="1"/>
        <v>3.2178217821782179E-2</v>
      </c>
      <c r="H116">
        <v>19.2</v>
      </c>
      <c r="I116">
        <v>79</v>
      </c>
      <c r="J116" t="s">
        <v>25</v>
      </c>
    </row>
    <row r="117" spans="1:10" x14ac:dyDescent="0.3">
      <c r="A117" t="s">
        <v>264</v>
      </c>
      <c r="B117">
        <v>23.7</v>
      </c>
      <c r="C117">
        <v>3</v>
      </c>
      <c r="D117">
        <v>70</v>
      </c>
      <c r="E117">
        <v>100</v>
      </c>
      <c r="F117">
        <v>2420</v>
      </c>
      <c r="G117">
        <f t="shared" si="1"/>
        <v>4.1322314049586778E-2</v>
      </c>
      <c r="H117">
        <v>12.5</v>
      </c>
      <c r="I117">
        <v>80</v>
      </c>
      <c r="J117" t="s">
        <v>25</v>
      </c>
    </row>
    <row r="118" spans="1:10" x14ac:dyDescent="0.3">
      <c r="A118" t="s">
        <v>254</v>
      </c>
      <c r="B118">
        <v>37</v>
      </c>
      <c r="C118">
        <v>4</v>
      </c>
      <c r="D118">
        <v>119</v>
      </c>
      <c r="E118">
        <v>92</v>
      </c>
      <c r="F118">
        <v>2434</v>
      </c>
      <c r="G118">
        <f t="shared" si="1"/>
        <v>3.7797863599013971E-2</v>
      </c>
      <c r="H118">
        <v>15</v>
      </c>
      <c r="I118">
        <v>80</v>
      </c>
      <c r="J118" t="s">
        <v>25</v>
      </c>
    </row>
    <row r="119" spans="1:10" x14ac:dyDescent="0.3">
      <c r="A119" t="s">
        <v>260</v>
      </c>
      <c r="B119">
        <v>44.6</v>
      </c>
      <c r="C119">
        <v>4</v>
      </c>
      <c r="D119">
        <v>91</v>
      </c>
      <c r="E119">
        <v>67</v>
      </c>
      <c r="F119">
        <v>1850</v>
      </c>
      <c r="G119">
        <f t="shared" si="1"/>
        <v>3.6216216216216214E-2</v>
      </c>
      <c r="H119">
        <v>13.8</v>
      </c>
      <c r="I119">
        <v>80</v>
      </c>
      <c r="J119" t="s">
        <v>25</v>
      </c>
    </row>
    <row r="120" spans="1:10" x14ac:dyDescent="0.3">
      <c r="A120" t="s">
        <v>252</v>
      </c>
      <c r="B120">
        <v>29.8</v>
      </c>
      <c r="C120">
        <v>4</v>
      </c>
      <c r="D120">
        <v>134</v>
      </c>
      <c r="E120">
        <v>90</v>
      </c>
      <c r="F120">
        <v>2711</v>
      </c>
      <c r="G120">
        <f t="shared" si="1"/>
        <v>3.3198081888601995E-2</v>
      </c>
      <c r="H120">
        <v>15.5</v>
      </c>
      <c r="I120">
        <v>80</v>
      </c>
      <c r="J120" t="s">
        <v>25</v>
      </c>
    </row>
    <row r="121" spans="1:10" x14ac:dyDescent="0.3">
      <c r="A121" t="s">
        <v>143</v>
      </c>
      <c r="B121">
        <v>32.200000000000003</v>
      </c>
      <c r="C121">
        <v>4</v>
      </c>
      <c r="D121">
        <v>108</v>
      </c>
      <c r="E121">
        <v>75</v>
      </c>
      <c r="F121">
        <v>2265</v>
      </c>
      <c r="G121">
        <f t="shared" si="1"/>
        <v>3.3112582781456956E-2</v>
      </c>
      <c r="H121">
        <v>15.2</v>
      </c>
      <c r="I121">
        <v>80</v>
      </c>
      <c r="J121" t="s">
        <v>25</v>
      </c>
    </row>
    <row r="122" spans="1:10" x14ac:dyDescent="0.3">
      <c r="A122" t="s">
        <v>249</v>
      </c>
      <c r="B122">
        <v>37.200000000000003</v>
      </c>
      <c r="C122">
        <v>4</v>
      </c>
      <c r="D122">
        <v>86</v>
      </c>
      <c r="E122">
        <v>65</v>
      </c>
      <c r="F122">
        <v>2019</v>
      </c>
      <c r="G122">
        <f t="shared" si="1"/>
        <v>3.2194155522535906E-2</v>
      </c>
      <c r="H122">
        <v>16.399999999999999</v>
      </c>
      <c r="I122">
        <v>80</v>
      </c>
      <c r="J122" t="s">
        <v>25</v>
      </c>
    </row>
    <row r="123" spans="1:10" x14ac:dyDescent="0.3">
      <c r="A123" t="s">
        <v>267</v>
      </c>
      <c r="B123">
        <v>32.4</v>
      </c>
      <c r="C123">
        <v>4</v>
      </c>
      <c r="D123">
        <v>107</v>
      </c>
      <c r="E123">
        <v>72</v>
      </c>
      <c r="F123">
        <v>2290</v>
      </c>
      <c r="G123">
        <f t="shared" si="1"/>
        <v>3.1441048034934499E-2</v>
      </c>
      <c r="H123">
        <v>17</v>
      </c>
      <c r="I123">
        <v>80</v>
      </c>
      <c r="J123" t="s">
        <v>25</v>
      </c>
    </row>
    <row r="124" spans="1:10" x14ac:dyDescent="0.3">
      <c r="A124" t="s">
        <v>189</v>
      </c>
      <c r="B124">
        <v>33.799999999999997</v>
      </c>
      <c r="C124">
        <v>4</v>
      </c>
      <c r="D124">
        <v>97</v>
      </c>
      <c r="E124">
        <v>67</v>
      </c>
      <c r="F124">
        <v>2145</v>
      </c>
      <c r="G124">
        <f t="shared" si="1"/>
        <v>3.1235431235431235E-2</v>
      </c>
      <c r="H124">
        <v>18</v>
      </c>
      <c r="I124">
        <v>80</v>
      </c>
      <c r="J124" t="s">
        <v>25</v>
      </c>
    </row>
    <row r="125" spans="1:10" x14ac:dyDescent="0.3">
      <c r="A125" t="s">
        <v>242</v>
      </c>
      <c r="B125">
        <v>40.799999999999997</v>
      </c>
      <c r="C125">
        <v>4</v>
      </c>
      <c r="D125">
        <v>85</v>
      </c>
      <c r="E125">
        <v>65</v>
      </c>
      <c r="F125">
        <v>2110</v>
      </c>
      <c r="G125">
        <f t="shared" si="1"/>
        <v>3.0805687203791468E-2</v>
      </c>
      <c r="H125">
        <v>19.2</v>
      </c>
      <c r="I125">
        <v>80</v>
      </c>
      <c r="J125" t="s">
        <v>25</v>
      </c>
    </row>
    <row r="126" spans="1:10" x14ac:dyDescent="0.3">
      <c r="A126" t="s">
        <v>255</v>
      </c>
      <c r="B126">
        <v>46.6</v>
      </c>
      <c r="C126">
        <v>4</v>
      </c>
      <c r="D126">
        <v>86</v>
      </c>
      <c r="E126">
        <v>65</v>
      </c>
      <c r="F126">
        <v>2110</v>
      </c>
      <c r="G126">
        <f t="shared" si="1"/>
        <v>3.0805687203791468E-2</v>
      </c>
      <c r="H126">
        <v>17.899999999999999</v>
      </c>
      <c r="I126">
        <v>80</v>
      </c>
      <c r="J126" t="s">
        <v>25</v>
      </c>
    </row>
    <row r="127" spans="1:10" x14ac:dyDescent="0.3">
      <c r="A127" t="s">
        <v>248</v>
      </c>
      <c r="B127">
        <v>38.1</v>
      </c>
      <c r="C127">
        <v>4</v>
      </c>
      <c r="D127">
        <v>89</v>
      </c>
      <c r="E127">
        <v>60</v>
      </c>
      <c r="F127">
        <v>1968</v>
      </c>
      <c r="G127">
        <f t="shared" si="1"/>
        <v>3.048780487804878E-2</v>
      </c>
      <c r="H127">
        <v>18.8</v>
      </c>
      <c r="I127">
        <v>80</v>
      </c>
      <c r="J127" t="s">
        <v>25</v>
      </c>
    </row>
    <row r="128" spans="1:10" x14ac:dyDescent="0.3">
      <c r="A128" t="s">
        <v>253</v>
      </c>
      <c r="B128">
        <v>31.3</v>
      </c>
      <c r="C128">
        <v>4</v>
      </c>
      <c r="D128">
        <v>120</v>
      </c>
      <c r="E128">
        <v>75</v>
      </c>
      <c r="F128">
        <v>2542</v>
      </c>
      <c r="G128">
        <f t="shared" si="1"/>
        <v>2.9504327301337528E-2</v>
      </c>
      <c r="H128">
        <v>17.5</v>
      </c>
      <c r="I128">
        <v>80</v>
      </c>
      <c r="J128" t="s">
        <v>25</v>
      </c>
    </row>
    <row r="129" spans="1:10" x14ac:dyDescent="0.3">
      <c r="A129" t="s">
        <v>263</v>
      </c>
      <c r="B129">
        <v>32.700000000000003</v>
      </c>
      <c r="C129">
        <v>6</v>
      </c>
      <c r="D129">
        <v>168</v>
      </c>
      <c r="E129">
        <v>132</v>
      </c>
      <c r="F129">
        <v>2910</v>
      </c>
      <c r="G129">
        <f t="shared" si="1"/>
        <v>4.536082474226804E-2</v>
      </c>
      <c r="H129">
        <v>11.4</v>
      </c>
      <c r="I129">
        <v>80</v>
      </c>
      <c r="J129" t="s">
        <v>25</v>
      </c>
    </row>
    <row r="130" spans="1:10" x14ac:dyDescent="0.3">
      <c r="A130" t="s">
        <v>282</v>
      </c>
      <c r="B130">
        <v>32.9</v>
      </c>
      <c r="C130">
        <v>4</v>
      </c>
      <c r="D130">
        <v>119</v>
      </c>
      <c r="E130">
        <v>100</v>
      </c>
      <c r="F130">
        <v>2615</v>
      </c>
      <c r="G130">
        <f t="shared" ref="G130:G193" si="2">IFERROR(E130/F130, "")</f>
        <v>3.8240917782026769E-2</v>
      </c>
      <c r="H130">
        <v>14.8</v>
      </c>
      <c r="I130">
        <v>81</v>
      </c>
      <c r="J130" t="s">
        <v>25</v>
      </c>
    </row>
    <row r="131" spans="1:10" x14ac:dyDescent="0.3">
      <c r="A131" t="s">
        <v>275</v>
      </c>
      <c r="B131">
        <v>34.1</v>
      </c>
      <c r="C131">
        <v>4</v>
      </c>
      <c r="D131">
        <v>91</v>
      </c>
      <c r="E131">
        <v>68</v>
      </c>
      <c r="F131">
        <v>1985</v>
      </c>
      <c r="G131">
        <f t="shared" si="2"/>
        <v>3.425692695214106E-2</v>
      </c>
      <c r="H131">
        <v>16</v>
      </c>
      <c r="I131">
        <v>81</v>
      </c>
      <c r="J131" t="s">
        <v>25</v>
      </c>
    </row>
    <row r="132" spans="1:10" x14ac:dyDescent="0.3">
      <c r="A132" t="s">
        <v>272</v>
      </c>
      <c r="B132">
        <v>35.1</v>
      </c>
      <c r="C132">
        <v>4</v>
      </c>
      <c r="D132">
        <v>81</v>
      </c>
      <c r="E132">
        <v>60</v>
      </c>
      <c r="F132">
        <v>1760</v>
      </c>
      <c r="G132">
        <f t="shared" si="2"/>
        <v>3.4090909090909088E-2</v>
      </c>
      <c r="H132">
        <v>16.100000000000001</v>
      </c>
      <c r="I132">
        <v>81</v>
      </c>
      <c r="J132" t="s">
        <v>25</v>
      </c>
    </row>
    <row r="133" spans="1:10" x14ac:dyDescent="0.3">
      <c r="A133" t="s">
        <v>281</v>
      </c>
      <c r="B133">
        <v>33.700000000000003</v>
      </c>
      <c r="C133">
        <v>4</v>
      </c>
      <c r="D133">
        <v>107</v>
      </c>
      <c r="E133">
        <v>75</v>
      </c>
      <c r="F133">
        <v>2210</v>
      </c>
      <c r="G133">
        <f t="shared" si="2"/>
        <v>3.3936651583710405E-2</v>
      </c>
      <c r="H133">
        <v>14.4</v>
      </c>
      <c r="I133">
        <v>81</v>
      </c>
      <c r="J133" t="s">
        <v>25</v>
      </c>
    </row>
    <row r="134" spans="1:10" x14ac:dyDescent="0.3">
      <c r="A134" t="s">
        <v>270</v>
      </c>
      <c r="B134">
        <v>39.1</v>
      </c>
      <c r="C134">
        <v>4</v>
      </c>
      <c r="D134">
        <v>79</v>
      </c>
      <c r="E134">
        <v>58</v>
      </c>
      <c r="F134">
        <v>1755</v>
      </c>
      <c r="G134">
        <f t="shared" si="2"/>
        <v>3.3048433048433051E-2</v>
      </c>
      <c r="H134">
        <v>16.899999999999999</v>
      </c>
      <c r="I134">
        <v>81</v>
      </c>
      <c r="J134" t="s">
        <v>25</v>
      </c>
    </row>
    <row r="135" spans="1:10" x14ac:dyDescent="0.3">
      <c r="A135" t="s">
        <v>273</v>
      </c>
      <c r="B135">
        <v>37</v>
      </c>
      <c r="C135">
        <v>4</v>
      </c>
      <c r="D135">
        <v>85</v>
      </c>
      <c r="E135">
        <v>65</v>
      </c>
      <c r="F135">
        <v>1975</v>
      </c>
      <c r="G135">
        <f t="shared" si="2"/>
        <v>3.2911392405063293E-2</v>
      </c>
      <c r="H135">
        <v>19.399999999999999</v>
      </c>
      <c r="I135">
        <v>81</v>
      </c>
      <c r="J135" t="s">
        <v>25</v>
      </c>
    </row>
    <row r="136" spans="1:10" x14ac:dyDescent="0.3">
      <c r="A136" t="s">
        <v>131</v>
      </c>
      <c r="B136">
        <v>32.299999999999997</v>
      </c>
      <c r="C136">
        <v>4</v>
      </c>
      <c r="D136">
        <v>97</v>
      </c>
      <c r="E136">
        <v>67</v>
      </c>
      <c r="F136">
        <v>2065</v>
      </c>
      <c r="G136">
        <f t="shared" si="2"/>
        <v>3.2445520581113801E-2</v>
      </c>
      <c r="H136">
        <v>17.8</v>
      </c>
      <c r="I136">
        <v>81</v>
      </c>
      <c r="J136" t="s">
        <v>25</v>
      </c>
    </row>
    <row r="137" spans="1:10" x14ac:dyDescent="0.3">
      <c r="A137" t="s">
        <v>143</v>
      </c>
      <c r="B137">
        <v>32.4</v>
      </c>
      <c r="C137">
        <v>4</v>
      </c>
      <c r="D137">
        <v>108</v>
      </c>
      <c r="E137">
        <v>75</v>
      </c>
      <c r="F137">
        <v>2350</v>
      </c>
      <c r="G137">
        <f t="shared" si="2"/>
        <v>3.1914893617021274E-2</v>
      </c>
      <c r="H137">
        <v>16.8</v>
      </c>
      <c r="I137">
        <v>81</v>
      </c>
      <c r="J137" t="s">
        <v>25</v>
      </c>
    </row>
    <row r="138" spans="1:10" x14ac:dyDescent="0.3">
      <c r="A138" t="s">
        <v>274</v>
      </c>
      <c r="B138">
        <v>37.700000000000003</v>
      </c>
      <c r="C138">
        <v>4</v>
      </c>
      <c r="D138">
        <v>89</v>
      </c>
      <c r="E138">
        <v>62</v>
      </c>
      <c r="F138">
        <v>2050</v>
      </c>
      <c r="G138">
        <f t="shared" si="2"/>
        <v>3.0243902439024389E-2</v>
      </c>
      <c r="H138">
        <v>17.3</v>
      </c>
      <c r="I138">
        <v>81</v>
      </c>
      <c r="J138" t="s">
        <v>25</v>
      </c>
    </row>
    <row r="139" spans="1:10" x14ac:dyDescent="0.3">
      <c r="A139" t="s">
        <v>253</v>
      </c>
      <c r="B139">
        <v>31.6</v>
      </c>
      <c r="C139">
        <v>4</v>
      </c>
      <c r="D139">
        <v>120</v>
      </c>
      <c r="E139">
        <v>74</v>
      </c>
      <c r="F139">
        <v>2635</v>
      </c>
      <c r="G139">
        <f t="shared" si="2"/>
        <v>2.808349146110057E-2</v>
      </c>
      <c r="H139">
        <v>18.3</v>
      </c>
      <c r="I139">
        <v>81</v>
      </c>
      <c r="J139" t="s">
        <v>25</v>
      </c>
    </row>
    <row r="140" spans="1:10" x14ac:dyDescent="0.3">
      <c r="A140" t="s">
        <v>286</v>
      </c>
      <c r="B140">
        <v>24.2</v>
      </c>
      <c r="C140">
        <v>6</v>
      </c>
      <c r="D140">
        <v>146</v>
      </c>
      <c r="E140">
        <v>120</v>
      </c>
      <c r="F140">
        <v>2930</v>
      </c>
      <c r="G140">
        <f t="shared" si="2"/>
        <v>4.0955631399317405E-2</v>
      </c>
      <c r="H140">
        <v>13.8</v>
      </c>
      <c r="I140">
        <v>81</v>
      </c>
      <c r="J140" t="s">
        <v>25</v>
      </c>
    </row>
    <row r="141" spans="1:10" x14ac:dyDescent="0.3">
      <c r="A141" t="s">
        <v>285</v>
      </c>
      <c r="B141">
        <v>25.4</v>
      </c>
      <c r="C141">
        <v>6</v>
      </c>
      <c r="D141">
        <v>168</v>
      </c>
      <c r="E141">
        <v>116</v>
      </c>
      <c r="F141">
        <v>2900</v>
      </c>
      <c r="G141">
        <f t="shared" si="2"/>
        <v>0.04</v>
      </c>
      <c r="H141">
        <v>12.6</v>
      </c>
      <c r="I141">
        <v>81</v>
      </c>
      <c r="J141" t="s">
        <v>25</v>
      </c>
    </row>
    <row r="142" spans="1:10" x14ac:dyDescent="0.3">
      <c r="A142" t="s">
        <v>302</v>
      </c>
      <c r="B142">
        <v>36</v>
      </c>
      <c r="C142">
        <v>4</v>
      </c>
      <c r="D142">
        <v>120</v>
      </c>
      <c r="E142">
        <v>88</v>
      </c>
      <c r="F142">
        <v>2160</v>
      </c>
      <c r="G142">
        <f t="shared" si="2"/>
        <v>4.0740740740740744E-2</v>
      </c>
      <c r="H142">
        <v>14.5</v>
      </c>
      <c r="I142">
        <v>82</v>
      </c>
      <c r="J142" t="s">
        <v>25</v>
      </c>
    </row>
    <row r="143" spans="1:10" x14ac:dyDescent="0.3">
      <c r="A143" t="s">
        <v>309</v>
      </c>
      <c r="B143">
        <v>32</v>
      </c>
      <c r="C143">
        <v>4</v>
      </c>
      <c r="D143">
        <v>144</v>
      </c>
      <c r="E143">
        <v>96</v>
      </c>
      <c r="F143">
        <v>2665</v>
      </c>
      <c r="G143">
        <f t="shared" si="2"/>
        <v>3.6022514071294559E-2</v>
      </c>
      <c r="H143">
        <v>13.9</v>
      </c>
      <c r="I143">
        <v>82</v>
      </c>
      <c r="J143" t="s">
        <v>25</v>
      </c>
    </row>
    <row r="144" spans="1:10" x14ac:dyDescent="0.3">
      <c r="A144" t="s">
        <v>299</v>
      </c>
      <c r="B144">
        <v>31</v>
      </c>
      <c r="C144">
        <v>4</v>
      </c>
      <c r="D144">
        <v>91</v>
      </c>
      <c r="E144">
        <v>68</v>
      </c>
      <c r="F144">
        <v>1970</v>
      </c>
      <c r="G144">
        <f t="shared" si="2"/>
        <v>3.4517766497461931E-2</v>
      </c>
      <c r="H144">
        <v>17.600000000000001</v>
      </c>
      <c r="I144">
        <v>82</v>
      </c>
      <c r="J144" t="s">
        <v>25</v>
      </c>
    </row>
    <row r="145" spans="1:10" x14ac:dyDescent="0.3">
      <c r="A145" t="s">
        <v>130</v>
      </c>
      <c r="B145">
        <v>38</v>
      </c>
      <c r="C145">
        <v>4</v>
      </c>
      <c r="D145">
        <v>91</v>
      </c>
      <c r="E145">
        <v>67</v>
      </c>
      <c r="F145">
        <v>1965</v>
      </c>
      <c r="G145">
        <f t="shared" si="2"/>
        <v>3.4096692111959287E-2</v>
      </c>
      <c r="H145">
        <v>15</v>
      </c>
      <c r="I145">
        <v>82</v>
      </c>
      <c r="J145" t="s">
        <v>25</v>
      </c>
    </row>
    <row r="146" spans="1:10" x14ac:dyDescent="0.3">
      <c r="A146" t="s">
        <v>303</v>
      </c>
      <c r="B146">
        <v>32</v>
      </c>
      <c r="C146">
        <v>4</v>
      </c>
      <c r="D146">
        <v>91</v>
      </c>
      <c r="E146">
        <v>67</v>
      </c>
      <c r="F146">
        <v>1965</v>
      </c>
      <c r="G146">
        <f t="shared" si="2"/>
        <v>3.4096692111959287E-2</v>
      </c>
      <c r="H146">
        <v>15.7</v>
      </c>
      <c r="I146">
        <v>82</v>
      </c>
      <c r="J146" t="s">
        <v>25</v>
      </c>
    </row>
    <row r="147" spans="1:10" x14ac:dyDescent="0.3">
      <c r="A147" t="s">
        <v>267</v>
      </c>
      <c r="B147">
        <v>36</v>
      </c>
      <c r="C147">
        <v>4</v>
      </c>
      <c r="D147">
        <v>107</v>
      </c>
      <c r="E147">
        <v>75</v>
      </c>
      <c r="F147">
        <v>2205</v>
      </c>
      <c r="G147">
        <f t="shared" si="2"/>
        <v>3.4013605442176874E-2</v>
      </c>
      <c r="H147">
        <v>14.5</v>
      </c>
      <c r="I147">
        <v>82</v>
      </c>
      <c r="J147" t="s">
        <v>25</v>
      </c>
    </row>
    <row r="148" spans="1:10" x14ac:dyDescent="0.3">
      <c r="A148" t="s">
        <v>304</v>
      </c>
      <c r="B148">
        <v>38</v>
      </c>
      <c r="C148">
        <v>4</v>
      </c>
      <c r="D148">
        <v>91</v>
      </c>
      <c r="E148">
        <v>67</v>
      </c>
      <c r="F148">
        <v>1995</v>
      </c>
      <c r="G148">
        <f t="shared" si="2"/>
        <v>3.3583959899749376E-2</v>
      </c>
      <c r="H148">
        <v>16.2</v>
      </c>
      <c r="I148">
        <v>82</v>
      </c>
      <c r="J148" t="s">
        <v>25</v>
      </c>
    </row>
    <row r="149" spans="1:10" x14ac:dyDescent="0.3">
      <c r="A149" t="s">
        <v>298</v>
      </c>
      <c r="B149">
        <v>37</v>
      </c>
      <c r="C149">
        <v>4</v>
      </c>
      <c r="D149">
        <v>91</v>
      </c>
      <c r="E149">
        <v>68</v>
      </c>
      <c r="F149">
        <v>2025</v>
      </c>
      <c r="G149">
        <f t="shared" si="2"/>
        <v>3.3580246913580247E-2</v>
      </c>
      <c r="H149">
        <v>18.2</v>
      </c>
      <c r="I149">
        <v>82</v>
      </c>
      <c r="J149" t="s">
        <v>25</v>
      </c>
    </row>
    <row r="150" spans="1:10" x14ac:dyDescent="0.3">
      <c r="A150" t="s">
        <v>143</v>
      </c>
      <c r="B150">
        <v>34</v>
      </c>
      <c r="C150">
        <v>4</v>
      </c>
      <c r="D150">
        <v>108</v>
      </c>
      <c r="E150">
        <v>70</v>
      </c>
      <c r="F150">
        <v>2245</v>
      </c>
      <c r="G150">
        <f t="shared" si="2"/>
        <v>3.1180400890868598E-2</v>
      </c>
      <c r="H150">
        <v>16.899999999999999</v>
      </c>
      <c r="I150">
        <v>82</v>
      </c>
      <c r="J150" t="s">
        <v>25</v>
      </c>
    </row>
    <row r="151" spans="1:10" x14ac:dyDescent="0.3">
      <c r="A151" t="s">
        <v>27</v>
      </c>
      <c r="B151">
        <v>18</v>
      </c>
      <c r="C151">
        <v>6</v>
      </c>
      <c r="D151">
        <v>199</v>
      </c>
      <c r="E151">
        <v>97</v>
      </c>
      <c r="F151">
        <v>2774</v>
      </c>
      <c r="G151">
        <f t="shared" si="2"/>
        <v>3.4967555875991346E-2</v>
      </c>
      <c r="H151">
        <v>15.5</v>
      </c>
      <c r="I151">
        <v>70</v>
      </c>
      <c r="J151" t="s">
        <v>10</v>
      </c>
    </row>
    <row r="152" spans="1:10" x14ac:dyDescent="0.3">
      <c r="A152" t="s">
        <v>36</v>
      </c>
      <c r="B152">
        <v>21</v>
      </c>
      <c r="C152">
        <v>6</v>
      </c>
      <c r="D152">
        <v>199</v>
      </c>
      <c r="E152">
        <v>90</v>
      </c>
      <c r="F152">
        <v>2648</v>
      </c>
      <c r="G152">
        <f t="shared" si="2"/>
        <v>3.3987915407854986E-2</v>
      </c>
      <c r="H152">
        <v>15</v>
      </c>
      <c r="I152">
        <v>70</v>
      </c>
      <c r="J152" t="s">
        <v>10</v>
      </c>
    </row>
    <row r="153" spans="1:10" x14ac:dyDescent="0.3">
      <c r="A153" t="s">
        <v>26</v>
      </c>
      <c r="B153">
        <v>22</v>
      </c>
      <c r="C153">
        <v>6</v>
      </c>
      <c r="D153">
        <v>198</v>
      </c>
      <c r="E153">
        <v>95</v>
      </c>
      <c r="F153">
        <v>2833</v>
      </c>
      <c r="G153">
        <f t="shared" si="2"/>
        <v>3.3533356865513592E-2</v>
      </c>
      <c r="H153">
        <v>15.5</v>
      </c>
      <c r="I153">
        <v>70</v>
      </c>
      <c r="J153" t="s">
        <v>10</v>
      </c>
    </row>
    <row r="154" spans="1:10" x14ac:dyDescent="0.3">
      <c r="A154" t="s">
        <v>28</v>
      </c>
      <c r="B154">
        <v>21</v>
      </c>
      <c r="C154">
        <v>6</v>
      </c>
      <c r="D154">
        <v>200</v>
      </c>
      <c r="E154">
        <v>85</v>
      </c>
      <c r="F154">
        <v>2587</v>
      </c>
      <c r="G154">
        <f t="shared" si="2"/>
        <v>3.2856590645535366E-2</v>
      </c>
      <c r="H154">
        <v>16</v>
      </c>
      <c r="I154">
        <v>70</v>
      </c>
      <c r="J154" t="s">
        <v>10</v>
      </c>
    </row>
    <row r="155" spans="1:10" x14ac:dyDescent="0.3">
      <c r="A155" t="s">
        <v>23</v>
      </c>
      <c r="B155">
        <v>14</v>
      </c>
      <c r="C155">
        <v>8</v>
      </c>
      <c r="D155">
        <v>455</v>
      </c>
      <c r="E155">
        <v>225</v>
      </c>
      <c r="F155">
        <v>3086</v>
      </c>
      <c r="G155">
        <f t="shared" si="2"/>
        <v>7.2909915748541804E-2</v>
      </c>
      <c r="H155">
        <v>10</v>
      </c>
      <c r="I155">
        <v>70</v>
      </c>
      <c r="J155" t="s">
        <v>10</v>
      </c>
    </row>
    <row r="156" spans="1:10" x14ac:dyDescent="0.3">
      <c r="A156" t="s">
        <v>18</v>
      </c>
      <c r="B156">
        <v>14</v>
      </c>
      <c r="C156">
        <v>8</v>
      </c>
      <c r="D156">
        <v>455</v>
      </c>
      <c r="E156">
        <v>225</v>
      </c>
      <c r="F156">
        <v>4425</v>
      </c>
      <c r="G156">
        <f t="shared" si="2"/>
        <v>5.0847457627118647E-2</v>
      </c>
      <c r="H156">
        <v>10</v>
      </c>
      <c r="I156">
        <v>70</v>
      </c>
      <c r="J156" t="s">
        <v>10</v>
      </c>
    </row>
    <row r="157" spans="1:10" x14ac:dyDescent="0.3">
      <c r="A157" t="s">
        <v>16</v>
      </c>
      <c r="B157">
        <v>14</v>
      </c>
      <c r="C157">
        <v>8</v>
      </c>
      <c r="D157">
        <v>454</v>
      </c>
      <c r="E157">
        <v>220</v>
      </c>
      <c r="F157">
        <v>4354</v>
      </c>
      <c r="G157">
        <f t="shared" si="2"/>
        <v>5.0528249885163065E-2</v>
      </c>
      <c r="H157">
        <v>9</v>
      </c>
      <c r="I157">
        <v>70</v>
      </c>
      <c r="J157" t="s">
        <v>10</v>
      </c>
    </row>
    <row r="158" spans="1:10" x14ac:dyDescent="0.3">
      <c r="A158" t="s">
        <v>17</v>
      </c>
      <c r="B158">
        <v>14</v>
      </c>
      <c r="C158">
        <v>8</v>
      </c>
      <c r="D158">
        <v>440</v>
      </c>
      <c r="E158">
        <v>215</v>
      </c>
      <c r="F158">
        <v>4312</v>
      </c>
      <c r="G158">
        <f t="shared" si="2"/>
        <v>4.9860853432282005E-2</v>
      </c>
      <c r="H158">
        <v>8.5</v>
      </c>
      <c r="I158">
        <v>70</v>
      </c>
      <c r="J158" t="s">
        <v>10</v>
      </c>
    </row>
    <row r="159" spans="1:10" x14ac:dyDescent="0.3">
      <c r="A159" t="s">
        <v>19</v>
      </c>
      <c r="B159">
        <v>15</v>
      </c>
      <c r="C159">
        <v>8</v>
      </c>
      <c r="D159">
        <v>390</v>
      </c>
      <c r="E159">
        <v>190</v>
      </c>
      <c r="F159">
        <v>3850</v>
      </c>
      <c r="G159">
        <f t="shared" si="2"/>
        <v>4.9350649350649353E-2</v>
      </c>
      <c r="H159">
        <v>8.5</v>
      </c>
      <c r="I159">
        <v>70</v>
      </c>
      <c r="J159" t="s">
        <v>10</v>
      </c>
    </row>
    <row r="160" spans="1:10" x14ac:dyDescent="0.3">
      <c r="A160" t="s">
        <v>39</v>
      </c>
      <c r="B160">
        <v>11</v>
      </c>
      <c r="C160">
        <v>8</v>
      </c>
      <c r="D160">
        <v>318</v>
      </c>
      <c r="E160">
        <v>210</v>
      </c>
      <c r="F160">
        <v>4382</v>
      </c>
      <c r="G160">
        <f t="shared" si="2"/>
        <v>4.7923322683706068E-2</v>
      </c>
      <c r="H160">
        <v>13.5</v>
      </c>
      <c r="I160">
        <v>70</v>
      </c>
      <c r="J160" t="s">
        <v>10</v>
      </c>
    </row>
    <row r="161" spans="1:10" x14ac:dyDescent="0.3">
      <c r="A161" t="s">
        <v>20</v>
      </c>
      <c r="B161">
        <v>15</v>
      </c>
      <c r="C161">
        <v>8</v>
      </c>
      <c r="D161">
        <v>383</v>
      </c>
      <c r="E161">
        <v>170</v>
      </c>
      <c r="F161">
        <v>3563</v>
      </c>
      <c r="G161">
        <f t="shared" si="2"/>
        <v>4.771260174010665E-2</v>
      </c>
      <c r="H161">
        <v>10</v>
      </c>
      <c r="I161">
        <v>70</v>
      </c>
      <c r="J161" t="s">
        <v>10</v>
      </c>
    </row>
    <row r="162" spans="1:10" x14ac:dyDescent="0.3">
      <c r="A162" t="s">
        <v>37</v>
      </c>
      <c r="B162">
        <v>10</v>
      </c>
      <c r="C162">
        <v>8</v>
      </c>
      <c r="D162">
        <v>360</v>
      </c>
      <c r="E162">
        <v>215</v>
      </c>
      <c r="F162">
        <v>4615</v>
      </c>
      <c r="G162">
        <f t="shared" si="2"/>
        <v>4.6587215601300108E-2</v>
      </c>
      <c r="H162">
        <v>14</v>
      </c>
      <c r="I162">
        <v>70</v>
      </c>
      <c r="J162" t="s">
        <v>10</v>
      </c>
    </row>
    <row r="163" spans="1:10" x14ac:dyDescent="0.3">
      <c r="A163" t="s">
        <v>38</v>
      </c>
      <c r="B163">
        <v>10</v>
      </c>
      <c r="C163">
        <v>8</v>
      </c>
      <c r="D163">
        <v>307</v>
      </c>
      <c r="E163">
        <v>200</v>
      </c>
      <c r="F163">
        <v>4376</v>
      </c>
      <c r="G163">
        <f t="shared" si="2"/>
        <v>4.5703839122486288E-2</v>
      </c>
      <c r="H163">
        <v>15</v>
      </c>
      <c r="I163">
        <v>70</v>
      </c>
      <c r="J163" t="s">
        <v>10</v>
      </c>
    </row>
    <row r="164" spans="1:10" x14ac:dyDescent="0.3">
      <c r="A164" t="s">
        <v>15</v>
      </c>
      <c r="B164">
        <v>15</v>
      </c>
      <c r="C164">
        <v>8</v>
      </c>
      <c r="D164">
        <v>429</v>
      </c>
      <c r="E164">
        <v>198</v>
      </c>
      <c r="F164">
        <v>4341</v>
      </c>
      <c r="G164">
        <f t="shared" si="2"/>
        <v>4.5611610228058048E-2</v>
      </c>
      <c r="H164">
        <v>10</v>
      </c>
      <c r="I164">
        <v>70</v>
      </c>
      <c r="J164" t="s">
        <v>10</v>
      </c>
    </row>
    <row r="165" spans="1:10" x14ac:dyDescent="0.3">
      <c r="A165" t="s">
        <v>11</v>
      </c>
      <c r="B165">
        <v>15</v>
      </c>
      <c r="C165">
        <v>8</v>
      </c>
      <c r="D165">
        <v>350</v>
      </c>
      <c r="E165">
        <v>165</v>
      </c>
      <c r="F165">
        <v>3693</v>
      </c>
      <c r="G165">
        <f t="shared" si="2"/>
        <v>4.4679122664500408E-2</v>
      </c>
      <c r="H165">
        <v>11.5</v>
      </c>
      <c r="I165">
        <v>70</v>
      </c>
      <c r="J165" t="s">
        <v>10</v>
      </c>
    </row>
    <row r="166" spans="1:10" x14ac:dyDescent="0.3">
      <c r="A166" t="s">
        <v>21</v>
      </c>
      <c r="B166">
        <v>14</v>
      </c>
      <c r="C166">
        <v>8</v>
      </c>
      <c r="D166">
        <v>340</v>
      </c>
      <c r="E166">
        <v>160</v>
      </c>
      <c r="F166">
        <v>3609</v>
      </c>
      <c r="G166">
        <f t="shared" si="2"/>
        <v>4.433361041839845E-2</v>
      </c>
      <c r="H166">
        <v>8</v>
      </c>
      <c r="I166">
        <v>70</v>
      </c>
      <c r="J166" t="s">
        <v>10</v>
      </c>
    </row>
    <row r="167" spans="1:10" x14ac:dyDescent="0.3">
      <c r="A167" t="s">
        <v>13</v>
      </c>
      <c r="B167">
        <v>16</v>
      </c>
      <c r="C167">
        <v>8</v>
      </c>
      <c r="D167">
        <v>304</v>
      </c>
      <c r="E167">
        <v>150</v>
      </c>
      <c r="F167">
        <v>3433</v>
      </c>
      <c r="G167">
        <f t="shared" si="2"/>
        <v>4.3693562481794346E-2</v>
      </c>
      <c r="H167">
        <v>12</v>
      </c>
      <c r="I167">
        <v>70</v>
      </c>
      <c r="J167" t="s">
        <v>10</v>
      </c>
    </row>
    <row r="168" spans="1:10" x14ac:dyDescent="0.3">
      <c r="A168" t="s">
        <v>12</v>
      </c>
      <c r="B168">
        <v>18</v>
      </c>
      <c r="C168">
        <v>8</v>
      </c>
      <c r="D168">
        <v>318</v>
      </c>
      <c r="E168">
        <v>150</v>
      </c>
      <c r="F168">
        <v>3436</v>
      </c>
      <c r="G168">
        <f t="shared" si="2"/>
        <v>4.3655413271245634E-2</v>
      </c>
      <c r="H168">
        <v>11</v>
      </c>
      <c r="I168">
        <v>70</v>
      </c>
      <c r="J168" t="s">
        <v>10</v>
      </c>
    </row>
    <row r="169" spans="1:10" x14ac:dyDescent="0.3">
      <c r="A169" t="s">
        <v>40</v>
      </c>
      <c r="B169">
        <v>9</v>
      </c>
      <c r="C169">
        <v>8</v>
      </c>
      <c r="D169">
        <v>304</v>
      </c>
      <c r="E169">
        <v>193</v>
      </c>
      <c r="F169">
        <v>4732</v>
      </c>
      <c r="G169">
        <f t="shared" si="2"/>
        <v>4.0786136939983092E-2</v>
      </c>
      <c r="H169">
        <v>18.5</v>
      </c>
      <c r="I169">
        <v>70</v>
      </c>
      <c r="J169" t="s">
        <v>10</v>
      </c>
    </row>
    <row r="170" spans="1:10" x14ac:dyDescent="0.3">
      <c r="A170" t="s">
        <v>14</v>
      </c>
      <c r="B170">
        <v>17</v>
      </c>
      <c r="C170">
        <v>8</v>
      </c>
      <c r="D170">
        <v>302</v>
      </c>
      <c r="E170">
        <v>140</v>
      </c>
      <c r="F170">
        <v>3449</v>
      </c>
      <c r="G170">
        <f t="shared" si="2"/>
        <v>4.0591475790084083E-2</v>
      </c>
      <c r="H170">
        <v>10.5</v>
      </c>
      <c r="I170">
        <v>70</v>
      </c>
      <c r="J170" t="s">
        <v>10</v>
      </c>
    </row>
    <row r="171" spans="1:10" x14ac:dyDescent="0.3">
      <c r="A171" t="s">
        <v>22</v>
      </c>
      <c r="B171">
        <v>15</v>
      </c>
      <c r="C171">
        <v>8</v>
      </c>
      <c r="D171">
        <v>400</v>
      </c>
      <c r="E171">
        <v>150</v>
      </c>
      <c r="F171">
        <v>3761</v>
      </c>
      <c r="G171">
        <f t="shared" si="2"/>
        <v>3.988300983780909E-2</v>
      </c>
      <c r="H171">
        <v>9.5</v>
      </c>
      <c r="I171">
        <v>70</v>
      </c>
      <c r="J171" t="s">
        <v>10</v>
      </c>
    </row>
    <row r="172" spans="1:10" x14ac:dyDescent="0.3">
      <c r="A172" t="s">
        <v>9</v>
      </c>
      <c r="B172">
        <v>18</v>
      </c>
      <c r="C172">
        <v>8</v>
      </c>
      <c r="D172">
        <v>307</v>
      </c>
      <c r="E172">
        <v>130</v>
      </c>
      <c r="F172">
        <v>3504</v>
      </c>
      <c r="G172">
        <f t="shared" si="2"/>
        <v>3.7100456621004564E-2</v>
      </c>
      <c r="H172">
        <v>12</v>
      </c>
      <c r="I172">
        <v>70</v>
      </c>
      <c r="J172" t="s">
        <v>10</v>
      </c>
    </row>
    <row r="173" spans="1:10" x14ac:dyDescent="0.3">
      <c r="A173" t="s">
        <v>41</v>
      </c>
      <c r="B173">
        <v>28</v>
      </c>
      <c r="C173">
        <v>4</v>
      </c>
      <c r="D173">
        <v>140</v>
      </c>
      <c r="E173">
        <v>90</v>
      </c>
      <c r="F173">
        <v>2264</v>
      </c>
      <c r="G173">
        <f t="shared" si="2"/>
        <v>3.9752650176678443E-2</v>
      </c>
      <c r="H173">
        <v>15.5</v>
      </c>
      <c r="I173">
        <v>71</v>
      </c>
      <c r="J173" t="s">
        <v>10</v>
      </c>
    </row>
    <row r="174" spans="1:10" x14ac:dyDescent="0.3">
      <c r="A174" t="s">
        <v>55</v>
      </c>
      <c r="B174">
        <v>23</v>
      </c>
      <c r="C174">
        <v>4</v>
      </c>
      <c r="D174">
        <v>122</v>
      </c>
      <c r="E174">
        <v>86</v>
      </c>
      <c r="F174">
        <v>2220</v>
      </c>
      <c r="G174">
        <f t="shared" si="2"/>
        <v>3.8738738738738739E-2</v>
      </c>
      <c r="H174">
        <v>14</v>
      </c>
      <c r="I174">
        <v>71</v>
      </c>
      <c r="J174" t="s">
        <v>10</v>
      </c>
    </row>
    <row r="175" spans="1:10" x14ac:dyDescent="0.3">
      <c r="A175" t="s">
        <v>62</v>
      </c>
      <c r="B175">
        <v>26</v>
      </c>
      <c r="C175">
        <v>4</v>
      </c>
      <c r="D175">
        <v>91</v>
      </c>
      <c r="E175">
        <v>70</v>
      </c>
      <c r="F175">
        <v>1955</v>
      </c>
      <c r="G175">
        <f t="shared" si="2"/>
        <v>3.5805626598465472E-2</v>
      </c>
      <c r="H175">
        <v>20.5</v>
      </c>
      <c r="I175">
        <v>71</v>
      </c>
      <c r="J175" t="s">
        <v>10</v>
      </c>
    </row>
    <row r="176" spans="1:10" x14ac:dyDescent="0.3">
      <c r="A176" t="s">
        <v>52</v>
      </c>
      <c r="B176">
        <v>22</v>
      </c>
      <c r="C176">
        <v>4</v>
      </c>
      <c r="D176">
        <v>140</v>
      </c>
      <c r="E176">
        <v>72</v>
      </c>
      <c r="F176">
        <v>2408</v>
      </c>
      <c r="G176">
        <f t="shared" si="2"/>
        <v>2.9900332225913623E-2</v>
      </c>
      <c r="H176">
        <v>19</v>
      </c>
      <c r="I176">
        <v>71</v>
      </c>
      <c r="J176" t="s">
        <v>10</v>
      </c>
    </row>
    <row r="177" spans="1:10" x14ac:dyDescent="0.3">
      <c r="A177" t="s">
        <v>43</v>
      </c>
      <c r="B177">
        <v>25</v>
      </c>
      <c r="C177">
        <v>4</v>
      </c>
      <c r="D177">
        <v>98</v>
      </c>
      <c r="F177">
        <v>2046</v>
      </c>
      <c r="G177">
        <f t="shared" si="2"/>
        <v>0</v>
      </c>
      <c r="H177">
        <v>19</v>
      </c>
      <c r="I177">
        <v>71</v>
      </c>
      <c r="J177" t="s">
        <v>10</v>
      </c>
    </row>
    <row r="178" spans="1:10" x14ac:dyDescent="0.3">
      <c r="A178" t="s">
        <v>36</v>
      </c>
      <c r="B178">
        <v>19</v>
      </c>
      <c r="C178">
        <v>6</v>
      </c>
      <c r="D178">
        <v>232</v>
      </c>
      <c r="E178">
        <v>100</v>
      </c>
      <c r="F178">
        <v>2634</v>
      </c>
      <c r="G178">
        <f t="shared" si="2"/>
        <v>3.7965072133637055E-2</v>
      </c>
      <c r="H178">
        <v>13</v>
      </c>
      <c r="I178">
        <v>71</v>
      </c>
      <c r="J178" t="s">
        <v>10</v>
      </c>
    </row>
    <row r="179" spans="1:10" x14ac:dyDescent="0.3">
      <c r="A179" t="s">
        <v>51</v>
      </c>
      <c r="B179">
        <v>18</v>
      </c>
      <c r="C179">
        <v>6</v>
      </c>
      <c r="D179">
        <v>258</v>
      </c>
      <c r="E179">
        <v>110</v>
      </c>
      <c r="F179">
        <v>2962</v>
      </c>
      <c r="G179">
        <f t="shared" si="2"/>
        <v>3.7137069547602972E-2</v>
      </c>
      <c r="H179">
        <v>13.5</v>
      </c>
      <c r="I179">
        <v>71</v>
      </c>
      <c r="J179" t="s">
        <v>10</v>
      </c>
    </row>
    <row r="180" spans="1:10" x14ac:dyDescent="0.3">
      <c r="A180" t="s">
        <v>44</v>
      </c>
      <c r="B180">
        <v>16</v>
      </c>
      <c r="C180">
        <v>6</v>
      </c>
      <c r="D180">
        <v>225</v>
      </c>
      <c r="E180">
        <v>105</v>
      </c>
      <c r="F180">
        <v>3439</v>
      </c>
      <c r="G180">
        <f t="shared" si="2"/>
        <v>3.0532131433556268E-2</v>
      </c>
      <c r="H180">
        <v>15.5</v>
      </c>
      <c r="I180">
        <v>71</v>
      </c>
      <c r="J180" t="s">
        <v>10</v>
      </c>
    </row>
    <row r="181" spans="1:10" x14ac:dyDescent="0.3">
      <c r="A181" t="s">
        <v>53</v>
      </c>
      <c r="B181">
        <v>19</v>
      </c>
      <c r="C181">
        <v>6</v>
      </c>
      <c r="D181">
        <v>250</v>
      </c>
      <c r="E181">
        <v>100</v>
      </c>
      <c r="F181">
        <v>3282</v>
      </c>
      <c r="G181">
        <f t="shared" si="2"/>
        <v>3.0469226081657527E-2</v>
      </c>
      <c r="H181">
        <v>15</v>
      </c>
      <c r="I181">
        <v>71</v>
      </c>
      <c r="J181" t="s">
        <v>10</v>
      </c>
    </row>
    <row r="182" spans="1:10" x14ac:dyDescent="0.3">
      <c r="A182" t="s">
        <v>46</v>
      </c>
      <c r="B182">
        <v>18</v>
      </c>
      <c r="C182">
        <v>6</v>
      </c>
      <c r="D182">
        <v>232</v>
      </c>
      <c r="E182">
        <v>100</v>
      </c>
      <c r="F182">
        <v>3288</v>
      </c>
      <c r="G182">
        <f t="shared" si="2"/>
        <v>3.0413625304136254E-2</v>
      </c>
      <c r="H182">
        <v>15.5</v>
      </c>
      <c r="I182">
        <v>71</v>
      </c>
      <c r="J182" t="s">
        <v>10</v>
      </c>
    </row>
    <row r="183" spans="1:10" x14ac:dyDescent="0.3">
      <c r="A183" t="s">
        <v>9</v>
      </c>
      <c r="B183">
        <v>17</v>
      </c>
      <c r="C183">
        <v>6</v>
      </c>
      <c r="D183">
        <v>250</v>
      </c>
      <c r="E183">
        <v>100</v>
      </c>
      <c r="F183">
        <v>3329</v>
      </c>
      <c r="G183">
        <f t="shared" si="2"/>
        <v>3.0039050765995796E-2</v>
      </c>
      <c r="H183">
        <v>15.5</v>
      </c>
      <c r="I183">
        <v>71</v>
      </c>
      <c r="J183" t="s">
        <v>10</v>
      </c>
    </row>
    <row r="184" spans="1:10" x14ac:dyDescent="0.3">
      <c r="A184" t="s">
        <v>54</v>
      </c>
      <c r="B184">
        <v>18</v>
      </c>
      <c r="C184">
        <v>6</v>
      </c>
      <c r="D184">
        <v>250</v>
      </c>
      <c r="E184">
        <v>88</v>
      </c>
      <c r="F184">
        <v>3139</v>
      </c>
      <c r="G184">
        <f t="shared" si="2"/>
        <v>2.8034405861739407E-2</v>
      </c>
      <c r="H184">
        <v>14.5</v>
      </c>
      <c r="I184">
        <v>71</v>
      </c>
      <c r="J184" t="s">
        <v>10</v>
      </c>
    </row>
    <row r="185" spans="1:10" x14ac:dyDescent="0.3">
      <c r="A185" t="s">
        <v>45</v>
      </c>
      <c r="B185">
        <v>19</v>
      </c>
      <c r="C185">
        <v>6</v>
      </c>
      <c r="D185">
        <v>250</v>
      </c>
      <c r="E185">
        <v>88</v>
      </c>
      <c r="F185">
        <v>3302</v>
      </c>
      <c r="G185">
        <f t="shared" si="2"/>
        <v>2.6650514839491216E-2</v>
      </c>
      <c r="H185">
        <v>15.5</v>
      </c>
      <c r="I185">
        <v>71</v>
      </c>
      <c r="J185" t="s">
        <v>10</v>
      </c>
    </row>
    <row r="186" spans="1:10" x14ac:dyDescent="0.3">
      <c r="A186" t="s">
        <v>16</v>
      </c>
      <c r="B186">
        <v>14</v>
      </c>
      <c r="C186">
        <v>8</v>
      </c>
      <c r="D186">
        <v>350</v>
      </c>
      <c r="E186">
        <v>165</v>
      </c>
      <c r="F186">
        <v>4209</v>
      </c>
      <c r="G186">
        <f t="shared" si="2"/>
        <v>3.9201710620099785E-2</v>
      </c>
      <c r="H186">
        <v>12</v>
      </c>
      <c r="I186">
        <v>71</v>
      </c>
      <c r="J186" t="s">
        <v>10</v>
      </c>
    </row>
    <row r="187" spans="1:10" x14ac:dyDescent="0.3">
      <c r="A187" t="s">
        <v>47</v>
      </c>
      <c r="B187">
        <v>14</v>
      </c>
      <c r="C187">
        <v>8</v>
      </c>
      <c r="D187">
        <v>400</v>
      </c>
      <c r="E187">
        <v>175</v>
      </c>
      <c r="F187">
        <v>4464</v>
      </c>
      <c r="G187">
        <f t="shared" si="2"/>
        <v>3.9202508960573479E-2</v>
      </c>
      <c r="H187">
        <v>11.5</v>
      </c>
      <c r="I187">
        <v>71</v>
      </c>
      <c r="J187" t="s">
        <v>10</v>
      </c>
    </row>
    <row r="188" spans="1:10" x14ac:dyDescent="0.3">
      <c r="A188" t="s">
        <v>15</v>
      </c>
      <c r="B188">
        <v>14</v>
      </c>
      <c r="C188">
        <v>8</v>
      </c>
      <c r="D188">
        <v>351</v>
      </c>
      <c r="E188">
        <v>153</v>
      </c>
      <c r="F188">
        <v>4154</v>
      </c>
      <c r="G188">
        <f t="shared" si="2"/>
        <v>3.6831969186326433E-2</v>
      </c>
      <c r="H188">
        <v>13.5</v>
      </c>
      <c r="I188">
        <v>71</v>
      </c>
      <c r="J188" t="s">
        <v>10</v>
      </c>
    </row>
    <row r="189" spans="1:10" x14ac:dyDescent="0.3">
      <c r="A189" t="s">
        <v>17</v>
      </c>
      <c r="B189">
        <v>14</v>
      </c>
      <c r="C189">
        <v>8</v>
      </c>
      <c r="D189">
        <v>318</v>
      </c>
      <c r="E189">
        <v>150</v>
      </c>
      <c r="F189">
        <v>4096</v>
      </c>
      <c r="G189">
        <f t="shared" si="2"/>
        <v>3.662109375E-2</v>
      </c>
      <c r="H189">
        <v>13</v>
      </c>
      <c r="I189">
        <v>71</v>
      </c>
      <c r="J189" t="s">
        <v>10</v>
      </c>
    </row>
    <row r="190" spans="1:10" x14ac:dyDescent="0.3">
      <c r="A190" t="s">
        <v>48</v>
      </c>
      <c r="B190">
        <v>12</v>
      </c>
      <c r="C190">
        <v>8</v>
      </c>
      <c r="D190">
        <v>383</v>
      </c>
      <c r="E190">
        <v>180</v>
      </c>
      <c r="F190">
        <v>4955</v>
      </c>
      <c r="G190">
        <f t="shared" si="2"/>
        <v>3.6326942482341071E-2</v>
      </c>
      <c r="H190">
        <v>11.5</v>
      </c>
      <c r="I190">
        <v>71</v>
      </c>
      <c r="J190" t="s">
        <v>10</v>
      </c>
    </row>
    <row r="191" spans="1:10" x14ac:dyDescent="0.3">
      <c r="A191" t="s">
        <v>49</v>
      </c>
      <c r="B191">
        <v>13</v>
      </c>
      <c r="C191">
        <v>8</v>
      </c>
      <c r="D191">
        <v>400</v>
      </c>
      <c r="E191">
        <v>170</v>
      </c>
      <c r="F191">
        <v>4746</v>
      </c>
      <c r="G191">
        <f t="shared" si="2"/>
        <v>3.5819637589549091E-2</v>
      </c>
      <c r="H191">
        <v>12</v>
      </c>
      <c r="I191">
        <v>71</v>
      </c>
      <c r="J191" t="s">
        <v>10</v>
      </c>
    </row>
    <row r="192" spans="1:10" x14ac:dyDescent="0.3">
      <c r="A192" t="s">
        <v>50</v>
      </c>
      <c r="B192">
        <v>13</v>
      </c>
      <c r="C192">
        <v>8</v>
      </c>
      <c r="D192">
        <v>400</v>
      </c>
      <c r="E192">
        <v>175</v>
      </c>
      <c r="F192">
        <v>5140</v>
      </c>
      <c r="G192">
        <f t="shared" si="2"/>
        <v>3.4046692607003888E-2</v>
      </c>
      <c r="H192">
        <v>12</v>
      </c>
      <c r="I192">
        <v>71</v>
      </c>
      <c r="J192" t="s">
        <v>10</v>
      </c>
    </row>
    <row r="193" spans="1:10" x14ac:dyDescent="0.3">
      <c r="A193" t="s">
        <v>67</v>
      </c>
      <c r="B193">
        <v>21</v>
      </c>
      <c r="C193">
        <v>4</v>
      </c>
      <c r="D193">
        <v>122</v>
      </c>
      <c r="E193">
        <v>86</v>
      </c>
      <c r="F193">
        <v>2226</v>
      </c>
      <c r="G193">
        <f t="shared" si="2"/>
        <v>3.8634321653189578E-2</v>
      </c>
      <c r="H193">
        <v>16.5</v>
      </c>
      <c r="I193">
        <v>72</v>
      </c>
      <c r="J193" t="s">
        <v>10</v>
      </c>
    </row>
    <row r="194" spans="1:10" x14ac:dyDescent="0.3">
      <c r="A194" t="s">
        <v>64</v>
      </c>
      <c r="B194">
        <v>25</v>
      </c>
      <c r="C194">
        <v>4</v>
      </c>
      <c r="D194">
        <v>97.5</v>
      </c>
      <c r="E194">
        <v>80</v>
      </c>
      <c r="F194">
        <v>2126</v>
      </c>
      <c r="G194">
        <f t="shared" ref="G194:G257" si="3">IFERROR(E194/F194, "")</f>
        <v>3.7629350893697081E-2</v>
      </c>
      <c r="H194">
        <v>17</v>
      </c>
      <c r="I194">
        <v>72</v>
      </c>
      <c r="J194" t="s">
        <v>10</v>
      </c>
    </row>
    <row r="195" spans="1:10" x14ac:dyDescent="0.3">
      <c r="A195" t="s">
        <v>66</v>
      </c>
      <c r="B195">
        <v>20</v>
      </c>
      <c r="C195">
        <v>4</v>
      </c>
      <c r="D195">
        <v>140</v>
      </c>
      <c r="E195">
        <v>90</v>
      </c>
      <c r="F195">
        <v>2408</v>
      </c>
      <c r="G195">
        <f t="shared" si="3"/>
        <v>3.7375415282392029E-2</v>
      </c>
      <c r="H195">
        <v>19.5</v>
      </c>
      <c r="I195">
        <v>72</v>
      </c>
      <c r="J195" t="s">
        <v>10</v>
      </c>
    </row>
    <row r="196" spans="1:10" x14ac:dyDescent="0.3">
      <c r="A196" t="s">
        <v>85</v>
      </c>
      <c r="B196">
        <v>28</v>
      </c>
      <c r="C196">
        <v>4</v>
      </c>
      <c r="D196">
        <v>98</v>
      </c>
      <c r="E196">
        <v>80</v>
      </c>
      <c r="F196">
        <v>2164</v>
      </c>
      <c r="G196">
        <f t="shared" si="3"/>
        <v>3.6968576709796676E-2</v>
      </c>
      <c r="H196">
        <v>15</v>
      </c>
      <c r="I196">
        <v>72</v>
      </c>
      <c r="J196" t="s">
        <v>10</v>
      </c>
    </row>
    <row r="197" spans="1:10" x14ac:dyDescent="0.3">
      <c r="A197" t="s">
        <v>82</v>
      </c>
      <c r="B197">
        <v>22</v>
      </c>
      <c r="C197">
        <v>4</v>
      </c>
      <c r="D197">
        <v>122</v>
      </c>
      <c r="E197">
        <v>86</v>
      </c>
      <c r="F197">
        <v>2395</v>
      </c>
      <c r="G197">
        <f t="shared" si="3"/>
        <v>3.5908141962421709E-2</v>
      </c>
      <c r="H197">
        <v>16</v>
      </c>
      <c r="I197">
        <v>72</v>
      </c>
      <c r="J197" t="s">
        <v>10</v>
      </c>
    </row>
    <row r="198" spans="1:10" x14ac:dyDescent="0.3">
      <c r="A198" t="s">
        <v>69</v>
      </c>
      <c r="B198">
        <v>11</v>
      </c>
      <c r="C198">
        <v>8</v>
      </c>
      <c r="D198">
        <v>429</v>
      </c>
      <c r="E198">
        <v>208</v>
      </c>
      <c r="F198">
        <v>4633</v>
      </c>
      <c r="G198">
        <f t="shared" si="3"/>
        <v>4.4895316209799266E-2</v>
      </c>
      <c r="H198">
        <v>11</v>
      </c>
      <c r="I198">
        <v>72</v>
      </c>
      <c r="J198" t="s">
        <v>10</v>
      </c>
    </row>
    <row r="199" spans="1:10" x14ac:dyDescent="0.3">
      <c r="A199" t="s">
        <v>72</v>
      </c>
      <c r="B199">
        <v>13</v>
      </c>
      <c r="C199">
        <v>8</v>
      </c>
      <c r="D199">
        <v>400</v>
      </c>
      <c r="E199">
        <v>190</v>
      </c>
      <c r="F199">
        <v>4422</v>
      </c>
      <c r="G199">
        <f t="shared" si="3"/>
        <v>4.2966983265490727E-2</v>
      </c>
      <c r="H199">
        <v>12.5</v>
      </c>
      <c r="I199">
        <v>72</v>
      </c>
      <c r="J199" t="s">
        <v>10</v>
      </c>
    </row>
    <row r="200" spans="1:10" x14ac:dyDescent="0.3">
      <c r="A200" t="s">
        <v>68</v>
      </c>
      <c r="B200">
        <v>17</v>
      </c>
      <c r="C200">
        <v>8</v>
      </c>
      <c r="D200">
        <v>304</v>
      </c>
      <c r="E200">
        <v>150</v>
      </c>
      <c r="F200">
        <v>3672</v>
      </c>
      <c r="G200">
        <f t="shared" si="3"/>
        <v>4.084967320261438E-2</v>
      </c>
      <c r="H200">
        <v>11.5</v>
      </c>
      <c r="I200">
        <v>72</v>
      </c>
      <c r="J200" t="s">
        <v>10</v>
      </c>
    </row>
    <row r="201" spans="1:10" x14ac:dyDescent="0.3">
      <c r="A201" t="s">
        <v>18</v>
      </c>
      <c r="B201">
        <v>14</v>
      </c>
      <c r="C201">
        <v>8</v>
      </c>
      <c r="D201">
        <v>400</v>
      </c>
      <c r="E201">
        <v>175</v>
      </c>
      <c r="F201">
        <v>4385</v>
      </c>
      <c r="G201">
        <f t="shared" si="3"/>
        <v>3.9908779931584946E-2</v>
      </c>
      <c r="H201">
        <v>12</v>
      </c>
      <c r="I201">
        <v>72</v>
      </c>
      <c r="J201" t="s">
        <v>10</v>
      </c>
    </row>
    <row r="202" spans="1:10" x14ac:dyDescent="0.3">
      <c r="A202" t="s">
        <v>16</v>
      </c>
      <c r="B202">
        <v>13</v>
      </c>
      <c r="C202">
        <v>8</v>
      </c>
      <c r="D202">
        <v>350</v>
      </c>
      <c r="E202">
        <v>165</v>
      </c>
      <c r="F202">
        <v>4274</v>
      </c>
      <c r="G202">
        <f t="shared" si="3"/>
        <v>3.8605521759475903E-2</v>
      </c>
      <c r="H202">
        <v>12</v>
      </c>
      <c r="I202">
        <v>72</v>
      </c>
      <c r="J202" t="s">
        <v>10</v>
      </c>
    </row>
    <row r="203" spans="1:10" x14ac:dyDescent="0.3">
      <c r="A203" t="s">
        <v>74</v>
      </c>
      <c r="B203">
        <v>15</v>
      </c>
      <c r="C203">
        <v>8</v>
      </c>
      <c r="D203">
        <v>304</v>
      </c>
      <c r="E203">
        <v>150</v>
      </c>
      <c r="F203">
        <v>3892</v>
      </c>
      <c r="G203">
        <f t="shared" si="3"/>
        <v>3.8540596094552931E-2</v>
      </c>
      <c r="H203">
        <v>12.5</v>
      </c>
      <c r="I203">
        <v>72</v>
      </c>
      <c r="J203" t="s">
        <v>10</v>
      </c>
    </row>
    <row r="204" spans="1:10" x14ac:dyDescent="0.3">
      <c r="A204" t="s">
        <v>15</v>
      </c>
      <c r="B204">
        <v>14</v>
      </c>
      <c r="C204">
        <v>8</v>
      </c>
      <c r="D204">
        <v>351</v>
      </c>
      <c r="E204">
        <v>153</v>
      </c>
      <c r="F204">
        <v>4129</v>
      </c>
      <c r="G204">
        <f t="shared" si="3"/>
        <v>3.705497699200775E-2</v>
      </c>
      <c r="H204">
        <v>13</v>
      </c>
      <c r="I204">
        <v>72</v>
      </c>
      <c r="J204" t="s">
        <v>10</v>
      </c>
    </row>
    <row r="205" spans="1:10" x14ac:dyDescent="0.3">
      <c r="A205" t="s">
        <v>77</v>
      </c>
      <c r="B205">
        <v>14</v>
      </c>
      <c r="C205">
        <v>8</v>
      </c>
      <c r="D205">
        <v>318</v>
      </c>
      <c r="E205">
        <v>150</v>
      </c>
      <c r="F205">
        <v>4077</v>
      </c>
      <c r="G205">
        <f t="shared" si="3"/>
        <v>3.679175864606328E-2</v>
      </c>
      <c r="H205">
        <v>14</v>
      </c>
      <c r="I205">
        <v>72</v>
      </c>
      <c r="J205" t="s">
        <v>10</v>
      </c>
    </row>
    <row r="206" spans="1:10" x14ac:dyDescent="0.3">
      <c r="A206" t="s">
        <v>17</v>
      </c>
      <c r="B206">
        <v>15</v>
      </c>
      <c r="C206">
        <v>8</v>
      </c>
      <c r="D206">
        <v>318</v>
      </c>
      <c r="E206">
        <v>150</v>
      </c>
      <c r="F206">
        <v>4135</v>
      </c>
      <c r="G206">
        <f t="shared" si="3"/>
        <v>3.6275695284159616E-2</v>
      </c>
      <c r="H206">
        <v>13.5</v>
      </c>
      <c r="I206">
        <v>72</v>
      </c>
      <c r="J206" t="s">
        <v>10</v>
      </c>
    </row>
    <row r="207" spans="1:10" x14ac:dyDescent="0.3">
      <c r="A207" t="s">
        <v>71</v>
      </c>
      <c r="B207">
        <v>12</v>
      </c>
      <c r="C207">
        <v>8</v>
      </c>
      <c r="D207">
        <v>350</v>
      </c>
      <c r="E207">
        <v>160</v>
      </c>
      <c r="F207">
        <v>4456</v>
      </c>
      <c r="G207">
        <f t="shared" si="3"/>
        <v>3.5906642728904849E-2</v>
      </c>
      <c r="H207">
        <v>13.5</v>
      </c>
      <c r="I207">
        <v>72</v>
      </c>
      <c r="J207" t="s">
        <v>10</v>
      </c>
    </row>
    <row r="208" spans="1:10" x14ac:dyDescent="0.3">
      <c r="A208" t="s">
        <v>70</v>
      </c>
      <c r="B208">
        <v>13</v>
      </c>
      <c r="C208">
        <v>8</v>
      </c>
      <c r="D208">
        <v>350</v>
      </c>
      <c r="E208">
        <v>155</v>
      </c>
      <c r="F208">
        <v>4502</v>
      </c>
      <c r="G208">
        <f t="shared" si="3"/>
        <v>3.442914260328743E-2</v>
      </c>
      <c r="H208">
        <v>13.5</v>
      </c>
      <c r="I208">
        <v>72</v>
      </c>
      <c r="J208" t="s">
        <v>10</v>
      </c>
    </row>
    <row r="209" spans="1:10" x14ac:dyDescent="0.3">
      <c r="A209" t="s">
        <v>76</v>
      </c>
      <c r="B209">
        <v>13</v>
      </c>
      <c r="C209">
        <v>8</v>
      </c>
      <c r="D209">
        <v>302</v>
      </c>
      <c r="E209">
        <v>140</v>
      </c>
      <c r="F209">
        <v>4294</v>
      </c>
      <c r="G209">
        <f t="shared" si="3"/>
        <v>3.2603632976245925E-2</v>
      </c>
      <c r="H209">
        <v>16</v>
      </c>
      <c r="I209">
        <v>72</v>
      </c>
      <c r="J209" t="s">
        <v>10</v>
      </c>
    </row>
    <row r="210" spans="1:10" x14ac:dyDescent="0.3">
      <c r="A210" t="s">
        <v>75</v>
      </c>
      <c r="B210">
        <v>13</v>
      </c>
      <c r="C210">
        <v>8</v>
      </c>
      <c r="D210">
        <v>307</v>
      </c>
      <c r="E210">
        <v>130</v>
      </c>
      <c r="F210">
        <v>4098</v>
      </c>
      <c r="G210">
        <f t="shared" si="3"/>
        <v>3.1722791605661299E-2</v>
      </c>
      <c r="H210">
        <v>14</v>
      </c>
      <c r="I210">
        <v>72</v>
      </c>
      <c r="J210" t="s">
        <v>10</v>
      </c>
    </row>
    <row r="211" spans="1:10" x14ac:dyDescent="0.3">
      <c r="A211" t="s">
        <v>43</v>
      </c>
      <c r="B211">
        <v>19</v>
      </c>
      <c r="C211">
        <v>4</v>
      </c>
      <c r="D211">
        <v>122</v>
      </c>
      <c r="E211">
        <v>85</v>
      </c>
      <c r="F211">
        <v>2310</v>
      </c>
      <c r="G211">
        <f t="shared" si="3"/>
        <v>3.67965367965368E-2</v>
      </c>
      <c r="H211">
        <v>18.5</v>
      </c>
      <c r="I211">
        <v>73</v>
      </c>
      <c r="J211" t="s">
        <v>10</v>
      </c>
    </row>
    <row r="212" spans="1:10" x14ac:dyDescent="0.3">
      <c r="A212" t="s">
        <v>66</v>
      </c>
      <c r="B212">
        <v>21</v>
      </c>
      <c r="C212">
        <v>4</v>
      </c>
      <c r="D212">
        <v>140</v>
      </c>
      <c r="E212">
        <v>72</v>
      </c>
      <c r="F212">
        <v>2401</v>
      </c>
      <c r="G212">
        <f t="shared" si="3"/>
        <v>2.9987505206164097E-2</v>
      </c>
      <c r="H212">
        <v>19.5</v>
      </c>
      <c r="I212">
        <v>73</v>
      </c>
      <c r="J212" t="s">
        <v>10</v>
      </c>
    </row>
    <row r="213" spans="1:10" x14ac:dyDescent="0.3">
      <c r="A213" t="s">
        <v>107</v>
      </c>
      <c r="B213">
        <v>21</v>
      </c>
      <c r="C213">
        <v>6</v>
      </c>
      <c r="D213">
        <v>155</v>
      </c>
      <c r="E213">
        <v>107</v>
      </c>
      <c r="F213">
        <v>2472</v>
      </c>
      <c r="G213">
        <f t="shared" si="3"/>
        <v>4.3284789644012944E-2</v>
      </c>
      <c r="H213">
        <v>14</v>
      </c>
      <c r="I213">
        <v>73</v>
      </c>
      <c r="J213" t="s">
        <v>10</v>
      </c>
    </row>
    <row r="214" spans="1:10" x14ac:dyDescent="0.3">
      <c r="A214" t="s">
        <v>36</v>
      </c>
      <c r="B214">
        <v>18</v>
      </c>
      <c r="C214">
        <v>6</v>
      </c>
      <c r="D214">
        <v>232</v>
      </c>
      <c r="E214">
        <v>100</v>
      </c>
      <c r="F214">
        <v>2789</v>
      </c>
      <c r="G214">
        <f t="shared" si="3"/>
        <v>3.5855145213338116E-2</v>
      </c>
      <c r="H214">
        <v>15</v>
      </c>
      <c r="I214">
        <v>73</v>
      </c>
      <c r="J214" t="s">
        <v>10</v>
      </c>
    </row>
    <row r="215" spans="1:10" x14ac:dyDescent="0.3">
      <c r="A215" t="s">
        <v>27</v>
      </c>
      <c r="B215">
        <v>18</v>
      </c>
      <c r="C215">
        <v>6</v>
      </c>
      <c r="D215">
        <v>232</v>
      </c>
      <c r="E215">
        <v>100</v>
      </c>
      <c r="F215">
        <v>2945</v>
      </c>
      <c r="G215">
        <f t="shared" si="3"/>
        <v>3.3955857385398983E-2</v>
      </c>
      <c r="H215">
        <v>16</v>
      </c>
      <c r="I215">
        <v>73</v>
      </c>
      <c r="J215" t="s">
        <v>10</v>
      </c>
    </row>
    <row r="216" spans="1:10" x14ac:dyDescent="0.3">
      <c r="A216" t="s">
        <v>98</v>
      </c>
      <c r="B216">
        <v>18</v>
      </c>
      <c r="C216">
        <v>6</v>
      </c>
      <c r="D216">
        <v>225</v>
      </c>
      <c r="E216">
        <v>105</v>
      </c>
      <c r="F216">
        <v>3121</v>
      </c>
      <c r="G216">
        <f t="shared" si="3"/>
        <v>3.3643063120794618E-2</v>
      </c>
      <c r="H216">
        <v>16.5</v>
      </c>
      <c r="I216">
        <v>73</v>
      </c>
      <c r="J216" t="s">
        <v>10</v>
      </c>
    </row>
    <row r="217" spans="1:10" x14ac:dyDescent="0.3">
      <c r="A217" t="s">
        <v>26</v>
      </c>
      <c r="B217">
        <v>23</v>
      </c>
      <c r="C217">
        <v>6</v>
      </c>
      <c r="D217">
        <v>198</v>
      </c>
      <c r="E217">
        <v>95</v>
      </c>
      <c r="F217">
        <v>2904</v>
      </c>
      <c r="G217">
        <f t="shared" si="3"/>
        <v>3.2713498622589529E-2</v>
      </c>
      <c r="H217">
        <v>16</v>
      </c>
      <c r="I217">
        <v>73</v>
      </c>
      <c r="J217" t="s">
        <v>10</v>
      </c>
    </row>
    <row r="218" spans="1:10" x14ac:dyDescent="0.3">
      <c r="A218" t="s">
        <v>99</v>
      </c>
      <c r="B218">
        <v>16</v>
      </c>
      <c r="C218">
        <v>6</v>
      </c>
      <c r="D218">
        <v>250</v>
      </c>
      <c r="E218">
        <v>100</v>
      </c>
      <c r="F218">
        <v>3278</v>
      </c>
      <c r="G218">
        <f t="shared" si="3"/>
        <v>3.0506406345332519E-2</v>
      </c>
      <c r="H218">
        <v>18</v>
      </c>
      <c r="I218">
        <v>73</v>
      </c>
      <c r="J218" t="s">
        <v>10</v>
      </c>
    </row>
    <row r="219" spans="1:10" x14ac:dyDescent="0.3">
      <c r="A219" t="s">
        <v>28</v>
      </c>
      <c r="B219">
        <v>18</v>
      </c>
      <c r="C219">
        <v>6</v>
      </c>
      <c r="D219">
        <v>250</v>
      </c>
      <c r="E219">
        <v>88</v>
      </c>
      <c r="F219">
        <v>3021</v>
      </c>
      <c r="G219">
        <f t="shared" si="3"/>
        <v>2.9129427341939754E-2</v>
      </c>
      <c r="H219">
        <v>16.5</v>
      </c>
      <c r="I219">
        <v>73</v>
      </c>
      <c r="J219" t="s">
        <v>10</v>
      </c>
    </row>
    <row r="220" spans="1:10" x14ac:dyDescent="0.3">
      <c r="A220" t="s">
        <v>110</v>
      </c>
      <c r="B220">
        <v>16</v>
      </c>
      <c r="C220">
        <v>8</v>
      </c>
      <c r="D220">
        <v>400</v>
      </c>
      <c r="E220">
        <v>230</v>
      </c>
      <c r="F220">
        <v>4278</v>
      </c>
      <c r="G220">
        <f t="shared" si="3"/>
        <v>5.3763440860215055E-2</v>
      </c>
      <c r="H220">
        <v>9.5</v>
      </c>
      <c r="I220">
        <v>73</v>
      </c>
      <c r="J220" t="s">
        <v>10</v>
      </c>
    </row>
    <row r="221" spans="1:10" x14ac:dyDescent="0.3">
      <c r="A221" t="s">
        <v>118</v>
      </c>
      <c r="B221">
        <v>11</v>
      </c>
      <c r="C221">
        <v>8</v>
      </c>
      <c r="D221">
        <v>350</v>
      </c>
      <c r="E221">
        <v>180</v>
      </c>
      <c r="F221">
        <v>3664</v>
      </c>
      <c r="G221">
        <f t="shared" si="3"/>
        <v>4.9126637554585149E-2</v>
      </c>
      <c r="H221">
        <v>11</v>
      </c>
      <c r="I221">
        <v>73</v>
      </c>
      <c r="J221" t="s">
        <v>10</v>
      </c>
    </row>
    <row r="222" spans="1:10" x14ac:dyDescent="0.3">
      <c r="A222" t="s">
        <v>97</v>
      </c>
      <c r="B222">
        <v>13</v>
      </c>
      <c r="C222">
        <v>8</v>
      </c>
      <c r="D222">
        <v>360</v>
      </c>
      <c r="E222">
        <v>175</v>
      </c>
      <c r="F222">
        <v>3821</v>
      </c>
      <c r="G222">
        <f t="shared" si="3"/>
        <v>4.5799528919131118E-2</v>
      </c>
      <c r="H222">
        <v>11</v>
      </c>
      <c r="I222">
        <v>73</v>
      </c>
      <c r="J222" t="s">
        <v>10</v>
      </c>
    </row>
    <row r="223" spans="1:10" x14ac:dyDescent="0.3">
      <c r="A223" t="s">
        <v>96</v>
      </c>
      <c r="B223">
        <v>12</v>
      </c>
      <c r="C223">
        <v>8</v>
      </c>
      <c r="D223">
        <v>455</v>
      </c>
      <c r="E223">
        <v>225</v>
      </c>
      <c r="F223">
        <v>4951</v>
      </c>
      <c r="G223">
        <f t="shared" si="3"/>
        <v>4.5445364572813576E-2</v>
      </c>
      <c r="H223">
        <v>11</v>
      </c>
      <c r="I223">
        <v>73</v>
      </c>
      <c r="J223" t="s">
        <v>10</v>
      </c>
    </row>
    <row r="224" spans="1:10" x14ac:dyDescent="0.3">
      <c r="A224" t="s">
        <v>95</v>
      </c>
      <c r="B224">
        <v>13</v>
      </c>
      <c r="C224">
        <v>8</v>
      </c>
      <c r="D224">
        <v>440</v>
      </c>
      <c r="E224">
        <v>215</v>
      </c>
      <c r="F224">
        <v>4735</v>
      </c>
      <c r="G224">
        <f t="shared" si="3"/>
        <v>4.5406546990496302E-2</v>
      </c>
      <c r="H224">
        <v>11</v>
      </c>
      <c r="I224">
        <v>73</v>
      </c>
      <c r="J224" t="s">
        <v>10</v>
      </c>
    </row>
    <row r="225" spans="1:10" x14ac:dyDescent="0.3">
      <c r="A225" t="s">
        <v>115</v>
      </c>
      <c r="B225">
        <v>15</v>
      </c>
      <c r="C225">
        <v>8</v>
      </c>
      <c r="D225">
        <v>318</v>
      </c>
      <c r="E225">
        <v>150</v>
      </c>
      <c r="F225">
        <v>3399</v>
      </c>
      <c r="G225">
        <f t="shared" si="3"/>
        <v>4.4130626654898503E-2</v>
      </c>
      <c r="H225">
        <v>11</v>
      </c>
      <c r="I225">
        <v>73</v>
      </c>
      <c r="J225" t="s">
        <v>10</v>
      </c>
    </row>
    <row r="226" spans="1:10" x14ac:dyDescent="0.3">
      <c r="A226" t="s">
        <v>87</v>
      </c>
      <c r="B226">
        <v>13</v>
      </c>
      <c r="C226">
        <v>8</v>
      </c>
      <c r="D226">
        <v>350</v>
      </c>
      <c r="E226">
        <v>175</v>
      </c>
      <c r="F226">
        <v>4100</v>
      </c>
      <c r="G226">
        <f t="shared" si="3"/>
        <v>4.2682926829268296E-2</v>
      </c>
      <c r="H226">
        <v>13</v>
      </c>
      <c r="I226">
        <v>73</v>
      </c>
      <c r="J226" t="s">
        <v>10</v>
      </c>
    </row>
    <row r="227" spans="1:10" x14ac:dyDescent="0.3">
      <c r="A227" t="s">
        <v>46</v>
      </c>
      <c r="B227">
        <v>14</v>
      </c>
      <c r="C227">
        <v>8</v>
      </c>
      <c r="D227">
        <v>304</v>
      </c>
      <c r="E227">
        <v>150</v>
      </c>
      <c r="F227">
        <v>3672</v>
      </c>
      <c r="G227">
        <f t="shared" si="3"/>
        <v>4.084967320261438E-2</v>
      </c>
      <c r="H227">
        <v>11.5</v>
      </c>
      <c r="I227">
        <v>73</v>
      </c>
      <c r="J227" t="s">
        <v>10</v>
      </c>
    </row>
    <row r="228" spans="1:10" x14ac:dyDescent="0.3">
      <c r="A228" t="s">
        <v>91</v>
      </c>
      <c r="B228">
        <v>12</v>
      </c>
      <c r="C228">
        <v>8</v>
      </c>
      <c r="D228">
        <v>429</v>
      </c>
      <c r="E228">
        <v>198</v>
      </c>
      <c r="F228">
        <v>4952</v>
      </c>
      <c r="G228">
        <f t="shared" si="3"/>
        <v>3.998384491114701E-2</v>
      </c>
      <c r="H228">
        <v>11.5</v>
      </c>
      <c r="I228">
        <v>73</v>
      </c>
      <c r="J228" t="s">
        <v>10</v>
      </c>
    </row>
    <row r="229" spans="1:10" x14ac:dyDescent="0.3">
      <c r="A229" t="s">
        <v>103</v>
      </c>
      <c r="B229">
        <v>12</v>
      </c>
      <c r="C229">
        <v>8</v>
      </c>
      <c r="D229">
        <v>350</v>
      </c>
      <c r="E229">
        <v>180</v>
      </c>
      <c r="F229">
        <v>4499</v>
      </c>
      <c r="G229">
        <f t="shared" si="3"/>
        <v>4.0008890864636583E-2</v>
      </c>
      <c r="H229">
        <v>12.5</v>
      </c>
      <c r="I229">
        <v>73</v>
      </c>
      <c r="J229" t="s">
        <v>10</v>
      </c>
    </row>
    <row r="230" spans="1:10" x14ac:dyDescent="0.3">
      <c r="A230" t="s">
        <v>90</v>
      </c>
      <c r="B230">
        <v>15</v>
      </c>
      <c r="C230">
        <v>8</v>
      </c>
      <c r="D230">
        <v>318</v>
      </c>
      <c r="E230">
        <v>150</v>
      </c>
      <c r="F230">
        <v>3777</v>
      </c>
      <c r="G230">
        <f t="shared" si="3"/>
        <v>3.971405877680699E-2</v>
      </c>
      <c r="H230">
        <v>12.5</v>
      </c>
      <c r="I230">
        <v>73</v>
      </c>
      <c r="J230" t="s">
        <v>10</v>
      </c>
    </row>
    <row r="231" spans="1:10" x14ac:dyDescent="0.3">
      <c r="A231" t="s">
        <v>102</v>
      </c>
      <c r="B231">
        <v>13</v>
      </c>
      <c r="C231">
        <v>8</v>
      </c>
      <c r="D231">
        <v>360</v>
      </c>
      <c r="E231">
        <v>170</v>
      </c>
      <c r="F231">
        <v>4654</v>
      </c>
      <c r="G231">
        <f t="shared" si="3"/>
        <v>3.6527718091963902E-2</v>
      </c>
      <c r="H231">
        <v>13</v>
      </c>
      <c r="I231">
        <v>73</v>
      </c>
      <c r="J231" t="s">
        <v>10</v>
      </c>
    </row>
    <row r="232" spans="1:10" x14ac:dyDescent="0.3">
      <c r="A232" t="s">
        <v>88</v>
      </c>
      <c r="B232">
        <v>13</v>
      </c>
      <c r="C232">
        <v>8</v>
      </c>
      <c r="D232">
        <v>350</v>
      </c>
      <c r="E232">
        <v>145</v>
      </c>
      <c r="F232">
        <v>3988</v>
      </c>
      <c r="G232">
        <f t="shared" si="3"/>
        <v>3.6359077231695083E-2</v>
      </c>
      <c r="H232">
        <v>13</v>
      </c>
      <c r="I232">
        <v>73</v>
      </c>
      <c r="J232" t="s">
        <v>10</v>
      </c>
    </row>
    <row r="233" spans="1:10" x14ac:dyDescent="0.3">
      <c r="A233" t="s">
        <v>93</v>
      </c>
      <c r="B233">
        <v>13</v>
      </c>
      <c r="C233">
        <v>8</v>
      </c>
      <c r="D233">
        <v>351</v>
      </c>
      <c r="E233">
        <v>158</v>
      </c>
      <c r="F233">
        <v>4363</v>
      </c>
      <c r="G233">
        <f t="shared" si="3"/>
        <v>3.6213614485445793E-2</v>
      </c>
      <c r="H233">
        <v>13</v>
      </c>
      <c r="I233">
        <v>73</v>
      </c>
      <c r="J233" t="s">
        <v>10</v>
      </c>
    </row>
    <row r="234" spans="1:10" x14ac:dyDescent="0.3">
      <c r="A234" t="s">
        <v>109</v>
      </c>
      <c r="B234">
        <v>15</v>
      </c>
      <c r="C234">
        <v>8</v>
      </c>
      <c r="D234">
        <v>350</v>
      </c>
      <c r="E234">
        <v>145</v>
      </c>
      <c r="F234">
        <v>4082</v>
      </c>
      <c r="G234">
        <f t="shared" si="3"/>
        <v>3.5521803037726604E-2</v>
      </c>
      <c r="H234">
        <v>13</v>
      </c>
      <c r="I234">
        <v>73</v>
      </c>
      <c r="J234" t="s">
        <v>10</v>
      </c>
    </row>
    <row r="235" spans="1:10" x14ac:dyDescent="0.3">
      <c r="A235" t="s">
        <v>94</v>
      </c>
      <c r="B235">
        <v>14</v>
      </c>
      <c r="C235">
        <v>8</v>
      </c>
      <c r="D235">
        <v>318</v>
      </c>
      <c r="E235">
        <v>150</v>
      </c>
      <c r="F235">
        <v>4237</v>
      </c>
      <c r="G235">
        <f t="shared" si="3"/>
        <v>3.5402407363700733E-2</v>
      </c>
      <c r="H235">
        <v>14.5</v>
      </c>
      <c r="I235">
        <v>73</v>
      </c>
      <c r="J235" t="s">
        <v>10</v>
      </c>
    </row>
    <row r="236" spans="1:10" x14ac:dyDescent="0.3">
      <c r="A236" t="s">
        <v>101</v>
      </c>
      <c r="B236">
        <v>12</v>
      </c>
      <c r="C236">
        <v>8</v>
      </c>
      <c r="D236">
        <v>400</v>
      </c>
      <c r="E236">
        <v>167</v>
      </c>
      <c r="F236">
        <v>4906</v>
      </c>
      <c r="G236">
        <f t="shared" si="3"/>
        <v>3.4039951080309827E-2</v>
      </c>
      <c r="H236">
        <v>12.5</v>
      </c>
      <c r="I236">
        <v>73</v>
      </c>
      <c r="J236" t="s">
        <v>10</v>
      </c>
    </row>
    <row r="237" spans="1:10" x14ac:dyDescent="0.3">
      <c r="A237" t="s">
        <v>89</v>
      </c>
      <c r="B237">
        <v>14</v>
      </c>
      <c r="C237">
        <v>8</v>
      </c>
      <c r="D237">
        <v>302</v>
      </c>
      <c r="E237">
        <v>137</v>
      </c>
      <c r="F237">
        <v>4042</v>
      </c>
      <c r="G237">
        <f t="shared" si="3"/>
        <v>3.3894111825828799E-2</v>
      </c>
      <c r="H237">
        <v>14.5</v>
      </c>
      <c r="I237">
        <v>73</v>
      </c>
      <c r="J237" t="s">
        <v>10</v>
      </c>
    </row>
    <row r="238" spans="1:10" x14ac:dyDescent="0.3">
      <c r="A238" t="s">
        <v>92</v>
      </c>
      <c r="B238">
        <v>13</v>
      </c>
      <c r="C238">
        <v>8</v>
      </c>
      <c r="D238">
        <v>400</v>
      </c>
      <c r="E238">
        <v>150</v>
      </c>
      <c r="F238">
        <v>4464</v>
      </c>
      <c r="G238">
        <f t="shared" si="3"/>
        <v>3.3602150537634407E-2</v>
      </c>
      <c r="H238">
        <v>12</v>
      </c>
      <c r="I238">
        <v>73</v>
      </c>
      <c r="J238" t="s">
        <v>10</v>
      </c>
    </row>
    <row r="239" spans="1:10" x14ac:dyDescent="0.3">
      <c r="A239" t="s">
        <v>16</v>
      </c>
      <c r="B239">
        <v>11</v>
      </c>
      <c r="C239">
        <v>8</v>
      </c>
      <c r="D239">
        <v>400</v>
      </c>
      <c r="E239">
        <v>150</v>
      </c>
      <c r="F239">
        <v>4997</v>
      </c>
      <c r="G239">
        <f t="shared" si="3"/>
        <v>3.0018010806483891E-2</v>
      </c>
      <c r="H239">
        <v>14</v>
      </c>
      <c r="I239">
        <v>73</v>
      </c>
      <c r="J239" t="s">
        <v>10</v>
      </c>
    </row>
    <row r="240" spans="1:10" x14ac:dyDescent="0.3">
      <c r="A240" t="s">
        <v>128</v>
      </c>
      <c r="B240">
        <v>28</v>
      </c>
      <c r="C240">
        <v>4</v>
      </c>
      <c r="D240">
        <v>90</v>
      </c>
      <c r="E240">
        <v>75</v>
      </c>
      <c r="F240">
        <v>2125</v>
      </c>
      <c r="G240">
        <f t="shared" si="3"/>
        <v>3.5294117647058823E-2</v>
      </c>
      <c r="H240">
        <v>14.5</v>
      </c>
      <c r="I240">
        <v>74</v>
      </c>
      <c r="J240" t="s">
        <v>10</v>
      </c>
    </row>
    <row r="241" spans="1:10" x14ac:dyDescent="0.3">
      <c r="A241" t="s">
        <v>43</v>
      </c>
      <c r="B241">
        <v>26</v>
      </c>
      <c r="C241">
        <v>4</v>
      </c>
      <c r="D241">
        <v>122</v>
      </c>
      <c r="E241">
        <v>80</v>
      </c>
      <c r="F241">
        <v>2451</v>
      </c>
      <c r="G241">
        <f t="shared" si="3"/>
        <v>3.2639738882088945E-2</v>
      </c>
      <c r="H241">
        <v>16.5</v>
      </c>
      <c r="I241">
        <v>74</v>
      </c>
      <c r="J241" t="s">
        <v>10</v>
      </c>
    </row>
    <row r="242" spans="1:10" x14ac:dyDescent="0.3">
      <c r="A242" t="s">
        <v>66</v>
      </c>
      <c r="B242">
        <v>25</v>
      </c>
      <c r="C242">
        <v>4</v>
      </c>
      <c r="D242">
        <v>140</v>
      </c>
      <c r="E242">
        <v>75</v>
      </c>
      <c r="F242">
        <v>2542</v>
      </c>
      <c r="G242">
        <f t="shared" si="3"/>
        <v>2.9504327301337528E-2</v>
      </c>
      <c r="H242">
        <v>17</v>
      </c>
      <c r="I242">
        <v>74</v>
      </c>
      <c r="J242" t="s">
        <v>10</v>
      </c>
    </row>
    <row r="243" spans="1:10" x14ac:dyDescent="0.3">
      <c r="A243" t="s">
        <v>27</v>
      </c>
      <c r="B243">
        <v>19</v>
      </c>
      <c r="C243">
        <v>6</v>
      </c>
      <c r="D243">
        <v>232</v>
      </c>
      <c r="E243">
        <v>100</v>
      </c>
      <c r="F243">
        <v>2901</v>
      </c>
      <c r="G243">
        <f t="shared" si="3"/>
        <v>3.447087211306446E-2</v>
      </c>
      <c r="H243">
        <v>16</v>
      </c>
      <c r="I243">
        <v>74</v>
      </c>
      <c r="J243" t="s">
        <v>10</v>
      </c>
    </row>
    <row r="244" spans="1:10" x14ac:dyDescent="0.3">
      <c r="A244" t="s">
        <v>26</v>
      </c>
      <c r="B244">
        <v>20</v>
      </c>
      <c r="C244">
        <v>6</v>
      </c>
      <c r="D244">
        <v>198</v>
      </c>
      <c r="E244">
        <v>95</v>
      </c>
      <c r="F244">
        <v>3102</v>
      </c>
      <c r="G244">
        <f t="shared" si="3"/>
        <v>3.0625402965828497E-2</v>
      </c>
      <c r="H244">
        <v>16.5</v>
      </c>
      <c r="I244">
        <v>74</v>
      </c>
      <c r="J244" t="s">
        <v>10</v>
      </c>
    </row>
    <row r="245" spans="1:10" x14ac:dyDescent="0.3">
      <c r="A245" t="s">
        <v>46</v>
      </c>
      <c r="B245">
        <v>16</v>
      </c>
      <c r="C245">
        <v>6</v>
      </c>
      <c r="D245">
        <v>258</v>
      </c>
      <c r="E245">
        <v>110</v>
      </c>
      <c r="F245">
        <v>3632</v>
      </c>
      <c r="G245">
        <f t="shared" si="3"/>
        <v>3.0286343612334801E-2</v>
      </c>
      <c r="H245">
        <v>18</v>
      </c>
      <c r="I245">
        <v>74</v>
      </c>
      <c r="J245" t="s">
        <v>10</v>
      </c>
    </row>
    <row r="246" spans="1:10" x14ac:dyDescent="0.3">
      <c r="A246" t="s">
        <v>119</v>
      </c>
      <c r="B246">
        <v>15</v>
      </c>
      <c r="C246">
        <v>6</v>
      </c>
      <c r="D246">
        <v>250</v>
      </c>
      <c r="E246">
        <v>100</v>
      </c>
      <c r="F246">
        <v>3336</v>
      </c>
      <c r="G246">
        <f t="shared" si="3"/>
        <v>2.9976019184652279E-2</v>
      </c>
      <c r="H246">
        <v>17</v>
      </c>
      <c r="I246">
        <v>74</v>
      </c>
      <c r="J246" t="s">
        <v>10</v>
      </c>
    </row>
    <row r="247" spans="1:10" x14ac:dyDescent="0.3">
      <c r="A247" t="s">
        <v>122</v>
      </c>
      <c r="B247">
        <v>18</v>
      </c>
      <c r="C247">
        <v>6</v>
      </c>
      <c r="D247">
        <v>225</v>
      </c>
      <c r="E247">
        <v>105</v>
      </c>
      <c r="F247">
        <v>3613</v>
      </c>
      <c r="G247">
        <f t="shared" si="3"/>
        <v>2.9061721561029614E-2</v>
      </c>
      <c r="H247">
        <v>16.5</v>
      </c>
      <c r="I247">
        <v>74</v>
      </c>
      <c r="J247" t="s">
        <v>10</v>
      </c>
    </row>
    <row r="248" spans="1:10" x14ac:dyDescent="0.3">
      <c r="A248" t="s">
        <v>121</v>
      </c>
      <c r="B248">
        <v>16</v>
      </c>
      <c r="C248">
        <v>6</v>
      </c>
      <c r="D248">
        <v>250</v>
      </c>
      <c r="E248">
        <v>100</v>
      </c>
      <c r="F248">
        <v>3781</v>
      </c>
      <c r="G248">
        <f t="shared" si="3"/>
        <v>2.6448029621793177E-2</v>
      </c>
      <c r="H248">
        <v>17</v>
      </c>
      <c r="I248">
        <v>74</v>
      </c>
      <c r="J248" t="s">
        <v>10</v>
      </c>
    </row>
    <row r="249" spans="1:10" x14ac:dyDescent="0.3">
      <c r="A249" t="s">
        <v>28</v>
      </c>
      <c r="B249">
        <v>21</v>
      </c>
      <c r="C249">
        <v>6</v>
      </c>
      <c r="D249">
        <v>200</v>
      </c>
      <c r="F249">
        <v>2875</v>
      </c>
      <c r="G249">
        <f t="shared" si="3"/>
        <v>0</v>
      </c>
      <c r="H249">
        <v>17</v>
      </c>
      <c r="I249">
        <v>74</v>
      </c>
      <c r="J249" t="s">
        <v>10</v>
      </c>
    </row>
    <row r="250" spans="1:10" x14ac:dyDescent="0.3">
      <c r="A250" t="s">
        <v>74</v>
      </c>
      <c r="B250">
        <v>14</v>
      </c>
      <c r="C250">
        <v>8</v>
      </c>
      <c r="D250">
        <v>304</v>
      </c>
      <c r="E250">
        <v>150</v>
      </c>
      <c r="F250">
        <v>4257</v>
      </c>
      <c r="G250">
        <f t="shared" si="3"/>
        <v>3.5236081747709654E-2</v>
      </c>
      <c r="H250">
        <v>15.5</v>
      </c>
      <c r="I250">
        <v>74</v>
      </c>
      <c r="J250" t="s">
        <v>10</v>
      </c>
    </row>
    <row r="251" spans="1:10" x14ac:dyDescent="0.3">
      <c r="A251" t="s">
        <v>89</v>
      </c>
      <c r="B251">
        <v>16</v>
      </c>
      <c r="C251">
        <v>8</v>
      </c>
      <c r="D251">
        <v>302</v>
      </c>
      <c r="E251">
        <v>140</v>
      </c>
      <c r="F251">
        <v>4141</v>
      </c>
      <c r="G251">
        <f t="shared" si="3"/>
        <v>3.3808258874667957E-2</v>
      </c>
      <c r="H251">
        <v>14</v>
      </c>
      <c r="I251">
        <v>74</v>
      </c>
      <c r="J251" t="s">
        <v>10</v>
      </c>
    </row>
    <row r="252" spans="1:10" x14ac:dyDescent="0.3">
      <c r="A252" t="s">
        <v>124</v>
      </c>
      <c r="B252">
        <v>14</v>
      </c>
      <c r="C252">
        <v>8</v>
      </c>
      <c r="D252">
        <v>318</v>
      </c>
      <c r="E252">
        <v>150</v>
      </c>
      <c r="F252">
        <v>4457</v>
      </c>
      <c r="G252">
        <f t="shared" si="3"/>
        <v>3.3654924837334531E-2</v>
      </c>
      <c r="H252">
        <v>13.5</v>
      </c>
      <c r="I252">
        <v>74</v>
      </c>
      <c r="J252" t="s">
        <v>10</v>
      </c>
    </row>
    <row r="253" spans="1:10" x14ac:dyDescent="0.3">
      <c r="A253" t="s">
        <v>123</v>
      </c>
      <c r="B253">
        <v>13</v>
      </c>
      <c r="C253">
        <v>8</v>
      </c>
      <c r="D253">
        <v>350</v>
      </c>
      <c r="E253">
        <v>150</v>
      </c>
      <c r="F253">
        <v>4699</v>
      </c>
      <c r="G253">
        <f t="shared" si="3"/>
        <v>3.192168546499255E-2</v>
      </c>
      <c r="H253">
        <v>14.5</v>
      </c>
      <c r="I253">
        <v>74</v>
      </c>
      <c r="J253" t="s">
        <v>10</v>
      </c>
    </row>
    <row r="254" spans="1:10" x14ac:dyDescent="0.3">
      <c r="A254" t="s">
        <v>76</v>
      </c>
      <c r="B254">
        <v>14</v>
      </c>
      <c r="C254">
        <v>8</v>
      </c>
      <c r="D254">
        <v>302</v>
      </c>
      <c r="E254">
        <v>140</v>
      </c>
      <c r="F254">
        <v>4638</v>
      </c>
      <c r="G254">
        <f t="shared" si="3"/>
        <v>3.0185424752048298E-2</v>
      </c>
      <c r="H254">
        <v>16</v>
      </c>
      <c r="I254">
        <v>74</v>
      </c>
      <c r="J254" t="s">
        <v>10</v>
      </c>
    </row>
    <row r="255" spans="1:10" x14ac:dyDescent="0.3">
      <c r="A255" t="s">
        <v>43</v>
      </c>
      <c r="B255">
        <v>23</v>
      </c>
      <c r="C255">
        <v>4</v>
      </c>
      <c r="D255">
        <v>140</v>
      </c>
      <c r="E255">
        <v>83</v>
      </c>
      <c r="F255">
        <v>2639</v>
      </c>
      <c r="G255">
        <f t="shared" si="3"/>
        <v>3.1451307313376281E-2</v>
      </c>
      <c r="H255">
        <v>17</v>
      </c>
      <c r="I255">
        <v>75</v>
      </c>
      <c r="J255" t="s">
        <v>10</v>
      </c>
    </row>
    <row r="256" spans="1:10" x14ac:dyDescent="0.3">
      <c r="A256" t="s">
        <v>144</v>
      </c>
      <c r="B256">
        <v>23</v>
      </c>
      <c r="C256">
        <v>4</v>
      </c>
      <c r="D256">
        <v>140</v>
      </c>
      <c r="E256">
        <v>78</v>
      </c>
      <c r="F256">
        <v>2592</v>
      </c>
      <c r="G256">
        <f t="shared" si="3"/>
        <v>3.0092592592592591E-2</v>
      </c>
      <c r="H256">
        <v>18.5</v>
      </c>
      <c r="I256">
        <v>75</v>
      </c>
      <c r="J256" t="s">
        <v>10</v>
      </c>
    </row>
    <row r="257" spans="1:10" x14ac:dyDescent="0.3">
      <c r="A257" t="s">
        <v>140</v>
      </c>
      <c r="B257">
        <v>21</v>
      </c>
      <c r="C257">
        <v>6</v>
      </c>
      <c r="D257">
        <v>231</v>
      </c>
      <c r="E257">
        <v>110</v>
      </c>
      <c r="F257">
        <v>3039</v>
      </c>
      <c r="G257">
        <f t="shared" si="3"/>
        <v>3.61961171437973E-2</v>
      </c>
      <c r="H257">
        <v>15</v>
      </c>
      <c r="I257">
        <v>75</v>
      </c>
      <c r="J257" t="s">
        <v>10</v>
      </c>
    </row>
    <row r="258" spans="1:10" x14ac:dyDescent="0.3">
      <c r="A258" t="s">
        <v>36</v>
      </c>
      <c r="B258">
        <v>20</v>
      </c>
      <c r="C258">
        <v>6</v>
      </c>
      <c r="D258">
        <v>232</v>
      </c>
      <c r="E258">
        <v>100</v>
      </c>
      <c r="F258">
        <v>2914</v>
      </c>
      <c r="G258">
        <f t="shared" ref="G258:G321" si="4">IFERROR(E258/F258, "")</f>
        <v>3.4317089910775568E-2</v>
      </c>
      <c r="H258">
        <v>16</v>
      </c>
      <c r="I258">
        <v>75</v>
      </c>
      <c r="J258" t="s">
        <v>10</v>
      </c>
    </row>
    <row r="259" spans="1:10" x14ac:dyDescent="0.3">
      <c r="A259" t="s">
        <v>43</v>
      </c>
      <c r="B259">
        <v>18</v>
      </c>
      <c r="C259">
        <v>6</v>
      </c>
      <c r="D259">
        <v>171</v>
      </c>
      <c r="E259">
        <v>97</v>
      </c>
      <c r="F259">
        <v>2984</v>
      </c>
      <c r="G259">
        <f t="shared" si="4"/>
        <v>3.2506702412868634E-2</v>
      </c>
      <c r="H259">
        <v>14.5</v>
      </c>
      <c r="I259">
        <v>75</v>
      </c>
      <c r="J259" t="s">
        <v>10</v>
      </c>
    </row>
    <row r="260" spans="1:10" x14ac:dyDescent="0.3">
      <c r="A260" t="s">
        <v>119</v>
      </c>
      <c r="B260">
        <v>18</v>
      </c>
      <c r="C260">
        <v>6</v>
      </c>
      <c r="D260">
        <v>250</v>
      </c>
      <c r="E260">
        <v>105</v>
      </c>
      <c r="F260">
        <v>3459</v>
      </c>
      <c r="G260">
        <f t="shared" si="4"/>
        <v>3.0355594102341718E-2</v>
      </c>
      <c r="H260">
        <v>16</v>
      </c>
      <c r="I260">
        <v>75</v>
      </c>
      <c r="J260" t="s">
        <v>10</v>
      </c>
    </row>
    <row r="261" spans="1:10" x14ac:dyDescent="0.3">
      <c r="A261" t="s">
        <v>46</v>
      </c>
      <c r="B261">
        <v>15</v>
      </c>
      <c r="C261">
        <v>6</v>
      </c>
      <c r="D261">
        <v>258</v>
      </c>
      <c r="E261">
        <v>110</v>
      </c>
      <c r="F261">
        <v>3730</v>
      </c>
      <c r="G261">
        <f t="shared" si="4"/>
        <v>2.9490616621983913E-2</v>
      </c>
      <c r="H261">
        <v>19</v>
      </c>
      <c r="I261">
        <v>75</v>
      </c>
      <c r="J261" t="s">
        <v>10</v>
      </c>
    </row>
    <row r="262" spans="1:10" x14ac:dyDescent="0.3">
      <c r="A262" t="s">
        <v>133</v>
      </c>
      <c r="B262">
        <v>19</v>
      </c>
      <c r="C262">
        <v>6</v>
      </c>
      <c r="D262">
        <v>225</v>
      </c>
      <c r="E262">
        <v>95</v>
      </c>
      <c r="F262">
        <v>3264</v>
      </c>
      <c r="G262">
        <f t="shared" si="4"/>
        <v>2.9105392156862746E-2</v>
      </c>
      <c r="H262">
        <v>16</v>
      </c>
      <c r="I262">
        <v>75</v>
      </c>
      <c r="J262" t="s">
        <v>10</v>
      </c>
    </row>
    <row r="263" spans="1:10" x14ac:dyDescent="0.3">
      <c r="A263" t="s">
        <v>137</v>
      </c>
      <c r="B263">
        <v>17</v>
      </c>
      <c r="C263">
        <v>6</v>
      </c>
      <c r="D263">
        <v>231</v>
      </c>
      <c r="E263">
        <v>110</v>
      </c>
      <c r="F263">
        <v>3907</v>
      </c>
      <c r="G263">
        <f t="shared" si="4"/>
        <v>2.8154594317890965E-2</v>
      </c>
      <c r="H263">
        <v>21</v>
      </c>
      <c r="I263">
        <v>75</v>
      </c>
      <c r="J263" t="s">
        <v>10</v>
      </c>
    </row>
    <row r="264" spans="1:10" x14ac:dyDescent="0.3">
      <c r="A264" t="s">
        <v>146</v>
      </c>
      <c r="B264">
        <v>19</v>
      </c>
      <c r="C264">
        <v>6</v>
      </c>
      <c r="D264">
        <v>232</v>
      </c>
      <c r="E264">
        <v>90</v>
      </c>
      <c r="F264">
        <v>3211</v>
      </c>
      <c r="G264">
        <f t="shared" si="4"/>
        <v>2.8028651510432889E-2</v>
      </c>
      <c r="H264">
        <v>17</v>
      </c>
      <c r="I264">
        <v>75</v>
      </c>
      <c r="J264" t="s">
        <v>10</v>
      </c>
    </row>
    <row r="265" spans="1:10" x14ac:dyDescent="0.3">
      <c r="A265" t="s">
        <v>138</v>
      </c>
      <c r="B265">
        <v>16</v>
      </c>
      <c r="C265">
        <v>6</v>
      </c>
      <c r="D265">
        <v>250</v>
      </c>
      <c r="E265">
        <v>105</v>
      </c>
      <c r="F265">
        <v>3897</v>
      </c>
      <c r="G265">
        <f t="shared" si="4"/>
        <v>2.6943802925327175E-2</v>
      </c>
      <c r="H265">
        <v>18.5</v>
      </c>
      <c r="I265">
        <v>75</v>
      </c>
      <c r="J265" t="s">
        <v>10</v>
      </c>
    </row>
    <row r="266" spans="1:10" x14ac:dyDescent="0.3">
      <c r="A266" t="s">
        <v>139</v>
      </c>
      <c r="B266">
        <v>18</v>
      </c>
      <c r="C266">
        <v>6</v>
      </c>
      <c r="D266">
        <v>225</v>
      </c>
      <c r="E266">
        <v>95</v>
      </c>
      <c r="F266">
        <v>3785</v>
      </c>
      <c r="G266">
        <f t="shared" si="4"/>
        <v>2.5099075297225892E-2</v>
      </c>
      <c r="H266">
        <v>19</v>
      </c>
      <c r="I266">
        <v>75</v>
      </c>
      <c r="J266" t="s">
        <v>10</v>
      </c>
    </row>
    <row r="267" spans="1:10" x14ac:dyDescent="0.3">
      <c r="A267" t="s">
        <v>28</v>
      </c>
      <c r="B267">
        <v>15</v>
      </c>
      <c r="C267">
        <v>6</v>
      </c>
      <c r="D267">
        <v>250</v>
      </c>
      <c r="E267">
        <v>72</v>
      </c>
      <c r="F267">
        <v>3158</v>
      </c>
      <c r="G267">
        <f t="shared" si="4"/>
        <v>2.2799240025332488E-2</v>
      </c>
      <c r="H267">
        <v>19.5</v>
      </c>
      <c r="I267">
        <v>75</v>
      </c>
      <c r="J267" t="s">
        <v>10</v>
      </c>
    </row>
    <row r="268" spans="1:10" x14ac:dyDescent="0.3">
      <c r="A268" t="s">
        <v>134</v>
      </c>
      <c r="B268">
        <v>15</v>
      </c>
      <c r="C268">
        <v>6</v>
      </c>
      <c r="D268">
        <v>250</v>
      </c>
      <c r="E268">
        <v>72</v>
      </c>
      <c r="F268">
        <v>3432</v>
      </c>
      <c r="G268">
        <f t="shared" si="4"/>
        <v>2.097902097902098E-2</v>
      </c>
      <c r="H268">
        <v>21</v>
      </c>
      <c r="I268">
        <v>75</v>
      </c>
      <c r="J268" t="s">
        <v>10</v>
      </c>
    </row>
    <row r="269" spans="1:10" x14ac:dyDescent="0.3">
      <c r="A269" t="s">
        <v>142</v>
      </c>
      <c r="B269">
        <v>13</v>
      </c>
      <c r="C269">
        <v>8</v>
      </c>
      <c r="D269">
        <v>302</v>
      </c>
      <c r="E269">
        <v>129</v>
      </c>
      <c r="F269">
        <v>3169</v>
      </c>
      <c r="G269">
        <f t="shared" si="4"/>
        <v>4.0706847585989268E-2</v>
      </c>
      <c r="H269">
        <v>12</v>
      </c>
      <c r="I269">
        <v>75</v>
      </c>
      <c r="J269" t="s">
        <v>10</v>
      </c>
    </row>
    <row r="270" spans="1:10" x14ac:dyDescent="0.3">
      <c r="A270" t="s">
        <v>18</v>
      </c>
      <c r="B270">
        <v>16</v>
      </c>
      <c r="C270">
        <v>8</v>
      </c>
      <c r="D270">
        <v>400</v>
      </c>
      <c r="E270">
        <v>170</v>
      </c>
      <c r="F270">
        <v>4668</v>
      </c>
      <c r="G270">
        <f t="shared" si="4"/>
        <v>3.6418166238217649E-2</v>
      </c>
      <c r="H270">
        <v>11.5</v>
      </c>
      <c r="I270">
        <v>75</v>
      </c>
      <c r="J270" t="s">
        <v>10</v>
      </c>
    </row>
    <row r="271" spans="1:10" x14ac:dyDescent="0.3">
      <c r="A271" t="s">
        <v>141</v>
      </c>
      <c r="B271">
        <v>20</v>
      </c>
      <c r="C271">
        <v>8</v>
      </c>
      <c r="D271">
        <v>262</v>
      </c>
      <c r="E271">
        <v>110</v>
      </c>
      <c r="F271">
        <v>3221</v>
      </c>
      <c r="G271">
        <f t="shared" si="4"/>
        <v>3.4150884818379384E-2</v>
      </c>
      <c r="H271">
        <v>13.5</v>
      </c>
      <c r="I271">
        <v>75</v>
      </c>
      <c r="J271" t="s">
        <v>10</v>
      </c>
    </row>
    <row r="272" spans="1:10" x14ac:dyDescent="0.3">
      <c r="A272" t="s">
        <v>136</v>
      </c>
      <c r="B272">
        <v>16</v>
      </c>
      <c r="C272">
        <v>8</v>
      </c>
      <c r="D272">
        <v>318</v>
      </c>
      <c r="E272">
        <v>150</v>
      </c>
      <c r="F272">
        <v>4498</v>
      </c>
      <c r="G272">
        <f t="shared" si="4"/>
        <v>3.3348154735437972E-2</v>
      </c>
      <c r="H272">
        <v>14.5</v>
      </c>
      <c r="I272">
        <v>75</v>
      </c>
      <c r="J272" t="s">
        <v>10</v>
      </c>
    </row>
    <row r="273" spans="1:10" x14ac:dyDescent="0.3">
      <c r="A273" t="s">
        <v>135</v>
      </c>
      <c r="B273">
        <v>15</v>
      </c>
      <c r="C273">
        <v>8</v>
      </c>
      <c r="D273">
        <v>350</v>
      </c>
      <c r="E273">
        <v>145</v>
      </c>
      <c r="F273">
        <v>4440</v>
      </c>
      <c r="G273">
        <f t="shared" si="4"/>
        <v>3.2657657657657657E-2</v>
      </c>
      <c r="H273">
        <v>14</v>
      </c>
      <c r="I273">
        <v>75</v>
      </c>
      <c r="J273" t="s">
        <v>10</v>
      </c>
    </row>
    <row r="274" spans="1:10" x14ac:dyDescent="0.3">
      <c r="A274" t="s">
        <v>93</v>
      </c>
      <c r="B274">
        <v>14</v>
      </c>
      <c r="C274">
        <v>8</v>
      </c>
      <c r="D274">
        <v>351</v>
      </c>
      <c r="E274">
        <v>148</v>
      </c>
      <c r="F274">
        <v>4657</v>
      </c>
      <c r="G274">
        <f t="shared" si="4"/>
        <v>3.1780115954477134E-2</v>
      </c>
      <c r="H274">
        <v>13.5</v>
      </c>
      <c r="I274">
        <v>75</v>
      </c>
      <c r="J274" t="s">
        <v>10</v>
      </c>
    </row>
    <row r="275" spans="1:10" x14ac:dyDescent="0.3">
      <c r="A275" t="s">
        <v>150</v>
      </c>
      <c r="B275">
        <v>25</v>
      </c>
      <c r="C275">
        <v>4</v>
      </c>
      <c r="D275">
        <v>140</v>
      </c>
      <c r="E275">
        <v>92</v>
      </c>
      <c r="F275">
        <v>2572</v>
      </c>
      <c r="G275">
        <f t="shared" si="4"/>
        <v>3.5769828926905133E-2</v>
      </c>
      <c r="H275">
        <v>14.9</v>
      </c>
      <c r="I275">
        <v>76</v>
      </c>
      <c r="J275" t="s">
        <v>10</v>
      </c>
    </row>
    <row r="276" spans="1:10" x14ac:dyDescent="0.3">
      <c r="A276" t="s">
        <v>128</v>
      </c>
      <c r="B276">
        <v>26</v>
      </c>
      <c r="C276">
        <v>4</v>
      </c>
      <c r="D276">
        <v>98</v>
      </c>
      <c r="E276">
        <v>79</v>
      </c>
      <c r="F276">
        <v>2255</v>
      </c>
      <c r="G276">
        <f t="shared" si="4"/>
        <v>3.5033259423503327E-2</v>
      </c>
      <c r="H276">
        <v>17.7</v>
      </c>
      <c r="I276">
        <v>76</v>
      </c>
      <c r="J276" t="s">
        <v>10</v>
      </c>
    </row>
    <row r="277" spans="1:10" x14ac:dyDescent="0.3">
      <c r="A277" t="s">
        <v>43</v>
      </c>
      <c r="B277">
        <v>26.5</v>
      </c>
      <c r="C277">
        <v>4</v>
      </c>
      <c r="D277">
        <v>140</v>
      </c>
      <c r="E277">
        <v>72</v>
      </c>
      <c r="F277">
        <v>2565</v>
      </c>
      <c r="G277">
        <f t="shared" si="4"/>
        <v>2.8070175438596492E-2</v>
      </c>
      <c r="H277">
        <v>13.6</v>
      </c>
      <c r="I277">
        <v>76</v>
      </c>
      <c r="J277" t="s">
        <v>10</v>
      </c>
    </row>
    <row r="278" spans="1:10" x14ac:dyDescent="0.3">
      <c r="A278" t="s">
        <v>154</v>
      </c>
      <c r="B278">
        <v>24.5</v>
      </c>
      <c r="C278">
        <v>4</v>
      </c>
      <c r="D278">
        <v>98</v>
      </c>
      <c r="E278">
        <v>60</v>
      </c>
      <c r="F278">
        <v>2164</v>
      </c>
      <c r="G278">
        <f t="shared" si="4"/>
        <v>2.7726432532347505E-2</v>
      </c>
      <c r="H278">
        <v>22.1</v>
      </c>
      <c r="I278">
        <v>76</v>
      </c>
      <c r="J278" t="s">
        <v>10</v>
      </c>
    </row>
    <row r="279" spans="1:10" x14ac:dyDescent="0.3">
      <c r="A279" t="s">
        <v>153</v>
      </c>
      <c r="B279">
        <v>29</v>
      </c>
      <c r="C279">
        <v>4</v>
      </c>
      <c r="D279">
        <v>85</v>
      </c>
      <c r="E279">
        <v>52</v>
      </c>
      <c r="F279">
        <v>2035</v>
      </c>
      <c r="G279">
        <f t="shared" si="4"/>
        <v>2.5552825552825554E-2</v>
      </c>
      <c r="H279">
        <v>22.2</v>
      </c>
      <c r="I279">
        <v>76</v>
      </c>
      <c r="J279" t="s">
        <v>10</v>
      </c>
    </row>
    <row r="280" spans="1:10" x14ac:dyDescent="0.3">
      <c r="A280" t="s">
        <v>119</v>
      </c>
      <c r="B280">
        <v>22</v>
      </c>
      <c r="C280">
        <v>6</v>
      </c>
      <c r="D280">
        <v>250</v>
      </c>
      <c r="E280">
        <v>105</v>
      </c>
      <c r="F280">
        <v>3353</v>
      </c>
      <c r="G280">
        <f t="shared" si="4"/>
        <v>3.1315240083507306E-2</v>
      </c>
      <c r="H280">
        <v>14.5</v>
      </c>
      <c r="I280">
        <v>76</v>
      </c>
      <c r="J280" t="s">
        <v>10</v>
      </c>
    </row>
    <row r="281" spans="1:10" x14ac:dyDescent="0.3">
      <c r="A281" t="s">
        <v>98</v>
      </c>
      <c r="B281">
        <v>22</v>
      </c>
      <c r="C281">
        <v>6</v>
      </c>
      <c r="D281">
        <v>225</v>
      </c>
      <c r="E281">
        <v>100</v>
      </c>
      <c r="F281">
        <v>3233</v>
      </c>
      <c r="G281">
        <f t="shared" si="4"/>
        <v>3.093102381688834E-2</v>
      </c>
      <c r="H281">
        <v>15.4</v>
      </c>
      <c r="I281">
        <v>76</v>
      </c>
      <c r="J281" t="s">
        <v>10</v>
      </c>
    </row>
    <row r="282" spans="1:10" x14ac:dyDescent="0.3">
      <c r="A282" t="s">
        <v>158</v>
      </c>
      <c r="B282">
        <v>18.5</v>
      </c>
      <c r="C282">
        <v>6</v>
      </c>
      <c r="D282">
        <v>250</v>
      </c>
      <c r="E282">
        <v>110</v>
      </c>
      <c r="F282">
        <v>3645</v>
      </c>
      <c r="G282">
        <f t="shared" si="4"/>
        <v>3.017832647462277E-2</v>
      </c>
      <c r="H282">
        <v>16.2</v>
      </c>
      <c r="I282">
        <v>76</v>
      </c>
      <c r="J282" t="s">
        <v>10</v>
      </c>
    </row>
    <row r="283" spans="1:10" x14ac:dyDescent="0.3">
      <c r="A283" t="s">
        <v>159</v>
      </c>
      <c r="B283">
        <v>17.5</v>
      </c>
      <c r="C283">
        <v>6</v>
      </c>
      <c r="D283">
        <v>258</v>
      </c>
      <c r="E283">
        <v>95</v>
      </c>
      <c r="F283">
        <v>3193</v>
      </c>
      <c r="G283">
        <f t="shared" si="4"/>
        <v>2.9752583777012214E-2</v>
      </c>
      <c r="H283">
        <v>17.8</v>
      </c>
      <c r="I283">
        <v>76</v>
      </c>
      <c r="J283" t="s">
        <v>10</v>
      </c>
    </row>
    <row r="284" spans="1:10" x14ac:dyDescent="0.3">
      <c r="A284" t="s">
        <v>27</v>
      </c>
      <c r="B284">
        <v>22.5</v>
      </c>
      <c r="C284">
        <v>6</v>
      </c>
      <c r="D284">
        <v>232</v>
      </c>
      <c r="E284">
        <v>90</v>
      </c>
      <c r="F284">
        <v>3085</v>
      </c>
      <c r="G284">
        <f t="shared" si="4"/>
        <v>2.9173419773095625E-2</v>
      </c>
      <c r="H284">
        <v>17.600000000000001</v>
      </c>
      <c r="I284">
        <v>76</v>
      </c>
      <c r="J284" t="s">
        <v>10</v>
      </c>
    </row>
    <row r="285" spans="1:10" x14ac:dyDescent="0.3">
      <c r="A285" t="s">
        <v>156</v>
      </c>
      <c r="B285">
        <v>20</v>
      </c>
      <c r="C285">
        <v>6</v>
      </c>
      <c r="D285">
        <v>225</v>
      </c>
      <c r="E285">
        <v>100</v>
      </c>
      <c r="F285">
        <v>3651</v>
      </c>
      <c r="G285">
        <f t="shared" si="4"/>
        <v>2.7389756231169543E-2</v>
      </c>
      <c r="H285">
        <v>17.7</v>
      </c>
      <c r="I285">
        <v>76</v>
      </c>
      <c r="J285" t="s">
        <v>10</v>
      </c>
    </row>
    <row r="286" spans="1:10" x14ac:dyDescent="0.3">
      <c r="A286" t="s">
        <v>28</v>
      </c>
      <c r="B286">
        <v>24</v>
      </c>
      <c r="C286">
        <v>6</v>
      </c>
      <c r="D286">
        <v>200</v>
      </c>
      <c r="E286">
        <v>81</v>
      </c>
      <c r="F286">
        <v>3012</v>
      </c>
      <c r="G286">
        <f t="shared" si="4"/>
        <v>2.6892430278884463E-2</v>
      </c>
      <c r="H286">
        <v>17.600000000000001</v>
      </c>
      <c r="I286">
        <v>76</v>
      </c>
      <c r="J286" t="s">
        <v>10</v>
      </c>
    </row>
    <row r="287" spans="1:10" x14ac:dyDescent="0.3">
      <c r="A287" t="s">
        <v>157</v>
      </c>
      <c r="B287">
        <v>18</v>
      </c>
      <c r="C287">
        <v>6</v>
      </c>
      <c r="D287">
        <v>250</v>
      </c>
      <c r="E287">
        <v>78</v>
      </c>
      <c r="F287">
        <v>3574</v>
      </c>
      <c r="G287">
        <f t="shared" si="4"/>
        <v>2.1824286513710128E-2</v>
      </c>
      <c r="H287">
        <v>21</v>
      </c>
      <c r="I287">
        <v>76</v>
      </c>
      <c r="J287" t="s">
        <v>10</v>
      </c>
    </row>
    <row r="288" spans="1:10" x14ac:dyDescent="0.3">
      <c r="A288" t="s">
        <v>164</v>
      </c>
      <c r="B288">
        <v>16.5</v>
      </c>
      <c r="C288">
        <v>8</v>
      </c>
      <c r="D288">
        <v>350</v>
      </c>
      <c r="E288">
        <v>180</v>
      </c>
      <c r="F288">
        <v>4380</v>
      </c>
      <c r="G288">
        <f t="shared" si="4"/>
        <v>4.1095890410958902E-2</v>
      </c>
      <c r="H288">
        <v>12.1</v>
      </c>
      <c r="I288">
        <v>76</v>
      </c>
      <c r="J288" t="s">
        <v>10</v>
      </c>
    </row>
    <row r="289" spans="1:10" x14ac:dyDescent="0.3">
      <c r="A289" t="s">
        <v>167</v>
      </c>
      <c r="B289">
        <v>13</v>
      </c>
      <c r="C289">
        <v>8</v>
      </c>
      <c r="D289">
        <v>318</v>
      </c>
      <c r="E289">
        <v>150</v>
      </c>
      <c r="F289">
        <v>3755</v>
      </c>
      <c r="G289">
        <f t="shared" si="4"/>
        <v>3.9946737683089213E-2</v>
      </c>
      <c r="H289">
        <v>14</v>
      </c>
      <c r="I289">
        <v>76</v>
      </c>
      <c r="J289" t="s">
        <v>10</v>
      </c>
    </row>
    <row r="290" spans="1:10" x14ac:dyDescent="0.3">
      <c r="A290" t="s">
        <v>162</v>
      </c>
      <c r="B290">
        <v>13</v>
      </c>
      <c r="C290">
        <v>8</v>
      </c>
      <c r="D290">
        <v>318</v>
      </c>
      <c r="E290">
        <v>150</v>
      </c>
      <c r="F290">
        <v>3940</v>
      </c>
      <c r="G290">
        <f t="shared" si="4"/>
        <v>3.8071065989847719E-2</v>
      </c>
      <c r="H290">
        <v>13.2</v>
      </c>
      <c r="I290">
        <v>76</v>
      </c>
      <c r="J290" t="s">
        <v>10</v>
      </c>
    </row>
    <row r="291" spans="1:10" x14ac:dyDescent="0.3">
      <c r="A291" t="s">
        <v>89</v>
      </c>
      <c r="B291">
        <v>14.5</v>
      </c>
      <c r="C291">
        <v>8</v>
      </c>
      <c r="D291">
        <v>351</v>
      </c>
      <c r="E291">
        <v>152</v>
      </c>
      <c r="F291">
        <v>4215</v>
      </c>
      <c r="G291">
        <f t="shared" si="4"/>
        <v>3.6061684460260972E-2</v>
      </c>
      <c r="H291">
        <v>12.8</v>
      </c>
      <c r="I291">
        <v>76</v>
      </c>
      <c r="J291" t="s">
        <v>10</v>
      </c>
    </row>
    <row r="292" spans="1:10" x14ac:dyDescent="0.3">
      <c r="A292" t="s">
        <v>165</v>
      </c>
      <c r="B292">
        <v>13</v>
      </c>
      <c r="C292">
        <v>8</v>
      </c>
      <c r="D292">
        <v>350</v>
      </c>
      <c r="E292">
        <v>145</v>
      </c>
      <c r="F292">
        <v>4055</v>
      </c>
      <c r="G292">
        <f t="shared" si="4"/>
        <v>3.5758323057953144E-2</v>
      </c>
      <c r="H292">
        <v>12</v>
      </c>
      <c r="I292">
        <v>76</v>
      </c>
      <c r="J292" t="s">
        <v>10</v>
      </c>
    </row>
    <row r="293" spans="1:10" x14ac:dyDescent="0.3">
      <c r="A293" t="s">
        <v>152</v>
      </c>
      <c r="B293">
        <v>16</v>
      </c>
      <c r="C293">
        <v>8</v>
      </c>
      <c r="D293">
        <v>318</v>
      </c>
      <c r="E293">
        <v>150</v>
      </c>
      <c r="F293">
        <v>4190</v>
      </c>
      <c r="G293">
        <f t="shared" si="4"/>
        <v>3.5799522673031027E-2</v>
      </c>
      <c r="H293">
        <v>13</v>
      </c>
      <c r="I293">
        <v>76</v>
      </c>
      <c r="J293" t="s">
        <v>10</v>
      </c>
    </row>
    <row r="294" spans="1:10" x14ac:dyDescent="0.3">
      <c r="A294" t="s">
        <v>166</v>
      </c>
      <c r="B294">
        <v>13</v>
      </c>
      <c r="C294">
        <v>8</v>
      </c>
      <c r="D294">
        <v>302</v>
      </c>
      <c r="E294">
        <v>130</v>
      </c>
      <c r="F294">
        <v>3870</v>
      </c>
      <c r="G294">
        <f t="shared" si="4"/>
        <v>3.3591731266149873E-2</v>
      </c>
      <c r="H294">
        <v>15</v>
      </c>
      <c r="I294">
        <v>76</v>
      </c>
      <c r="J294" t="s">
        <v>10</v>
      </c>
    </row>
    <row r="295" spans="1:10" x14ac:dyDescent="0.3">
      <c r="A295" t="s">
        <v>121</v>
      </c>
      <c r="B295">
        <v>17.5</v>
      </c>
      <c r="C295">
        <v>8</v>
      </c>
      <c r="D295">
        <v>305</v>
      </c>
      <c r="E295">
        <v>140</v>
      </c>
      <c r="F295">
        <v>4215</v>
      </c>
      <c r="G295">
        <f t="shared" si="4"/>
        <v>3.3214709371292998E-2</v>
      </c>
      <c r="H295">
        <v>13</v>
      </c>
      <c r="I295">
        <v>76</v>
      </c>
      <c r="J295" t="s">
        <v>10</v>
      </c>
    </row>
    <row r="296" spans="1:10" x14ac:dyDescent="0.3">
      <c r="A296" t="s">
        <v>46</v>
      </c>
      <c r="B296">
        <v>15.5</v>
      </c>
      <c r="C296">
        <v>8</v>
      </c>
      <c r="D296">
        <v>304</v>
      </c>
      <c r="E296">
        <v>120</v>
      </c>
      <c r="F296">
        <v>3962</v>
      </c>
      <c r="G296">
        <f t="shared" si="4"/>
        <v>3.0287733467945482E-2</v>
      </c>
      <c r="H296">
        <v>13.9</v>
      </c>
      <c r="I296">
        <v>76</v>
      </c>
      <c r="J296" t="s">
        <v>10</v>
      </c>
    </row>
    <row r="297" spans="1:10" x14ac:dyDescent="0.3">
      <c r="A297" t="s">
        <v>171</v>
      </c>
      <c r="B297">
        <v>25.5</v>
      </c>
      <c r="C297">
        <v>4</v>
      </c>
      <c r="D297">
        <v>122</v>
      </c>
      <c r="E297">
        <v>96</v>
      </c>
      <c r="F297">
        <v>2300</v>
      </c>
      <c r="G297">
        <f t="shared" si="4"/>
        <v>4.1739130434782612E-2</v>
      </c>
      <c r="H297">
        <v>15.5</v>
      </c>
      <c r="I297">
        <v>77</v>
      </c>
      <c r="J297" t="s">
        <v>10</v>
      </c>
    </row>
    <row r="298" spans="1:10" x14ac:dyDescent="0.3">
      <c r="A298" t="s">
        <v>188</v>
      </c>
      <c r="B298">
        <v>33.5</v>
      </c>
      <c r="C298">
        <v>4</v>
      </c>
      <c r="D298">
        <v>98</v>
      </c>
      <c r="E298">
        <v>83</v>
      </c>
      <c r="F298">
        <v>2075</v>
      </c>
      <c r="G298">
        <f t="shared" si="4"/>
        <v>0.04</v>
      </c>
      <c r="H298">
        <v>15.9</v>
      </c>
      <c r="I298">
        <v>77</v>
      </c>
      <c r="J298" t="s">
        <v>10</v>
      </c>
    </row>
    <row r="299" spans="1:10" x14ac:dyDescent="0.3">
      <c r="A299" t="s">
        <v>169</v>
      </c>
      <c r="B299">
        <v>30</v>
      </c>
      <c r="C299">
        <v>4</v>
      </c>
      <c r="D299">
        <v>111</v>
      </c>
      <c r="E299">
        <v>80</v>
      </c>
      <c r="F299">
        <v>2155</v>
      </c>
      <c r="G299">
        <f t="shared" si="4"/>
        <v>3.7122969837587005E-2</v>
      </c>
      <c r="H299">
        <v>14.8</v>
      </c>
      <c r="I299">
        <v>77</v>
      </c>
      <c r="J299" t="s">
        <v>10</v>
      </c>
    </row>
    <row r="300" spans="1:10" x14ac:dyDescent="0.3">
      <c r="A300" t="s">
        <v>187</v>
      </c>
      <c r="B300">
        <v>25.5</v>
      </c>
      <c r="C300">
        <v>4</v>
      </c>
      <c r="D300">
        <v>140</v>
      </c>
      <c r="E300">
        <v>89</v>
      </c>
      <c r="F300">
        <v>2755</v>
      </c>
      <c r="G300">
        <f t="shared" si="4"/>
        <v>3.2304900181488204E-2</v>
      </c>
      <c r="H300">
        <v>15.8</v>
      </c>
      <c r="I300">
        <v>77</v>
      </c>
      <c r="J300" t="s">
        <v>10</v>
      </c>
    </row>
    <row r="301" spans="1:10" x14ac:dyDescent="0.3">
      <c r="A301" t="s">
        <v>185</v>
      </c>
      <c r="B301">
        <v>24.5</v>
      </c>
      <c r="C301">
        <v>4</v>
      </c>
      <c r="D301">
        <v>151</v>
      </c>
      <c r="E301">
        <v>88</v>
      </c>
      <c r="F301">
        <v>2740</v>
      </c>
      <c r="G301">
        <f t="shared" si="4"/>
        <v>3.2116788321167884E-2</v>
      </c>
      <c r="H301">
        <v>16</v>
      </c>
      <c r="I301">
        <v>77</v>
      </c>
      <c r="J301" t="s">
        <v>10</v>
      </c>
    </row>
    <row r="302" spans="1:10" x14ac:dyDescent="0.3">
      <c r="A302" t="s">
        <v>153</v>
      </c>
      <c r="B302">
        <v>30.5</v>
      </c>
      <c r="C302">
        <v>4</v>
      </c>
      <c r="D302">
        <v>98</v>
      </c>
      <c r="E302">
        <v>63</v>
      </c>
      <c r="F302">
        <v>2051</v>
      </c>
      <c r="G302">
        <f t="shared" si="4"/>
        <v>3.0716723549488054E-2</v>
      </c>
      <c r="H302">
        <v>17</v>
      </c>
      <c r="I302">
        <v>77</v>
      </c>
      <c r="J302" t="s">
        <v>10</v>
      </c>
    </row>
    <row r="303" spans="1:10" x14ac:dyDescent="0.3">
      <c r="A303" t="s">
        <v>176</v>
      </c>
      <c r="B303">
        <v>17.5</v>
      </c>
      <c r="C303">
        <v>6</v>
      </c>
      <c r="D303">
        <v>250</v>
      </c>
      <c r="E303">
        <v>110</v>
      </c>
      <c r="F303">
        <v>3520</v>
      </c>
      <c r="G303">
        <f t="shared" si="4"/>
        <v>3.125E-2</v>
      </c>
      <c r="H303">
        <v>16.399999999999999</v>
      </c>
      <c r="I303">
        <v>77</v>
      </c>
      <c r="J303" t="s">
        <v>10</v>
      </c>
    </row>
    <row r="304" spans="1:10" x14ac:dyDescent="0.3">
      <c r="A304" t="s">
        <v>177</v>
      </c>
      <c r="B304">
        <v>20.5</v>
      </c>
      <c r="C304">
        <v>6</v>
      </c>
      <c r="D304">
        <v>231</v>
      </c>
      <c r="E304">
        <v>105</v>
      </c>
      <c r="F304">
        <v>3425</v>
      </c>
      <c r="G304">
        <f t="shared" si="4"/>
        <v>3.0656934306569343E-2</v>
      </c>
      <c r="H304">
        <v>16.899999999999999</v>
      </c>
      <c r="I304">
        <v>77</v>
      </c>
      <c r="J304" t="s">
        <v>10</v>
      </c>
    </row>
    <row r="305" spans="1:10" x14ac:dyDescent="0.3">
      <c r="A305" t="s">
        <v>179</v>
      </c>
      <c r="B305">
        <v>18.5</v>
      </c>
      <c r="C305">
        <v>6</v>
      </c>
      <c r="D305">
        <v>250</v>
      </c>
      <c r="E305">
        <v>98</v>
      </c>
      <c r="F305">
        <v>3525</v>
      </c>
      <c r="G305">
        <f t="shared" si="4"/>
        <v>2.7801418439716313E-2</v>
      </c>
      <c r="H305">
        <v>19</v>
      </c>
      <c r="I305">
        <v>77</v>
      </c>
      <c r="J305" t="s">
        <v>10</v>
      </c>
    </row>
    <row r="306" spans="1:10" x14ac:dyDescent="0.3">
      <c r="A306" t="s">
        <v>178</v>
      </c>
      <c r="B306">
        <v>19</v>
      </c>
      <c r="C306">
        <v>6</v>
      </c>
      <c r="D306">
        <v>225</v>
      </c>
      <c r="E306">
        <v>100</v>
      </c>
      <c r="F306">
        <v>3630</v>
      </c>
      <c r="G306">
        <f t="shared" si="4"/>
        <v>2.7548209366391185E-2</v>
      </c>
      <c r="H306">
        <v>17.7</v>
      </c>
      <c r="I306">
        <v>77</v>
      </c>
      <c r="J306" t="s">
        <v>10</v>
      </c>
    </row>
    <row r="307" spans="1:10" x14ac:dyDescent="0.3">
      <c r="A307" t="s">
        <v>182</v>
      </c>
      <c r="B307">
        <v>15.5</v>
      </c>
      <c r="C307">
        <v>8</v>
      </c>
      <c r="D307">
        <v>400</v>
      </c>
      <c r="E307">
        <v>190</v>
      </c>
      <c r="F307">
        <v>4325</v>
      </c>
      <c r="G307">
        <f t="shared" si="4"/>
        <v>4.3930635838150288E-2</v>
      </c>
      <c r="H307">
        <v>12.2</v>
      </c>
      <c r="I307">
        <v>77</v>
      </c>
      <c r="J307" t="s">
        <v>10</v>
      </c>
    </row>
    <row r="308" spans="1:10" x14ac:dyDescent="0.3">
      <c r="A308" t="s">
        <v>180</v>
      </c>
      <c r="B308">
        <v>16</v>
      </c>
      <c r="C308">
        <v>8</v>
      </c>
      <c r="D308">
        <v>400</v>
      </c>
      <c r="E308">
        <v>180</v>
      </c>
      <c r="F308">
        <v>4220</v>
      </c>
      <c r="G308">
        <f t="shared" si="4"/>
        <v>4.2654028436018961E-2</v>
      </c>
      <c r="H308">
        <v>11.1</v>
      </c>
      <c r="I308">
        <v>77</v>
      </c>
      <c r="J308" t="s">
        <v>10</v>
      </c>
    </row>
    <row r="309" spans="1:10" x14ac:dyDescent="0.3">
      <c r="A309" t="s">
        <v>181</v>
      </c>
      <c r="B309">
        <v>15.5</v>
      </c>
      <c r="C309">
        <v>8</v>
      </c>
      <c r="D309">
        <v>350</v>
      </c>
      <c r="E309">
        <v>170</v>
      </c>
      <c r="F309">
        <v>4165</v>
      </c>
      <c r="G309">
        <f t="shared" si="4"/>
        <v>4.0816326530612242E-2</v>
      </c>
      <c r="H309">
        <v>11.4</v>
      </c>
      <c r="I309">
        <v>77</v>
      </c>
      <c r="J309" t="s">
        <v>10</v>
      </c>
    </row>
    <row r="310" spans="1:10" x14ac:dyDescent="0.3">
      <c r="A310" t="s">
        <v>92</v>
      </c>
      <c r="B310">
        <v>17.5</v>
      </c>
      <c r="C310">
        <v>8</v>
      </c>
      <c r="D310">
        <v>305</v>
      </c>
      <c r="E310">
        <v>145</v>
      </c>
      <c r="F310">
        <v>3880</v>
      </c>
      <c r="G310">
        <f t="shared" si="4"/>
        <v>3.7371134020618556E-2</v>
      </c>
      <c r="H310">
        <v>12.5</v>
      </c>
      <c r="I310">
        <v>77</v>
      </c>
      <c r="J310" t="s">
        <v>10</v>
      </c>
    </row>
    <row r="311" spans="1:10" x14ac:dyDescent="0.3">
      <c r="A311" t="s">
        <v>174</v>
      </c>
      <c r="B311">
        <v>15.5</v>
      </c>
      <c r="C311">
        <v>8</v>
      </c>
      <c r="D311">
        <v>318</v>
      </c>
      <c r="E311">
        <v>145</v>
      </c>
      <c r="F311">
        <v>4140</v>
      </c>
      <c r="G311">
        <f t="shared" si="4"/>
        <v>3.5024154589371984E-2</v>
      </c>
      <c r="H311">
        <v>13.7</v>
      </c>
      <c r="I311">
        <v>77</v>
      </c>
      <c r="J311" t="s">
        <v>10</v>
      </c>
    </row>
    <row r="312" spans="1:10" x14ac:dyDescent="0.3">
      <c r="A312" t="s">
        <v>183</v>
      </c>
      <c r="B312">
        <v>16</v>
      </c>
      <c r="C312">
        <v>8</v>
      </c>
      <c r="D312">
        <v>351</v>
      </c>
      <c r="E312">
        <v>149</v>
      </c>
      <c r="F312">
        <v>4335</v>
      </c>
      <c r="G312">
        <f t="shared" si="4"/>
        <v>3.4371395617070359E-2</v>
      </c>
      <c r="H312">
        <v>14.5</v>
      </c>
      <c r="I312">
        <v>77</v>
      </c>
      <c r="J312" t="s">
        <v>10</v>
      </c>
    </row>
    <row r="313" spans="1:10" x14ac:dyDescent="0.3">
      <c r="A313" t="s">
        <v>175</v>
      </c>
      <c r="B313">
        <v>15</v>
      </c>
      <c r="C313">
        <v>8</v>
      </c>
      <c r="D313">
        <v>302</v>
      </c>
      <c r="E313">
        <v>130</v>
      </c>
      <c r="F313">
        <v>4295</v>
      </c>
      <c r="G313">
        <f t="shared" si="4"/>
        <v>3.0267753201396973E-2</v>
      </c>
      <c r="H313">
        <v>14.9</v>
      </c>
      <c r="I313">
        <v>77</v>
      </c>
      <c r="J313" t="s">
        <v>10</v>
      </c>
    </row>
    <row r="314" spans="1:10" x14ac:dyDescent="0.3">
      <c r="A314" t="s">
        <v>173</v>
      </c>
      <c r="B314">
        <v>17</v>
      </c>
      <c r="C314">
        <v>8</v>
      </c>
      <c r="D314">
        <v>260</v>
      </c>
      <c r="E314">
        <v>110</v>
      </c>
      <c r="F314">
        <v>4060</v>
      </c>
      <c r="G314">
        <f t="shared" si="4"/>
        <v>2.7093596059113302E-2</v>
      </c>
      <c r="H314">
        <v>19</v>
      </c>
      <c r="I314">
        <v>77</v>
      </c>
      <c r="J314" t="s">
        <v>10</v>
      </c>
    </row>
    <row r="315" spans="1:10" x14ac:dyDescent="0.3">
      <c r="A315" t="s">
        <v>215</v>
      </c>
      <c r="B315">
        <v>23.2</v>
      </c>
      <c r="C315">
        <v>4</v>
      </c>
      <c r="D315">
        <v>156</v>
      </c>
      <c r="E315">
        <v>105</v>
      </c>
      <c r="F315">
        <v>2745</v>
      </c>
      <c r="G315">
        <f t="shared" si="4"/>
        <v>3.825136612021858E-2</v>
      </c>
      <c r="H315">
        <v>16.7</v>
      </c>
      <c r="I315">
        <v>78</v>
      </c>
      <c r="J315" t="s">
        <v>10</v>
      </c>
    </row>
    <row r="316" spans="1:10" x14ac:dyDescent="0.3">
      <c r="A316" t="s">
        <v>194</v>
      </c>
      <c r="B316">
        <v>36.1</v>
      </c>
      <c r="C316">
        <v>4</v>
      </c>
      <c r="D316">
        <v>98</v>
      </c>
      <c r="E316">
        <v>66</v>
      </c>
      <c r="F316">
        <v>1800</v>
      </c>
      <c r="G316">
        <f t="shared" si="4"/>
        <v>3.6666666666666667E-2</v>
      </c>
      <c r="H316">
        <v>14.4</v>
      </c>
      <c r="I316">
        <v>78</v>
      </c>
      <c r="J316" t="s">
        <v>10</v>
      </c>
    </row>
    <row r="317" spans="1:10" x14ac:dyDescent="0.3">
      <c r="A317" t="s">
        <v>213</v>
      </c>
      <c r="B317">
        <v>30.9</v>
      </c>
      <c r="C317">
        <v>4</v>
      </c>
      <c r="D317">
        <v>105</v>
      </c>
      <c r="E317">
        <v>75</v>
      </c>
      <c r="F317">
        <v>2230</v>
      </c>
      <c r="G317">
        <f t="shared" si="4"/>
        <v>3.3632286995515695E-2</v>
      </c>
      <c r="H317">
        <v>14.5</v>
      </c>
      <c r="I317">
        <v>78</v>
      </c>
      <c r="J317" t="s">
        <v>10</v>
      </c>
    </row>
    <row r="318" spans="1:10" x14ac:dyDescent="0.3">
      <c r="A318" t="s">
        <v>202</v>
      </c>
      <c r="B318">
        <v>25.1</v>
      </c>
      <c r="C318">
        <v>4</v>
      </c>
      <c r="D318">
        <v>140</v>
      </c>
      <c r="E318">
        <v>88</v>
      </c>
      <c r="F318">
        <v>2720</v>
      </c>
      <c r="G318">
        <f t="shared" si="4"/>
        <v>3.2352941176470591E-2</v>
      </c>
      <c r="H318">
        <v>15.4</v>
      </c>
      <c r="I318">
        <v>78</v>
      </c>
      <c r="J318" t="s">
        <v>10</v>
      </c>
    </row>
    <row r="319" spans="1:10" x14ac:dyDescent="0.3">
      <c r="A319" t="s">
        <v>153</v>
      </c>
      <c r="B319">
        <v>30</v>
      </c>
      <c r="C319">
        <v>4</v>
      </c>
      <c r="D319">
        <v>98</v>
      </c>
      <c r="E319">
        <v>68</v>
      </c>
      <c r="F319">
        <v>2155</v>
      </c>
      <c r="G319">
        <f t="shared" si="4"/>
        <v>3.1554524361948957E-2</v>
      </c>
      <c r="H319">
        <v>16.5</v>
      </c>
      <c r="I319">
        <v>78</v>
      </c>
      <c r="J319" t="s">
        <v>10</v>
      </c>
    </row>
    <row r="320" spans="1:10" x14ac:dyDescent="0.3">
      <c r="A320" t="s">
        <v>216</v>
      </c>
      <c r="B320">
        <v>23.8</v>
      </c>
      <c r="C320">
        <v>4</v>
      </c>
      <c r="D320">
        <v>151</v>
      </c>
      <c r="E320">
        <v>85</v>
      </c>
      <c r="F320">
        <v>2855</v>
      </c>
      <c r="G320">
        <f t="shared" si="4"/>
        <v>2.9772329246935202E-2</v>
      </c>
      <c r="H320">
        <v>17.600000000000001</v>
      </c>
      <c r="I320">
        <v>78</v>
      </c>
      <c r="J320" t="s">
        <v>10</v>
      </c>
    </row>
    <row r="321" spans="1:10" x14ac:dyDescent="0.3">
      <c r="A321" t="s">
        <v>209</v>
      </c>
      <c r="B321">
        <v>17.7</v>
      </c>
      <c r="C321">
        <v>6</v>
      </c>
      <c r="D321">
        <v>231</v>
      </c>
      <c r="E321">
        <v>165</v>
      </c>
      <c r="F321">
        <v>3445</v>
      </c>
      <c r="G321">
        <f t="shared" si="4"/>
        <v>4.7895500725689405E-2</v>
      </c>
      <c r="H321">
        <v>13.4</v>
      </c>
      <c r="I321">
        <v>78</v>
      </c>
      <c r="J321" t="s">
        <v>10</v>
      </c>
    </row>
    <row r="322" spans="1:10" x14ac:dyDescent="0.3">
      <c r="A322" t="s">
        <v>208</v>
      </c>
      <c r="B322">
        <v>18.100000000000001</v>
      </c>
      <c r="C322">
        <v>6</v>
      </c>
      <c r="D322">
        <v>258</v>
      </c>
      <c r="E322">
        <v>120</v>
      </c>
      <c r="F322">
        <v>3410</v>
      </c>
      <c r="G322">
        <f t="shared" ref="G322:G385" si="5">IFERROR(E322/F322, "")</f>
        <v>3.519061583577713E-2</v>
      </c>
      <c r="H322">
        <v>15.1</v>
      </c>
      <c r="I322">
        <v>78</v>
      </c>
      <c r="J322" t="s">
        <v>10</v>
      </c>
    </row>
    <row r="323" spans="1:10" x14ac:dyDescent="0.3">
      <c r="A323" t="s">
        <v>205</v>
      </c>
      <c r="B323">
        <v>20.6</v>
      </c>
      <c r="C323">
        <v>6</v>
      </c>
      <c r="D323">
        <v>231</v>
      </c>
      <c r="E323">
        <v>105</v>
      </c>
      <c r="F323">
        <v>3380</v>
      </c>
      <c r="G323">
        <f t="shared" si="5"/>
        <v>3.1065088757396449E-2</v>
      </c>
      <c r="H323">
        <v>15.8</v>
      </c>
      <c r="I323">
        <v>78</v>
      </c>
      <c r="J323" t="s">
        <v>10</v>
      </c>
    </row>
    <row r="324" spans="1:10" x14ac:dyDescent="0.3">
      <c r="A324" t="s">
        <v>207</v>
      </c>
      <c r="B324">
        <v>18.600000000000001</v>
      </c>
      <c r="C324">
        <v>6</v>
      </c>
      <c r="D324">
        <v>225</v>
      </c>
      <c r="E324">
        <v>110</v>
      </c>
      <c r="F324">
        <v>3620</v>
      </c>
      <c r="G324">
        <f t="shared" si="5"/>
        <v>3.0386740331491711E-2</v>
      </c>
      <c r="H324">
        <v>18.7</v>
      </c>
      <c r="I324">
        <v>78</v>
      </c>
      <c r="J324" t="s">
        <v>10</v>
      </c>
    </row>
    <row r="325" spans="1:10" x14ac:dyDescent="0.3">
      <c r="A325" t="s">
        <v>88</v>
      </c>
      <c r="B325">
        <v>20.5</v>
      </c>
      <c r="C325">
        <v>6</v>
      </c>
      <c r="D325">
        <v>200</v>
      </c>
      <c r="E325">
        <v>95</v>
      </c>
      <c r="F325">
        <v>3155</v>
      </c>
      <c r="G325">
        <f t="shared" si="5"/>
        <v>3.0110935023771792E-2</v>
      </c>
      <c r="H325">
        <v>18.2</v>
      </c>
      <c r="I325">
        <v>78</v>
      </c>
      <c r="J325" t="s">
        <v>10</v>
      </c>
    </row>
    <row r="326" spans="1:10" x14ac:dyDescent="0.3">
      <c r="A326" t="s">
        <v>200</v>
      </c>
      <c r="B326">
        <v>19.2</v>
      </c>
      <c r="C326">
        <v>6</v>
      </c>
      <c r="D326">
        <v>231</v>
      </c>
      <c r="E326">
        <v>105</v>
      </c>
      <c r="F326">
        <v>3535</v>
      </c>
      <c r="G326">
        <f t="shared" si="5"/>
        <v>2.9702970297029702E-2</v>
      </c>
      <c r="H326">
        <v>19.2</v>
      </c>
      <c r="I326">
        <v>78</v>
      </c>
      <c r="J326" t="s">
        <v>10</v>
      </c>
    </row>
    <row r="327" spans="1:10" x14ac:dyDescent="0.3">
      <c r="A327" t="s">
        <v>203</v>
      </c>
      <c r="B327">
        <v>20.5</v>
      </c>
      <c r="C327">
        <v>6</v>
      </c>
      <c r="D327">
        <v>225</v>
      </c>
      <c r="E327">
        <v>100</v>
      </c>
      <c r="F327">
        <v>3430</v>
      </c>
      <c r="G327">
        <f t="shared" si="5"/>
        <v>2.9154518950437316E-2</v>
      </c>
      <c r="H327">
        <v>17.2</v>
      </c>
      <c r="I327">
        <v>78</v>
      </c>
      <c r="J327" t="s">
        <v>10</v>
      </c>
    </row>
    <row r="328" spans="1:10" x14ac:dyDescent="0.3">
      <c r="A328" t="s">
        <v>201</v>
      </c>
      <c r="B328">
        <v>20.2</v>
      </c>
      <c r="C328">
        <v>6</v>
      </c>
      <c r="D328">
        <v>200</v>
      </c>
      <c r="E328">
        <v>85</v>
      </c>
      <c r="F328">
        <v>2965</v>
      </c>
      <c r="G328">
        <f t="shared" si="5"/>
        <v>2.866779089376054E-2</v>
      </c>
      <c r="H328">
        <v>15.8</v>
      </c>
      <c r="I328">
        <v>78</v>
      </c>
      <c r="J328" t="s">
        <v>10</v>
      </c>
    </row>
    <row r="329" spans="1:10" x14ac:dyDescent="0.3">
      <c r="A329" t="s">
        <v>204</v>
      </c>
      <c r="B329">
        <v>19.399999999999999</v>
      </c>
      <c r="C329">
        <v>6</v>
      </c>
      <c r="D329">
        <v>232</v>
      </c>
      <c r="E329">
        <v>90</v>
      </c>
      <c r="F329">
        <v>3210</v>
      </c>
      <c r="G329">
        <f t="shared" si="5"/>
        <v>2.8037383177570093E-2</v>
      </c>
      <c r="H329">
        <v>17.2</v>
      </c>
      <c r="I329">
        <v>78</v>
      </c>
      <c r="J329" t="s">
        <v>10</v>
      </c>
    </row>
    <row r="330" spans="1:10" x14ac:dyDescent="0.3">
      <c r="A330" t="s">
        <v>206</v>
      </c>
      <c r="B330">
        <v>20.8</v>
      </c>
      <c r="C330">
        <v>6</v>
      </c>
      <c r="D330">
        <v>200</v>
      </c>
      <c r="E330">
        <v>85</v>
      </c>
      <c r="F330">
        <v>3070</v>
      </c>
      <c r="G330">
        <f t="shared" si="5"/>
        <v>2.7687296416938109E-2</v>
      </c>
      <c r="H330">
        <v>16.7</v>
      </c>
      <c r="I330">
        <v>78</v>
      </c>
      <c r="J330" t="s">
        <v>10</v>
      </c>
    </row>
    <row r="331" spans="1:10" x14ac:dyDescent="0.3">
      <c r="A331" t="s">
        <v>210</v>
      </c>
      <c r="B331">
        <v>18.100000000000001</v>
      </c>
      <c r="C331">
        <v>8</v>
      </c>
      <c r="D331">
        <v>302</v>
      </c>
      <c r="E331">
        <v>139</v>
      </c>
      <c r="F331">
        <v>3205</v>
      </c>
      <c r="G331">
        <f t="shared" si="5"/>
        <v>4.3369734789391573E-2</v>
      </c>
      <c r="H331">
        <v>11.2</v>
      </c>
      <c r="I331">
        <v>78</v>
      </c>
      <c r="J331" t="s">
        <v>10</v>
      </c>
    </row>
    <row r="332" spans="1:10" x14ac:dyDescent="0.3">
      <c r="A332" t="s">
        <v>181</v>
      </c>
      <c r="B332">
        <v>19.2</v>
      </c>
      <c r="C332">
        <v>8</v>
      </c>
      <c r="D332">
        <v>305</v>
      </c>
      <c r="E332">
        <v>145</v>
      </c>
      <c r="F332">
        <v>3425</v>
      </c>
      <c r="G332">
        <f t="shared" si="5"/>
        <v>4.2335766423357665E-2</v>
      </c>
      <c r="H332">
        <v>13.2</v>
      </c>
      <c r="I332">
        <v>78</v>
      </c>
      <c r="J332" t="s">
        <v>10</v>
      </c>
    </row>
    <row r="333" spans="1:10" x14ac:dyDescent="0.3">
      <c r="A333" t="s">
        <v>199</v>
      </c>
      <c r="B333">
        <v>20.2</v>
      </c>
      <c r="C333">
        <v>8</v>
      </c>
      <c r="D333">
        <v>302</v>
      </c>
      <c r="E333">
        <v>139</v>
      </c>
      <c r="F333">
        <v>3570</v>
      </c>
      <c r="G333">
        <f t="shared" si="5"/>
        <v>3.8935574229691877E-2</v>
      </c>
      <c r="H333">
        <v>12.8</v>
      </c>
      <c r="I333">
        <v>78</v>
      </c>
      <c r="J333" t="s">
        <v>10</v>
      </c>
    </row>
    <row r="334" spans="1:10" x14ac:dyDescent="0.3">
      <c r="A334" t="s">
        <v>198</v>
      </c>
      <c r="B334">
        <v>19.399999999999999</v>
      </c>
      <c r="C334">
        <v>8</v>
      </c>
      <c r="D334">
        <v>318</v>
      </c>
      <c r="E334">
        <v>140</v>
      </c>
      <c r="F334">
        <v>3735</v>
      </c>
      <c r="G334">
        <f t="shared" si="5"/>
        <v>3.7483266398929051E-2</v>
      </c>
      <c r="H334">
        <v>13.2</v>
      </c>
      <c r="I334">
        <v>78</v>
      </c>
      <c r="J334" t="s">
        <v>10</v>
      </c>
    </row>
    <row r="335" spans="1:10" x14ac:dyDescent="0.3">
      <c r="A335" t="s">
        <v>211</v>
      </c>
      <c r="B335">
        <v>17.5</v>
      </c>
      <c r="C335">
        <v>8</v>
      </c>
      <c r="D335">
        <v>318</v>
      </c>
      <c r="E335">
        <v>140</v>
      </c>
      <c r="F335">
        <v>4080</v>
      </c>
      <c r="G335">
        <f t="shared" si="5"/>
        <v>3.4313725490196081E-2</v>
      </c>
      <c r="H335">
        <v>13.7</v>
      </c>
      <c r="I335">
        <v>78</v>
      </c>
      <c r="J335" t="s">
        <v>10</v>
      </c>
    </row>
    <row r="336" spans="1:10" x14ac:dyDescent="0.3">
      <c r="A336" t="s">
        <v>197</v>
      </c>
      <c r="B336">
        <v>19.899999999999999</v>
      </c>
      <c r="C336">
        <v>8</v>
      </c>
      <c r="D336">
        <v>260</v>
      </c>
      <c r="E336">
        <v>110</v>
      </c>
      <c r="F336">
        <v>3365</v>
      </c>
      <c r="G336">
        <f t="shared" si="5"/>
        <v>3.2689450222882617E-2</v>
      </c>
      <c r="H336">
        <v>15.5</v>
      </c>
      <c r="I336">
        <v>78</v>
      </c>
      <c r="J336" t="s">
        <v>10</v>
      </c>
    </row>
    <row r="337" spans="1:10" x14ac:dyDescent="0.3">
      <c r="A337" t="s">
        <v>236</v>
      </c>
      <c r="B337">
        <v>35.700000000000003</v>
      </c>
      <c r="C337">
        <v>4</v>
      </c>
      <c r="D337">
        <v>98</v>
      </c>
      <c r="E337">
        <v>80</v>
      </c>
      <c r="F337">
        <v>1915</v>
      </c>
      <c r="G337">
        <f t="shared" si="5"/>
        <v>4.1775456919060053E-2</v>
      </c>
      <c r="H337">
        <v>14.4</v>
      </c>
      <c r="I337">
        <v>79</v>
      </c>
      <c r="J337" t="s">
        <v>10</v>
      </c>
    </row>
    <row r="338" spans="1:10" x14ac:dyDescent="0.3">
      <c r="A338" t="s">
        <v>247</v>
      </c>
      <c r="B338">
        <v>33.5</v>
      </c>
      <c r="C338">
        <v>4</v>
      </c>
      <c r="D338">
        <v>151</v>
      </c>
      <c r="E338">
        <v>90</v>
      </c>
      <c r="F338">
        <v>2556</v>
      </c>
      <c r="G338">
        <f t="shared" si="5"/>
        <v>3.5211267605633804E-2</v>
      </c>
      <c r="H338">
        <v>13.2</v>
      </c>
      <c r="I338">
        <v>79</v>
      </c>
      <c r="J338" t="s">
        <v>10</v>
      </c>
    </row>
    <row r="339" spans="1:10" x14ac:dyDescent="0.3">
      <c r="A339" t="s">
        <v>244</v>
      </c>
      <c r="B339">
        <v>28.4</v>
      </c>
      <c r="C339">
        <v>4</v>
      </c>
      <c r="D339">
        <v>151</v>
      </c>
      <c r="E339">
        <v>90</v>
      </c>
      <c r="F339">
        <v>2670</v>
      </c>
      <c r="G339">
        <f t="shared" si="5"/>
        <v>3.3707865168539325E-2</v>
      </c>
      <c r="H339">
        <v>16</v>
      </c>
      <c r="I339">
        <v>79</v>
      </c>
      <c r="J339" t="s">
        <v>10</v>
      </c>
    </row>
    <row r="340" spans="1:10" x14ac:dyDescent="0.3">
      <c r="A340" t="s">
        <v>241</v>
      </c>
      <c r="B340">
        <v>34.5</v>
      </c>
      <c r="C340">
        <v>4</v>
      </c>
      <c r="D340">
        <v>105</v>
      </c>
      <c r="E340">
        <v>70</v>
      </c>
      <c r="F340">
        <v>2150</v>
      </c>
      <c r="G340">
        <f t="shared" si="5"/>
        <v>3.255813953488372E-2</v>
      </c>
      <c r="H340">
        <v>14.9</v>
      </c>
      <c r="I340">
        <v>79</v>
      </c>
      <c r="J340" t="s">
        <v>10</v>
      </c>
    </row>
    <row r="341" spans="1:10" x14ac:dyDescent="0.3">
      <c r="A341" t="s">
        <v>240</v>
      </c>
      <c r="B341">
        <v>34.200000000000003</v>
      </c>
      <c r="C341">
        <v>4</v>
      </c>
      <c r="D341">
        <v>105</v>
      </c>
      <c r="E341">
        <v>70</v>
      </c>
      <c r="F341">
        <v>2200</v>
      </c>
      <c r="G341">
        <f t="shared" si="5"/>
        <v>3.1818181818181815E-2</v>
      </c>
      <c r="H341">
        <v>13.2</v>
      </c>
      <c r="I341">
        <v>79</v>
      </c>
      <c r="J341" t="s">
        <v>10</v>
      </c>
    </row>
    <row r="342" spans="1:10" x14ac:dyDescent="0.3">
      <c r="A342" t="s">
        <v>226</v>
      </c>
      <c r="B342">
        <v>22.3</v>
      </c>
      <c r="C342">
        <v>4</v>
      </c>
      <c r="D342">
        <v>140</v>
      </c>
      <c r="E342">
        <v>88</v>
      </c>
      <c r="F342">
        <v>2890</v>
      </c>
      <c r="G342">
        <f t="shared" si="5"/>
        <v>3.0449826989619379E-2</v>
      </c>
      <c r="H342">
        <v>17.3</v>
      </c>
      <c r="I342">
        <v>79</v>
      </c>
      <c r="J342" t="s">
        <v>10</v>
      </c>
    </row>
    <row r="343" spans="1:10" x14ac:dyDescent="0.3">
      <c r="A343" t="s">
        <v>237</v>
      </c>
      <c r="B343">
        <v>27.4</v>
      </c>
      <c r="C343">
        <v>4</v>
      </c>
      <c r="D343">
        <v>121</v>
      </c>
      <c r="E343">
        <v>80</v>
      </c>
      <c r="F343">
        <v>2670</v>
      </c>
      <c r="G343">
        <f t="shared" si="5"/>
        <v>2.9962546816479401E-2</v>
      </c>
      <c r="H343">
        <v>15</v>
      </c>
      <c r="I343">
        <v>79</v>
      </c>
      <c r="J343" t="s">
        <v>10</v>
      </c>
    </row>
    <row r="344" spans="1:10" x14ac:dyDescent="0.3">
      <c r="A344" t="s">
        <v>245</v>
      </c>
      <c r="B344">
        <v>28.8</v>
      </c>
      <c r="C344">
        <v>6</v>
      </c>
      <c r="D344">
        <v>173</v>
      </c>
      <c r="E344">
        <v>115</v>
      </c>
      <c r="F344">
        <v>2595</v>
      </c>
      <c r="G344">
        <f t="shared" si="5"/>
        <v>4.4315992292870907E-2</v>
      </c>
      <c r="H344">
        <v>11.3</v>
      </c>
      <c r="I344">
        <v>79</v>
      </c>
      <c r="J344" t="s">
        <v>10</v>
      </c>
    </row>
    <row r="345" spans="1:10" x14ac:dyDescent="0.3">
      <c r="A345" t="s">
        <v>246</v>
      </c>
      <c r="B345">
        <v>26.8</v>
      </c>
      <c r="C345">
        <v>6</v>
      </c>
      <c r="D345">
        <v>173</v>
      </c>
      <c r="E345">
        <v>115</v>
      </c>
      <c r="F345">
        <v>2700</v>
      </c>
      <c r="G345">
        <f t="shared" si="5"/>
        <v>4.2592592592592592E-2</v>
      </c>
      <c r="H345">
        <v>12.9</v>
      </c>
      <c r="I345">
        <v>79</v>
      </c>
      <c r="J345" t="s">
        <v>10</v>
      </c>
    </row>
    <row r="346" spans="1:10" x14ac:dyDescent="0.3">
      <c r="A346" t="s">
        <v>224</v>
      </c>
      <c r="B346">
        <v>21.5</v>
      </c>
      <c r="C346">
        <v>6</v>
      </c>
      <c r="D346">
        <v>231</v>
      </c>
      <c r="E346">
        <v>115</v>
      </c>
      <c r="F346">
        <v>3245</v>
      </c>
      <c r="G346">
        <f t="shared" si="5"/>
        <v>3.543913713405239E-2</v>
      </c>
      <c r="H346">
        <v>15.4</v>
      </c>
      <c r="I346">
        <v>79</v>
      </c>
      <c r="J346" t="s">
        <v>10</v>
      </c>
    </row>
    <row r="347" spans="1:10" x14ac:dyDescent="0.3">
      <c r="A347" t="s">
        <v>228</v>
      </c>
      <c r="B347">
        <v>20.6</v>
      </c>
      <c r="C347">
        <v>6</v>
      </c>
      <c r="D347">
        <v>225</v>
      </c>
      <c r="E347">
        <v>110</v>
      </c>
      <c r="F347">
        <v>3360</v>
      </c>
      <c r="G347">
        <f t="shared" si="5"/>
        <v>3.273809523809524E-2</v>
      </c>
      <c r="H347">
        <v>16.600000000000001</v>
      </c>
      <c r="I347">
        <v>79</v>
      </c>
      <c r="J347" t="s">
        <v>10</v>
      </c>
    </row>
    <row r="348" spans="1:10" x14ac:dyDescent="0.3">
      <c r="A348" t="s">
        <v>225</v>
      </c>
      <c r="B348">
        <v>19.8</v>
      </c>
      <c r="C348">
        <v>6</v>
      </c>
      <c r="D348">
        <v>200</v>
      </c>
      <c r="E348">
        <v>85</v>
      </c>
      <c r="F348">
        <v>2990</v>
      </c>
      <c r="G348">
        <f t="shared" si="5"/>
        <v>2.8428093645484948E-2</v>
      </c>
      <c r="H348">
        <v>18.2</v>
      </c>
      <c r="I348">
        <v>79</v>
      </c>
      <c r="J348" t="s">
        <v>10</v>
      </c>
    </row>
    <row r="349" spans="1:10" x14ac:dyDescent="0.3">
      <c r="A349" t="s">
        <v>227</v>
      </c>
      <c r="B349">
        <v>20.2</v>
      </c>
      <c r="C349">
        <v>6</v>
      </c>
      <c r="D349">
        <v>232</v>
      </c>
      <c r="E349">
        <v>90</v>
      </c>
      <c r="F349">
        <v>3265</v>
      </c>
      <c r="G349">
        <f t="shared" si="5"/>
        <v>2.7565084226646247E-2</v>
      </c>
      <c r="H349">
        <v>18.2</v>
      </c>
      <c r="I349">
        <v>79</v>
      </c>
      <c r="J349" t="s">
        <v>10</v>
      </c>
    </row>
    <row r="350" spans="1:10" x14ac:dyDescent="0.3">
      <c r="A350" t="s">
        <v>233</v>
      </c>
      <c r="B350">
        <v>18.5</v>
      </c>
      <c r="C350">
        <v>8</v>
      </c>
      <c r="D350">
        <v>360</v>
      </c>
      <c r="E350">
        <v>150</v>
      </c>
      <c r="F350">
        <v>3940</v>
      </c>
      <c r="G350">
        <f t="shared" si="5"/>
        <v>3.8071065989847719E-2</v>
      </c>
      <c r="H350">
        <v>13</v>
      </c>
      <c r="I350">
        <v>79</v>
      </c>
      <c r="J350" t="s">
        <v>10</v>
      </c>
    </row>
    <row r="351" spans="1:10" x14ac:dyDescent="0.3">
      <c r="A351" t="s">
        <v>23</v>
      </c>
      <c r="B351">
        <v>16.899999999999999</v>
      </c>
      <c r="C351">
        <v>8</v>
      </c>
      <c r="D351">
        <v>350</v>
      </c>
      <c r="E351">
        <v>155</v>
      </c>
      <c r="F351">
        <v>4360</v>
      </c>
      <c r="G351">
        <f t="shared" si="5"/>
        <v>3.5550458715596332E-2</v>
      </c>
      <c r="H351">
        <v>14.9</v>
      </c>
      <c r="I351">
        <v>79</v>
      </c>
      <c r="J351" t="s">
        <v>10</v>
      </c>
    </row>
    <row r="352" spans="1:10" x14ac:dyDescent="0.3">
      <c r="A352" t="s">
        <v>231</v>
      </c>
      <c r="B352">
        <v>18.2</v>
      </c>
      <c r="C352">
        <v>8</v>
      </c>
      <c r="D352">
        <v>318</v>
      </c>
      <c r="E352">
        <v>135</v>
      </c>
      <c r="F352">
        <v>3830</v>
      </c>
      <c r="G352">
        <f t="shared" si="5"/>
        <v>3.5248041775456922E-2</v>
      </c>
      <c r="H352">
        <v>15.2</v>
      </c>
      <c r="I352">
        <v>79</v>
      </c>
      <c r="J352" t="s">
        <v>10</v>
      </c>
    </row>
    <row r="353" spans="1:10" x14ac:dyDescent="0.3">
      <c r="A353" t="s">
        <v>49</v>
      </c>
      <c r="B353">
        <v>15.5</v>
      </c>
      <c r="C353">
        <v>8</v>
      </c>
      <c r="D353">
        <v>351</v>
      </c>
      <c r="E353">
        <v>142</v>
      </c>
      <c r="F353">
        <v>4054</v>
      </c>
      <c r="G353">
        <f t="shared" si="5"/>
        <v>3.5027133695115932E-2</v>
      </c>
      <c r="H353">
        <v>14.3</v>
      </c>
      <c r="I353">
        <v>79</v>
      </c>
      <c r="J353" t="s">
        <v>10</v>
      </c>
    </row>
    <row r="354" spans="1:10" x14ac:dyDescent="0.3">
      <c r="A354" t="s">
        <v>230</v>
      </c>
      <c r="B354">
        <v>16.5</v>
      </c>
      <c r="C354">
        <v>8</v>
      </c>
      <c r="D354">
        <v>351</v>
      </c>
      <c r="E354">
        <v>138</v>
      </c>
      <c r="F354">
        <v>3955</v>
      </c>
      <c r="G354">
        <f t="shared" si="5"/>
        <v>3.4892541087231353E-2</v>
      </c>
      <c r="H354">
        <v>13.2</v>
      </c>
      <c r="I354">
        <v>79</v>
      </c>
      <c r="J354" t="s">
        <v>10</v>
      </c>
    </row>
    <row r="355" spans="1:10" x14ac:dyDescent="0.3">
      <c r="A355" t="s">
        <v>232</v>
      </c>
      <c r="B355">
        <v>19.2</v>
      </c>
      <c r="C355">
        <v>8</v>
      </c>
      <c r="D355">
        <v>267</v>
      </c>
      <c r="E355">
        <v>125</v>
      </c>
      <c r="F355">
        <v>3605</v>
      </c>
      <c r="G355">
        <f t="shared" si="5"/>
        <v>3.4674063800277391E-2</v>
      </c>
      <c r="H355">
        <v>15</v>
      </c>
      <c r="I355">
        <v>79</v>
      </c>
      <c r="J355" t="s">
        <v>10</v>
      </c>
    </row>
    <row r="356" spans="1:10" x14ac:dyDescent="0.3">
      <c r="A356" t="s">
        <v>229</v>
      </c>
      <c r="B356">
        <v>17.600000000000001</v>
      </c>
      <c r="C356">
        <v>8</v>
      </c>
      <c r="D356">
        <v>302</v>
      </c>
      <c r="E356">
        <v>129</v>
      </c>
      <c r="F356">
        <v>3725</v>
      </c>
      <c r="G356">
        <f t="shared" si="5"/>
        <v>3.4630872483221477E-2</v>
      </c>
      <c r="H356">
        <v>13.4</v>
      </c>
      <c r="I356">
        <v>79</v>
      </c>
      <c r="J356" t="s">
        <v>10</v>
      </c>
    </row>
    <row r="357" spans="1:10" x14ac:dyDescent="0.3">
      <c r="A357" t="s">
        <v>92</v>
      </c>
      <c r="B357">
        <v>17</v>
      </c>
      <c r="C357">
        <v>8</v>
      </c>
      <c r="D357">
        <v>305</v>
      </c>
      <c r="E357">
        <v>130</v>
      </c>
      <c r="F357">
        <v>3840</v>
      </c>
      <c r="G357">
        <f t="shared" si="5"/>
        <v>3.3854166666666664E-2</v>
      </c>
      <c r="H357">
        <v>15.4</v>
      </c>
      <c r="I357">
        <v>79</v>
      </c>
      <c r="J357" t="s">
        <v>10</v>
      </c>
    </row>
    <row r="358" spans="1:10" x14ac:dyDescent="0.3">
      <c r="A358" t="s">
        <v>239</v>
      </c>
      <c r="B358">
        <v>23</v>
      </c>
      <c r="C358">
        <v>8</v>
      </c>
      <c r="D358">
        <v>350</v>
      </c>
      <c r="E358">
        <v>125</v>
      </c>
      <c r="F358">
        <v>3900</v>
      </c>
      <c r="G358">
        <f t="shared" si="5"/>
        <v>3.2051282051282048E-2</v>
      </c>
      <c r="H358">
        <v>17.399999999999999</v>
      </c>
      <c r="I358">
        <v>79</v>
      </c>
      <c r="J358" t="s">
        <v>10</v>
      </c>
    </row>
    <row r="359" spans="1:10" x14ac:dyDescent="0.3">
      <c r="A359" t="s">
        <v>197</v>
      </c>
      <c r="B359">
        <v>23.9</v>
      </c>
      <c r="C359">
        <v>8</v>
      </c>
      <c r="D359">
        <v>260</v>
      </c>
      <c r="E359">
        <v>90</v>
      </c>
      <c r="F359">
        <v>3420</v>
      </c>
      <c r="G359">
        <f t="shared" si="5"/>
        <v>2.6315789473684209E-2</v>
      </c>
      <c r="H359">
        <v>22.2</v>
      </c>
      <c r="I359">
        <v>79</v>
      </c>
      <c r="J359" t="s">
        <v>10</v>
      </c>
    </row>
    <row r="360" spans="1:10" x14ac:dyDescent="0.3">
      <c r="A360" t="s">
        <v>128</v>
      </c>
      <c r="B360">
        <v>27.9</v>
      </c>
      <c r="C360">
        <v>4</v>
      </c>
      <c r="D360">
        <v>156</v>
      </c>
      <c r="E360">
        <v>105</v>
      </c>
      <c r="F360">
        <v>2800</v>
      </c>
      <c r="G360">
        <f t="shared" si="5"/>
        <v>3.7499999999999999E-2</v>
      </c>
      <c r="H360">
        <v>14.4</v>
      </c>
      <c r="I360">
        <v>80</v>
      </c>
      <c r="J360" t="s">
        <v>10</v>
      </c>
    </row>
    <row r="361" spans="1:10" x14ac:dyDescent="0.3">
      <c r="A361" t="s">
        <v>245</v>
      </c>
      <c r="B361">
        <v>28</v>
      </c>
      <c r="C361">
        <v>4</v>
      </c>
      <c r="D361">
        <v>151</v>
      </c>
      <c r="E361">
        <v>90</v>
      </c>
      <c r="F361">
        <v>2678</v>
      </c>
      <c r="G361">
        <f t="shared" si="5"/>
        <v>3.3607169529499624E-2</v>
      </c>
      <c r="H361">
        <v>16.5</v>
      </c>
      <c r="I361">
        <v>80</v>
      </c>
      <c r="J361" t="s">
        <v>10</v>
      </c>
    </row>
    <row r="362" spans="1:10" x14ac:dyDescent="0.3">
      <c r="A362" t="s">
        <v>153</v>
      </c>
      <c r="B362">
        <v>32.1</v>
      </c>
      <c r="C362">
        <v>4</v>
      </c>
      <c r="D362">
        <v>98</v>
      </c>
      <c r="E362">
        <v>70</v>
      </c>
      <c r="F362">
        <v>2120</v>
      </c>
      <c r="G362">
        <f t="shared" si="5"/>
        <v>3.3018867924528301E-2</v>
      </c>
      <c r="H362">
        <v>15.5</v>
      </c>
      <c r="I362">
        <v>80</v>
      </c>
      <c r="J362" t="s">
        <v>10</v>
      </c>
    </row>
    <row r="363" spans="1:10" x14ac:dyDescent="0.3">
      <c r="A363" t="s">
        <v>250</v>
      </c>
      <c r="B363">
        <v>26.4</v>
      </c>
      <c r="C363">
        <v>4</v>
      </c>
      <c r="D363">
        <v>140</v>
      </c>
      <c r="E363">
        <v>88</v>
      </c>
      <c r="F363">
        <v>2870</v>
      </c>
      <c r="G363">
        <f t="shared" si="5"/>
        <v>3.0662020905923345E-2</v>
      </c>
      <c r="H363">
        <v>18.100000000000001</v>
      </c>
      <c r="I363">
        <v>80</v>
      </c>
      <c r="J363" t="s">
        <v>10</v>
      </c>
    </row>
    <row r="364" spans="1:10" x14ac:dyDescent="0.3">
      <c r="A364" t="s">
        <v>204</v>
      </c>
      <c r="B364">
        <v>24.3</v>
      </c>
      <c r="C364">
        <v>4</v>
      </c>
      <c r="D364">
        <v>151</v>
      </c>
      <c r="E364">
        <v>90</v>
      </c>
      <c r="F364">
        <v>3003</v>
      </c>
      <c r="G364">
        <f t="shared" si="5"/>
        <v>2.9970029970029972E-2</v>
      </c>
      <c r="H364">
        <v>20.100000000000001</v>
      </c>
      <c r="I364">
        <v>80</v>
      </c>
      <c r="J364" t="s">
        <v>10</v>
      </c>
    </row>
    <row r="365" spans="1:10" x14ac:dyDescent="0.3">
      <c r="A365" t="s">
        <v>266</v>
      </c>
      <c r="B365">
        <v>23.6</v>
      </c>
      <c r="C365">
        <v>4</v>
      </c>
      <c r="D365">
        <v>140</v>
      </c>
      <c r="F365">
        <v>2905</v>
      </c>
      <c r="G365">
        <f t="shared" si="5"/>
        <v>0</v>
      </c>
      <c r="H365">
        <v>14.3</v>
      </c>
      <c r="I365">
        <v>80</v>
      </c>
      <c r="J365" t="s">
        <v>10</v>
      </c>
    </row>
    <row r="366" spans="1:10" x14ac:dyDescent="0.3">
      <c r="A366" t="s">
        <v>207</v>
      </c>
      <c r="B366">
        <v>19.100000000000001</v>
      </c>
      <c r="C366">
        <v>6</v>
      </c>
      <c r="D366">
        <v>225</v>
      </c>
      <c r="E366">
        <v>90</v>
      </c>
      <c r="F366">
        <v>3381</v>
      </c>
      <c r="G366">
        <f t="shared" si="5"/>
        <v>2.6619343389529725E-2</v>
      </c>
      <c r="H366">
        <v>18.7</v>
      </c>
      <c r="I366">
        <v>80</v>
      </c>
      <c r="J366" t="s">
        <v>10</v>
      </c>
    </row>
    <row r="367" spans="1:10" x14ac:dyDescent="0.3">
      <c r="A367" t="s">
        <v>268</v>
      </c>
      <c r="B367">
        <v>30</v>
      </c>
      <c r="C367">
        <v>4</v>
      </c>
      <c r="D367">
        <v>135</v>
      </c>
      <c r="E367">
        <v>84</v>
      </c>
      <c r="F367">
        <v>2385</v>
      </c>
      <c r="G367">
        <f t="shared" si="5"/>
        <v>3.5220125786163521E-2</v>
      </c>
      <c r="H367">
        <v>12.9</v>
      </c>
      <c r="I367">
        <v>81</v>
      </c>
      <c r="J367" t="s">
        <v>10</v>
      </c>
    </row>
    <row r="368" spans="1:10" x14ac:dyDescent="0.3">
      <c r="A368" t="s">
        <v>269</v>
      </c>
      <c r="B368">
        <v>25.8</v>
      </c>
      <c r="C368">
        <v>4</v>
      </c>
      <c r="D368">
        <v>156</v>
      </c>
      <c r="E368">
        <v>92</v>
      </c>
      <c r="F368">
        <v>2620</v>
      </c>
      <c r="G368">
        <f t="shared" si="5"/>
        <v>3.5114503816793895E-2</v>
      </c>
      <c r="H368">
        <v>14.4</v>
      </c>
      <c r="I368">
        <v>81</v>
      </c>
      <c r="J368" t="s">
        <v>10</v>
      </c>
    </row>
    <row r="369" spans="1:10" x14ac:dyDescent="0.3">
      <c r="A369" t="s">
        <v>271</v>
      </c>
      <c r="B369">
        <v>39</v>
      </c>
      <c r="C369">
        <v>4</v>
      </c>
      <c r="D369">
        <v>86</v>
      </c>
      <c r="E369">
        <v>64</v>
      </c>
      <c r="F369">
        <v>1875</v>
      </c>
      <c r="G369">
        <f t="shared" si="5"/>
        <v>3.4133333333333335E-2</v>
      </c>
      <c r="H369">
        <v>16.399999999999999</v>
      </c>
      <c r="I369">
        <v>81</v>
      </c>
      <c r="J369" t="s">
        <v>10</v>
      </c>
    </row>
    <row r="370" spans="1:10" x14ac:dyDescent="0.3">
      <c r="A370" t="s">
        <v>268</v>
      </c>
      <c r="B370">
        <v>27.2</v>
      </c>
      <c r="C370">
        <v>4</v>
      </c>
      <c r="D370">
        <v>135</v>
      </c>
      <c r="E370">
        <v>84</v>
      </c>
      <c r="F370">
        <v>2490</v>
      </c>
      <c r="G370">
        <f t="shared" si="5"/>
        <v>3.3734939759036145E-2</v>
      </c>
      <c r="H370">
        <v>15.7</v>
      </c>
      <c r="I370">
        <v>81</v>
      </c>
      <c r="J370" t="s">
        <v>10</v>
      </c>
    </row>
    <row r="371" spans="1:10" x14ac:dyDescent="0.3">
      <c r="A371" t="s">
        <v>177</v>
      </c>
      <c r="B371">
        <v>26.6</v>
      </c>
      <c r="C371">
        <v>4</v>
      </c>
      <c r="D371">
        <v>151</v>
      </c>
      <c r="E371">
        <v>84</v>
      </c>
      <c r="F371">
        <v>2635</v>
      </c>
      <c r="G371">
        <f t="shared" si="5"/>
        <v>3.1878557874762806E-2</v>
      </c>
      <c r="H371">
        <v>16.399999999999999</v>
      </c>
      <c r="I371">
        <v>81</v>
      </c>
      <c r="J371" t="s">
        <v>10</v>
      </c>
    </row>
    <row r="372" spans="1:10" x14ac:dyDescent="0.3">
      <c r="A372" t="s">
        <v>277</v>
      </c>
      <c r="B372">
        <v>34.4</v>
      </c>
      <c r="C372">
        <v>4</v>
      </c>
      <c r="D372">
        <v>98</v>
      </c>
      <c r="E372">
        <v>65</v>
      </c>
      <c r="F372">
        <v>2045</v>
      </c>
      <c r="G372">
        <f t="shared" si="5"/>
        <v>3.1784841075794622E-2</v>
      </c>
      <c r="H372">
        <v>16.2</v>
      </c>
      <c r="I372">
        <v>81</v>
      </c>
      <c r="J372" t="s">
        <v>10</v>
      </c>
    </row>
    <row r="373" spans="1:10" x14ac:dyDescent="0.3">
      <c r="A373" t="s">
        <v>276</v>
      </c>
      <c r="B373">
        <v>34.700000000000003</v>
      </c>
      <c r="C373">
        <v>4</v>
      </c>
      <c r="D373">
        <v>105</v>
      </c>
      <c r="E373">
        <v>63</v>
      </c>
      <c r="F373">
        <v>2215</v>
      </c>
      <c r="G373">
        <f t="shared" si="5"/>
        <v>2.8442437923250564E-2</v>
      </c>
      <c r="H373">
        <v>14.9</v>
      </c>
      <c r="I373">
        <v>81</v>
      </c>
      <c r="J373" t="s">
        <v>10</v>
      </c>
    </row>
    <row r="374" spans="1:10" x14ac:dyDescent="0.3">
      <c r="A374" t="s">
        <v>278</v>
      </c>
      <c r="B374">
        <v>29.9</v>
      </c>
      <c r="C374">
        <v>4</v>
      </c>
      <c r="D374">
        <v>98</v>
      </c>
      <c r="E374">
        <v>65</v>
      </c>
      <c r="F374">
        <v>2380</v>
      </c>
      <c r="G374">
        <f t="shared" si="5"/>
        <v>2.7310924369747899E-2</v>
      </c>
      <c r="H374">
        <v>20.7</v>
      </c>
      <c r="I374">
        <v>81</v>
      </c>
      <c r="J374" t="s">
        <v>10</v>
      </c>
    </row>
    <row r="375" spans="1:10" x14ac:dyDescent="0.3">
      <c r="A375" t="s">
        <v>245</v>
      </c>
      <c r="B375">
        <v>23.5</v>
      </c>
      <c r="C375">
        <v>6</v>
      </c>
      <c r="D375">
        <v>173</v>
      </c>
      <c r="E375">
        <v>110</v>
      </c>
      <c r="F375">
        <v>2725</v>
      </c>
      <c r="G375">
        <f t="shared" si="5"/>
        <v>4.0366972477064222E-2</v>
      </c>
      <c r="H375">
        <v>12.6</v>
      </c>
      <c r="I375">
        <v>81</v>
      </c>
      <c r="J375" t="s">
        <v>10</v>
      </c>
    </row>
    <row r="376" spans="1:10" x14ac:dyDescent="0.3">
      <c r="A376" t="s">
        <v>137</v>
      </c>
      <c r="B376">
        <v>22.4</v>
      </c>
      <c r="C376">
        <v>6</v>
      </c>
      <c r="D376">
        <v>231</v>
      </c>
      <c r="E376">
        <v>110</v>
      </c>
      <c r="F376">
        <v>3415</v>
      </c>
      <c r="G376">
        <f t="shared" si="5"/>
        <v>3.2210834553440704E-2</v>
      </c>
      <c r="H376">
        <v>15.8</v>
      </c>
      <c r="I376">
        <v>81</v>
      </c>
      <c r="J376" t="s">
        <v>10</v>
      </c>
    </row>
    <row r="377" spans="1:10" x14ac:dyDescent="0.3">
      <c r="A377" t="s">
        <v>288</v>
      </c>
      <c r="B377">
        <v>20.2</v>
      </c>
      <c r="C377">
        <v>6</v>
      </c>
      <c r="D377">
        <v>200</v>
      </c>
      <c r="E377">
        <v>88</v>
      </c>
      <c r="F377">
        <v>3060</v>
      </c>
      <c r="G377">
        <f t="shared" si="5"/>
        <v>2.8758169934640521E-2</v>
      </c>
      <c r="H377">
        <v>17.100000000000001</v>
      </c>
      <c r="I377">
        <v>81</v>
      </c>
      <c r="J377" t="s">
        <v>10</v>
      </c>
    </row>
    <row r="378" spans="1:10" x14ac:dyDescent="0.3">
      <c r="A378" t="s">
        <v>289</v>
      </c>
      <c r="B378">
        <v>17.600000000000001</v>
      </c>
      <c r="C378">
        <v>6</v>
      </c>
      <c r="D378">
        <v>225</v>
      </c>
      <c r="E378">
        <v>85</v>
      </c>
      <c r="F378">
        <v>3465</v>
      </c>
      <c r="G378">
        <f t="shared" si="5"/>
        <v>2.4531024531024532E-2</v>
      </c>
      <c r="H378">
        <v>16.600000000000001</v>
      </c>
      <c r="I378">
        <v>81</v>
      </c>
      <c r="J378" t="s">
        <v>10</v>
      </c>
    </row>
    <row r="379" spans="1:10" x14ac:dyDescent="0.3">
      <c r="A379" t="s">
        <v>287</v>
      </c>
      <c r="B379">
        <v>26.6</v>
      </c>
      <c r="C379">
        <v>8</v>
      </c>
      <c r="D379">
        <v>350</v>
      </c>
      <c r="E379">
        <v>105</v>
      </c>
      <c r="F379">
        <v>3725</v>
      </c>
      <c r="G379">
        <f t="shared" si="5"/>
        <v>2.8187919463087248E-2</v>
      </c>
      <c r="H379">
        <v>19</v>
      </c>
      <c r="I379">
        <v>81</v>
      </c>
      <c r="J379" t="s">
        <v>10</v>
      </c>
    </row>
    <row r="380" spans="1:10" x14ac:dyDescent="0.3">
      <c r="A380" t="s">
        <v>292</v>
      </c>
      <c r="B380">
        <v>34</v>
      </c>
      <c r="C380">
        <v>4</v>
      </c>
      <c r="D380">
        <v>112</v>
      </c>
      <c r="E380">
        <v>88</v>
      </c>
      <c r="F380">
        <v>2395</v>
      </c>
      <c r="G380">
        <f t="shared" si="5"/>
        <v>3.6743215031315238E-2</v>
      </c>
      <c r="H380">
        <v>18</v>
      </c>
      <c r="I380">
        <v>82</v>
      </c>
      <c r="J380" t="s">
        <v>10</v>
      </c>
    </row>
    <row r="381" spans="1:10" x14ac:dyDescent="0.3">
      <c r="A381" t="s">
        <v>314</v>
      </c>
      <c r="B381">
        <v>32</v>
      </c>
      <c r="C381">
        <v>4</v>
      </c>
      <c r="D381">
        <v>135</v>
      </c>
      <c r="E381">
        <v>84</v>
      </c>
      <c r="F381">
        <v>2295</v>
      </c>
      <c r="G381">
        <f t="shared" si="5"/>
        <v>3.6601307189542485E-2</v>
      </c>
      <c r="H381">
        <v>11.6</v>
      </c>
      <c r="I381">
        <v>82</v>
      </c>
      <c r="J381" t="s">
        <v>10</v>
      </c>
    </row>
    <row r="382" spans="1:10" x14ac:dyDescent="0.3">
      <c r="A382" t="s">
        <v>307</v>
      </c>
      <c r="B382">
        <v>26</v>
      </c>
      <c r="C382">
        <v>4</v>
      </c>
      <c r="D382">
        <v>156</v>
      </c>
      <c r="E382">
        <v>92</v>
      </c>
      <c r="F382">
        <v>2585</v>
      </c>
      <c r="G382">
        <f t="shared" si="5"/>
        <v>3.5589941972920695E-2</v>
      </c>
      <c r="H382">
        <v>14.5</v>
      </c>
      <c r="I382">
        <v>82</v>
      </c>
      <c r="J382" t="s">
        <v>10</v>
      </c>
    </row>
    <row r="383" spans="1:10" x14ac:dyDescent="0.3">
      <c r="A383" t="s">
        <v>310</v>
      </c>
      <c r="B383">
        <v>36</v>
      </c>
      <c r="C383">
        <v>4</v>
      </c>
      <c r="D383">
        <v>135</v>
      </c>
      <c r="E383">
        <v>84</v>
      </c>
      <c r="F383">
        <v>2370</v>
      </c>
      <c r="G383">
        <f t="shared" si="5"/>
        <v>3.5443037974683546E-2</v>
      </c>
      <c r="H383">
        <v>13</v>
      </c>
      <c r="I383">
        <v>82</v>
      </c>
      <c r="J383" t="s">
        <v>10</v>
      </c>
    </row>
    <row r="384" spans="1:10" x14ac:dyDescent="0.3">
      <c r="A384" t="s">
        <v>290</v>
      </c>
      <c r="B384">
        <v>28</v>
      </c>
      <c r="C384">
        <v>4</v>
      </c>
      <c r="D384">
        <v>112</v>
      </c>
      <c r="E384">
        <v>88</v>
      </c>
      <c r="F384">
        <v>2605</v>
      </c>
      <c r="G384">
        <f t="shared" si="5"/>
        <v>3.3781190019193857E-2</v>
      </c>
      <c r="H384">
        <v>19.600000000000001</v>
      </c>
      <c r="I384">
        <v>82</v>
      </c>
      <c r="J384" t="s">
        <v>10</v>
      </c>
    </row>
    <row r="385" spans="1:10" x14ac:dyDescent="0.3">
      <c r="A385" t="s">
        <v>291</v>
      </c>
      <c r="B385">
        <v>27</v>
      </c>
      <c r="C385">
        <v>4</v>
      </c>
      <c r="D385">
        <v>112</v>
      </c>
      <c r="E385">
        <v>88</v>
      </c>
      <c r="F385">
        <v>2640</v>
      </c>
      <c r="G385">
        <f t="shared" si="5"/>
        <v>3.3333333333333333E-2</v>
      </c>
      <c r="H385">
        <v>18.600000000000001</v>
      </c>
      <c r="I385">
        <v>82</v>
      </c>
      <c r="J385" t="s">
        <v>10</v>
      </c>
    </row>
    <row r="386" spans="1:10" x14ac:dyDescent="0.3">
      <c r="A386" t="s">
        <v>294</v>
      </c>
      <c r="B386">
        <v>29</v>
      </c>
      <c r="C386">
        <v>4</v>
      </c>
      <c r="D386">
        <v>135</v>
      </c>
      <c r="E386">
        <v>84</v>
      </c>
      <c r="F386">
        <v>2525</v>
      </c>
      <c r="G386">
        <f t="shared" ref="G386:G399" si="6">IFERROR(E386/F386, "")</f>
        <v>3.3267326732673269E-2</v>
      </c>
      <c r="H386">
        <v>16</v>
      </c>
      <c r="I386">
        <v>82</v>
      </c>
      <c r="J386" t="s">
        <v>10</v>
      </c>
    </row>
    <row r="387" spans="1:10" x14ac:dyDescent="0.3">
      <c r="A387" t="s">
        <v>293</v>
      </c>
      <c r="B387">
        <v>31</v>
      </c>
      <c r="C387">
        <v>4</v>
      </c>
      <c r="D387">
        <v>112</v>
      </c>
      <c r="E387">
        <v>85</v>
      </c>
      <c r="F387">
        <v>2575</v>
      </c>
      <c r="G387">
        <f t="shared" si="6"/>
        <v>3.3009708737864081E-2</v>
      </c>
      <c r="H387">
        <v>16.2</v>
      </c>
      <c r="I387">
        <v>82</v>
      </c>
      <c r="J387" t="s">
        <v>10</v>
      </c>
    </row>
    <row r="388" spans="1:10" x14ac:dyDescent="0.3">
      <c r="A388" t="s">
        <v>301</v>
      </c>
      <c r="B388">
        <v>36</v>
      </c>
      <c r="C388">
        <v>4</v>
      </c>
      <c r="D388">
        <v>98</v>
      </c>
      <c r="E388">
        <v>70</v>
      </c>
      <c r="F388">
        <v>2125</v>
      </c>
      <c r="G388">
        <f t="shared" si="6"/>
        <v>3.2941176470588238E-2</v>
      </c>
      <c r="H388">
        <v>17.3</v>
      </c>
      <c r="I388">
        <v>82</v>
      </c>
      <c r="J388" t="s">
        <v>10</v>
      </c>
    </row>
    <row r="389" spans="1:10" x14ac:dyDescent="0.3">
      <c r="A389" t="s">
        <v>247</v>
      </c>
      <c r="B389">
        <v>27</v>
      </c>
      <c r="C389">
        <v>4</v>
      </c>
      <c r="D389">
        <v>151</v>
      </c>
      <c r="E389">
        <v>90</v>
      </c>
      <c r="F389">
        <v>2735</v>
      </c>
      <c r="G389">
        <f t="shared" si="6"/>
        <v>3.2906764168190127E-2</v>
      </c>
      <c r="H389">
        <v>18</v>
      </c>
      <c r="I389">
        <v>82</v>
      </c>
      <c r="J389" t="s">
        <v>10</v>
      </c>
    </row>
    <row r="390" spans="1:10" x14ac:dyDescent="0.3">
      <c r="A390" t="s">
        <v>295</v>
      </c>
      <c r="B390">
        <v>24</v>
      </c>
      <c r="C390">
        <v>4</v>
      </c>
      <c r="D390">
        <v>140</v>
      </c>
      <c r="E390">
        <v>92</v>
      </c>
      <c r="F390">
        <v>2865</v>
      </c>
      <c r="G390">
        <f t="shared" si="6"/>
        <v>3.2111692844677138E-2</v>
      </c>
      <c r="H390">
        <v>16.399999999999999</v>
      </c>
      <c r="I390">
        <v>82</v>
      </c>
      <c r="J390" t="s">
        <v>10</v>
      </c>
    </row>
    <row r="391" spans="1:10" x14ac:dyDescent="0.3">
      <c r="A391" t="s">
        <v>312</v>
      </c>
      <c r="B391">
        <v>27</v>
      </c>
      <c r="C391">
        <v>4</v>
      </c>
      <c r="D391">
        <v>140</v>
      </c>
      <c r="E391">
        <v>86</v>
      </c>
      <c r="F391">
        <v>2790</v>
      </c>
      <c r="G391">
        <f t="shared" si="6"/>
        <v>3.0824372759856632E-2</v>
      </c>
      <c r="H391">
        <v>15.6</v>
      </c>
      <c r="I391">
        <v>82</v>
      </c>
      <c r="J391" t="s">
        <v>10</v>
      </c>
    </row>
    <row r="392" spans="1:10" x14ac:dyDescent="0.3">
      <c r="A392" t="s">
        <v>311</v>
      </c>
      <c r="B392">
        <v>27</v>
      </c>
      <c r="C392">
        <v>4</v>
      </c>
      <c r="D392">
        <v>151</v>
      </c>
      <c r="E392">
        <v>90</v>
      </c>
      <c r="F392">
        <v>2950</v>
      </c>
      <c r="G392">
        <f t="shared" si="6"/>
        <v>3.0508474576271188E-2</v>
      </c>
      <c r="H392">
        <v>17.3</v>
      </c>
      <c r="I392">
        <v>82</v>
      </c>
      <c r="J392" t="s">
        <v>10</v>
      </c>
    </row>
    <row r="393" spans="1:10" x14ac:dyDescent="0.3">
      <c r="A393" t="s">
        <v>316</v>
      </c>
      <c r="B393">
        <v>31</v>
      </c>
      <c r="C393">
        <v>4</v>
      </c>
      <c r="D393">
        <v>119</v>
      </c>
      <c r="E393">
        <v>82</v>
      </c>
      <c r="F393">
        <v>2720</v>
      </c>
      <c r="G393">
        <f t="shared" si="6"/>
        <v>3.0147058823529412E-2</v>
      </c>
      <c r="H393">
        <v>19.399999999999999</v>
      </c>
      <c r="I393">
        <v>82</v>
      </c>
      <c r="J393" t="s">
        <v>10</v>
      </c>
    </row>
    <row r="394" spans="1:10" x14ac:dyDescent="0.3">
      <c r="A394" t="s">
        <v>315</v>
      </c>
      <c r="B394">
        <v>28</v>
      </c>
      <c r="C394">
        <v>4</v>
      </c>
      <c r="D394">
        <v>120</v>
      </c>
      <c r="E394">
        <v>79</v>
      </c>
      <c r="F394">
        <v>2625</v>
      </c>
      <c r="G394">
        <f t="shared" si="6"/>
        <v>3.0095238095238095E-2</v>
      </c>
      <c r="H394">
        <v>18.600000000000001</v>
      </c>
      <c r="I394">
        <v>82</v>
      </c>
      <c r="J394" t="s">
        <v>10</v>
      </c>
    </row>
    <row r="395" spans="1:10" x14ac:dyDescent="0.3">
      <c r="A395" t="s">
        <v>300</v>
      </c>
      <c r="B395">
        <v>38</v>
      </c>
      <c r="C395">
        <v>4</v>
      </c>
      <c r="D395">
        <v>105</v>
      </c>
      <c r="E395">
        <v>63</v>
      </c>
      <c r="F395">
        <v>2125</v>
      </c>
      <c r="G395">
        <f t="shared" si="6"/>
        <v>2.9647058823529412E-2</v>
      </c>
      <c r="H395">
        <v>14.7</v>
      </c>
      <c r="I395">
        <v>82</v>
      </c>
      <c r="J395" t="s">
        <v>10</v>
      </c>
    </row>
    <row r="396" spans="1:10" x14ac:dyDescent="0.3">
      <c r="A396" t="s">
        <v>296</v>
      </c>
      <c r="B396">
        <v>23</v>
      </c>
      <c r="C396">
        <v>4</v>
      </c>
      <c r="D396">
        <v>151</v>
      </c>
      <c r="F396">
        <v>3035</v>
      </c>
      <c r="G396">
        <f t="shared" si="6"/>
        <v>0</v>
      </c>
      <c r="H396">
        <v>20.5</v>
      </c>
      <c r="I396">
        <v>82</v>
      </c>
      <c r="J396" t="s">
        <v>10</v>
      </c>
    </row>
    <row r="397" spans="1:10" x14ac:dyDescent="0.3">
      <c r="A397" t="s">
        <v>308</v>
      </c>
      <c r="B397">
        <v>22</v>
      </c>
      <c r="C397">
        <v>6</v>
      </c>
      <c r="D397">
        <v>232</v>
      </c>
      <c r="E397">
        <v>112</v>
      </c>
      <c r="F397">
        <v>2835</v>
      </c>
      <c r="G397">
        <f t="shared" si="6"/>
        <v>3.9506172839506172E-2</v>
      </c>
      <c r="H397">
        <v>14.7</v>
      </c>
      <c r="I397">
        <v>82</v>
      </c>
      <c r="J397" t="s">
        <v>10</v>
      </c>
    </row>
    <row r="398" spans="1:10" x14ac:dyDescent="0.3">
      <c r="A398" t="s">
        <v>305</v>
      </c>
      <c r="B398">
        <v>25</v>
      </c>
      <c r="C398">
        <v>6</v>
      </c>
      <c r="D398">
        <v>181</v>
      </c>
      <c r="E398">
        <v>110</v>
      </c>
      <c r="F398">
        <v>2945</v>
      </c>
      <c r="G398">
        <f t="shared" si="6"/>
        <v>3.7351443123938878E-2</v>
      </c>
      <c r="H398">
        <v>16.399999999999999</v>
      </c>
      <c r="I398">
        <v>82</v>
      </c>
      <c r="J398" t="s">
        <v>10</v>
      </c>
    </row>
    <row r="399" spans="1:10" x14ac:dyDescent="0.3">
      <c r="A399" t="s">
        <v>306</v>
      </c>
      <c r="B399">
        <v>38</v>
      </c>
      <c r="C399">
        <v>6</v>
      </c>
      <c r="D399">
        <v>262</v>
      </c>
      <c r="E399">
        <v>85</v>
      </c>
      <c r="F399">
        <v>3015</v>
      </c>
      <c r="G399">
        <f t="shared" si="6"/>
        <v>2.8192371475953566E-2</v>
      </c>
      <c r="H399">
        <v>17</v>
      </c>
      <c r="I399">
        <v>82</v>
      </c>
      <c r="J399" t="s">
        <v>10</v>
      </c>
    </row>
    <row r="402" spans="1:3" x14ac:dyDescent="0.3">
      <c r="A402" t="s">
        <v>337</v>
      </c>
    </row>
    <row r="403" spans="1:3" x14ac:dyDescent="0.3">
      <c r="A403" t="s">
        <v>340</v>
      </c>
      <c r="B403" t="s">
        <v>338</v>
      </c>
      <c r="C403" t="s">
        <v>339</v>
      </c>
    </row>
    <row r="404" spans="1:3" x14ac:dyDescent="0.3">
      <c r="A404" t="s">
        <v>23</v>
      </c>
      <c r="B404">
        <v>7.2909915748541804E-2</v>
      </c>
      <c r="C404">
        <v>1</v>
      </c>
    </row>
    <row r="405" spans="1:3" x14ac:dyDescent="0.3">
      <c r="A405" t="s">
        <v>110</v>
      </c>
      <c r="B405">
        <v>5.3763440860215055E-2</v>
      </c>
      <c r="C405">
        <v>2</v>
      </c>
    </row>
    <row r="406" spans="1:3" x14ac:dyDescent="0.3">
      <c r="A406" t="s">
        <v>18</v>
      </c>
      <c r="B406">
        <v>5.0847457627118647E-2</v>
      </c>
      <c r="C406">
        <v>3</v>
      </c>
    </row>
    <row r="407" spans="1:3" x14ac:dyDescent="0.3">
      <c r="A407" t="s">
        <v>35</v>
      </c>
      <c r="B407">
        <v>5.0581915846016116E-2</v>
      </c>
      <c r="C407">
        <v>4</v>
      </c>
    </row>
    <row r="408" spans="1:3" x14ac:dyDescent="0.3">
      <c r="A408" t="s">
        <v>16</v>
      </c>
      <c r="B408">
        <v>5.0528249885163065E-2</v>
      </c>
      <c r="C408">
        <v>5</v>
      </c>
    </row>
    <row r="409" spans="1:3" x14ac:dyDescent="0.3">
      <c r="A409" t="s">
        <v>17</v>
      </c>
      <c r="B409">
        <v>4.9860853432282005E-2</v>
      </c>
      <c r="C409">
        <v>6</v>
      </c>
    </row>
    <row r="410" spans="1:3" x14ac:dyDescent="0.3">
      <c r="A410" t="s">
        <v>19</v>
      </c>
      <c r="B410">
        <v>4.9350649350649353E-2</v>
      </c>
      <c r="C410">
        <v>7</v>
      </c>
    </row>
    <row r="411" spans="1:3" x14ac:dyDescent="0.3">
      <c r="A411" t="s">
        <v>118</v>
      </c>
      <c r="B411">
        <v>4.9126637554585149E-2</v>
      </c>
      <c r="C411">
        <v>8</v>
      </c>
    </row>
    <row r="412" spans="1:3" x14ac:dyDescent="0.3">
      <c r="A412" t="s">
        <v>209</v>
      </c>
      <c r="B412">
        <v>4.7895500725689405E-2</v>
      </c>
      <c r="C412">
        <v>9</v>
      </c>
    </row>
    <row r="413" spans="1:3" x14ac:dyDescent="0.3">
      <c r="A413" t="s">
        <v>39</v>
      </c>
      <c r="B413">
        <v>4.7923322683706068E-2</v>
      </c>
      <c r="C413">
        <v>10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6975E-8AC0-45FE-9539-429E83BA19D2}">
  <dimension ref="A1:R413"/>
  <sheetViews>
    <sheetView zoomScale="96" zoomScaleNormal="96" workbookViewId="0">
      <selection activeCell="L7" sqref="L7"/>
    </sheetView>
  </sheetViews>
  <sheetFormatPr defaultRowHeight="14.4" x14ac:dyDescent="0.3"/>
  <cols>
    <col min="2" max="2" width="9.44140625" customWidth="1"/>
    <col min="3" max="3" width="11.5546875" customWidth="1"/>
    <col min="6" max="6" width="17.33203125" bestFit="1" customWidth="1"/>
    <col min="7" max="7" width="7.44140625" bestFit="1" customWidth="1"/>
    <col min="8" max="8" width="17.33203125" bestFit="1" customWidth="1"/>
    <col min="9" max="9" width="9.109375" bestFit="1" customWidth="1"/>
    <col min="10" max="10" width="23.109375" bestFit="1" customWidth="1"/>
    <col min="11" max="11" width="11.77734375" bestFit="1" customWidth="1"/>
    <col min="12" max="12" width="11.6640625" bestFit="1" customWidth="1"/>
    <col min="16" max="16" width="11.88671875" customWidth="1"/>
  </cols>
  <sheetData>
    <row r="1" spans="1:18" s="1" customFormat="1" ht="43.2" x14ac:dyDescent="0.3">
      <c r="A1" s="1" t="s">
        <v>1</v>
      </c>
      <c r="B1" t="s">
        <v>366</v>
      </c>
      <c r="C1" t="s">
        <v>367</v>
      </c>
      <c r="D1"/>
      <c r="F1" s="1" t="s">
        <v>351</v>
      </c>
      <c r="K1" s="1" t="s">
        <v>358</v>
      </c>
      <c r="P1" s="1" t="s">
        <v>361</v>
      </c>
    </row>
    <row r="2" spans="1:18" x14ac:dyDescent="0.3">
      <c r="A2">
        <v>26</v>
      </c>
      <c r="B2">
        <f>IFERROR((A2-$P$3) / $R$3, "")</f>
        <v>0.3183930939875857</v>
      </c>
      <c r="C2" t="str">
        <f>IF(ABS(B2)&gt;2,"Yes","No")</f>
        <v>No</v>
      </c>
      <c r="E2" t="s">
        <v>352</v>
      </c>
      <c r="F2" t="s">
        <v>353</v>
      </c>
      <c r="G2" t="s">
        <v>354</v>
      </c>
      <c r="H2" t="s">
        <v>355</v>
      </c>
      <c r="I2" t="s">
        <v>356</v>
      </c>
      <c r="J2" t="s">
        <v>357</v>
      </c>
      <c r="K2" t="s">
        <v>359</v>
      </c>
      <c r="L2" t="s">
        <v>360</v>
      </c>
      <c r="O2" t="s">
        <v>363</v>
      </c>
      <c r="P2" t="s">
        <v>362</v>
      </c>
      <c r="Q2" t="s">
        <v>364</v>
      </c>
      <c r="R2" t="s">
        <v>365</v>
      </c>
    </row>
    <row r="3" spans="1:18" x14ac:dyDescent="0.3">
      <c r="A3">
        <v>25</v>
      </c>
      <c r="B3">
        <f t="shared" ref="B3:B66" si="0">IFERROR((A3-$P$3) / $R$3, "")</f>
        <v>0.19028911965776454</v>
      </c>
      <c r="C3" t="str">
        <f t="shared" ref="C3:C66" si="1">IF(ABS(B3)&gt;2,"Yes","No")</f>
        <v>No</v>
      </c>
      <c r="E3">
        <f>MIN(A2:A399)</f>
        <v>9</v>
      </c>
      <c r="F3">
        <f>_xlfn.QUARTILE.INC(A2:A399,1)</f>
        <v>17.5</v>
      </c>
      <c r="G3">
        <f>MEDIAN(A2:A399)</f>
        <v>23</v>
      </c>
      <c r="H3">
        <f>_xlfn.QUARTILE.INC(A2:A399,3)</f>
        <v>29</v>
      </c>
      <c r="I3">
        <f>MAX(A2:A399)</f>
        <v>46.6</v>
      </c>
      <c r="J3">
        <f>H3-F3</f>
        <v>11.5</v>
      </c>
      <c r="K3">
        <f>F3-1.5*J3</f>
        <v>0.25</v>
      </c>
      <c r="L3">
        <f>H3-1.5*J3</f>
        <v>11.75</v>
      </c>
      <c r="O3">
        <f>SUM(A2:A399)</f>
        <v>9358.7999999999993</v>
      </c>
      <c r="P3">
        <f>O3/COUNT(A2:A399)</f>
        <v>23.514572864321607</v>
      </c>
      <c r="Q3">
        <f>AVERAGE(A2:A399)</f>
        <v>23.514572864321607</v>
      </c>
      <c r="R3">
        <f>STDEVP(A2:A399)</f>
        <v>7.8061590612744283</v>
      </c>
    </row>
    <row r="4" spans="1:18" x14ac:dyDescent="0.3">
      <c r="A4">
        <v>24</v>
      </c>
      <c r="B4">
        <f t="shared" si="0"/>
        <v>6.2185145327943406E-2</v>
      </c>
      <c r="C4" t="str">
        <f t="shared" si="1"/>
        <v>No</v>
      </c>
    </row>
    <row r="5" spans="1:18" x14ac:dyDescent="0.3">
      <c r="A5">
        <v>25</v>
      </c>
      <c r="B5">
        <f t="shared" si="0"/>
        <v>0.19028911965776454</v>
      </c>
      <c r="C5" t="str">
        <f t="shared" si="1"/>
        <v>No</v>
      </c>
    </row>
    <row r="6" spans="1:18" x14ac:dyDescent="0.3">
      <c r="A6">
        <v>26</v>
      </c>
      <c r="B6">
        <f t="shared" si="0"/>
        <v>0.3183930939875857</v>
      </c>
      <c r="C6" t="str">
        <f t="shared" si="1"/>
        <v>No</v>
      </c>
    </row>
    <row r="7" spans="1:18" x14ac:dyDescent="0.3">
      <c r="A7">
        <v>28</v>
      </c>
      <c r="B7">
        <f t="shared" si="0"/>
        <v>0.57460104264722789</v>
      </c>
      <c r="C7" t="str">
        <f t="shared" si="1"/>
        <v>No</v>
      </c>
    </row>
    <row r="8" spans="1:18" x14ac:dyDescent="0.3">
      <c r="A8">
        <v>30</v>
      </c>
      <c r="B8">
        <f t="shared" si="0"/>
        <v>0.83080899130687025</v>
      </c>
      <c r="C8" t="str">
        <f t="shared" si="1"/>
        <v>No</v>
      </c>
    </row>
    <row r="9" spans="1:18" x14ac:dyDescent="0.3">
      <c r="A9">
        <v>30</v>
      </c>
      <c r="B9">
        <f t="shared" si="0"/>
        <v>0.83080899130687025</v>
      </c>
      <c r="C9" t="str">
        <f t="shared" si="1"/>
        <v>No</v>
      </c>
    </row>
    <row r="10" spans="1:18" x14ac:dyDescent="0.3">
      <c r="A10">
        <v>27</v>
      </c>
      <c r="B10">
        <f t="shared" si="0"/>
        <v>0.44649706831740682</v>
      </c>
      <c r="C10" t="str">
        <f t="shared" si="1"/>
        <v>No</v>
      </c>
    </row>
    <row r="11" spans="1:18" x14ac:dyDescent="0.3">
      <c r="A11">
        <v>18</v>
      </c>
      <c r="B11">
        <f t="shared" si="0"/>
        <v>-0.70643870065098335</v>
      </c>
      <c r="C11" t="str">
        <f t="shared" si="1"/>
        <v>No</v>
      </c>
    </row>
    <row r="12" spans="1:18" x14ac:dyDescent="0.3">
      <c r="A12">
        <v>26</v>
      </c>
      <c r="B12">
        <f t="shared" si="0"/>
        <v>0.3183930939875857</v>
      </c>
      <c r="C12" t="str">
        <f t="shared" si="1"/>
        <v>No</v>
      </c>
    </row>
    <row r="13" spans="1:18" x14ac:dyDescent="0.3">
      <c r="A13">
        <v>22</v>
      </c>
      <c r="B13">
        <f t="shared" si="0"/>
        <v>-0.19402280333169886</v>
      </c>
      <c r="C13" t="str">
        <f t="shared" si="1"/>
        <v>No</v>
      </c>
    </row>
    <row r="14" spans="1:18" x14ac:dyDescent="0.3">
      <c r="A14">
        <v>21</v>
      </c>
      <c r="B14">
        <f t="shared" si="0"/>
        <v>-0.32212677766151998</v>
      </c>
      <c r="C14" t="str">
        <f t="shared" si="1"/>
        <v>No</v>
      </c>
    </row>
    <row r="15" spans="1:18" x14ac:dyDescent="0.3">
      <c r="A15">
        <v>23</v>
      </c>
      <c r="B15">
        <f t="shared" si="0"/>
        <v>-6.5918829001877732E-2</v>
      </c>
      <c r="C15" t="str">
        <f t="shared" si="1"/>
        <v>No</v>
      </c>
    </row>
    <row r="16" spans="1:18" x14ac:dyDescent="0.3">
      <c r="A16">
        <v>24</v>
      </c>
      <c r="B16">
        <f t="shared" si="0"/>
        <v>6.2185145327943406E-2</v>
      </c>
      <c r="C16" t="str">
        <f t="shared" si="1"/>
        <v>No</v>
      </c>
    </row>
    <row r="17" spans="1:3" x14ac:dyDescent="0.3">
      <c r="A17">
        <v>26</v>
      </c>
      <c r="B17">
        <f t="shared" si="0"/>
        <v>0.3183930939875857</v>
      </c>
      <c r="C17" t="str">
        <f t="shared" si="1"/>
        <v>No</v>
      </c>
    </row>
    <row r="18" spans="1:3" x14ac:dyDescent="0.3">
      <c r="A18">
        <v>19</v>
      </c>
      <c r="B18">
        <f t="shared" si="0"/>
        <v>-0.57833472632116223</v>
      </c>
      <c r="C18" t="str">
        <f t="shared" si="1"/>
        <v>No</v>
      </c>
    </row>
    <row r="19" spans="1:3" x14ac:dyDescent="0.3">
      <c r="A19">
        <v>20</v>
      </c>
      <c r="B19">
        <f t="shared" si="0"/>
        <v>-0.45023075199134116</v>
      </c>
      <c r="C19" t="str">
        <f t="shared" si="1"/>
        <v>No</v>
      </c>
    </row>
    <row r="20" spans="1:3" x14ac:dyDescent="0.3">
      <c r="A20">
        <v>24</v>
      </c>
      <c r="B20">
        <f t="shared" si="0"/>
        <v>6.2185145327943406E-2</v>
      </c>
      <c r="C20" t="str">
        <f t="shared" si="1"/>
        <v>No</v>
      </c>
    </row>
    <row r="21" spans="1:3" x14ac:dyDescent="0.3">
      <c r="A21">
        <v>29</v>
      </c>
      <c r="B21">
        <f t="shared" si="0"/>
        <v>0.70270501697704912</v>
      </c>
      <c r="C21" t="str">
        <f t="shared" si="1"/>
        <v>No</v>
      </c>
    </row>
    <row r="22" spans="1:3" x14ac:dyDescent="0.3">
      <c r="A22">
        <v>26</v>
      </c>
      <c r="B22">
        <f t="shared" si="0"/>
        <v>0.3183930939875857</v>
      </c>
      <c r="C22" t="str">
        <f t="shared" si="1"/>
        <v>No</v>
      </c>
    </row>
    <row r="23" spans="1:3" x14ac:dyDescent="0.3">
      <c r="A23">
        <v>29</v>
      </c>
      <c r="B23">
        <f t="shared" si="0"/>
        <v>0.70270501697704912</v>
      </c>
      <c r="C23" t="str">
        <f t="shared" si="1"/>
        <v>No</v>
      </c>
    </row>
    <row r="24" spans="1:3" x14ac:dyDescent="0.3">
      <c r="A24">
        <v>24</v>
      </c>
      <c r="B24">
        <f t="shared" si="0"/>
        <v>6.2185145327943406E-2</v>
      </c>
      <c r="C24" t="str">
        <f t="shared" si="1"/>
        <v>No</v>
      </c>
    </row>
    <row r="25" spans="1:3" x14ac:dyDescent="0.3">
      <c r="A25">
        <v>26</v>
      </c>
      <c r="B25">
        <f t="shared" si="0"/>
        <v>0.3183930939875857</v>
      </c>
      <c r="C25" t="str">
        <f t="shared" si="1"/>
        <v>No</v>
      </c>
    </row>
    <row r="26" spans="1:3" x14ac:dyDescent="0.3">
      <c r="A26">
        <v>26</v>
      </c>
      <c r="B26">
        <f t="shared" si="0"/>
        <v>0.3183930939875857</v>
      </c>
      <c r="C26" t="str">
        <f t="shared" si="1"/>
        <v>No</v>
      </c>
    </row>
    <row r="27" spans="1:3" x14ac:dyDescent="0.3">
      <c r="A27">
        <v>31</v>
      </c>
      <c r="B27">
        <f t="shared" si="0"/>
        <v>0.95891296563669137</v>
      </c>
      <c r="C27" t="str">
        <f t="shared" si="1"/>
        <v>No</v>
      </c>
    </row>
    <row r="28" spans="1:3" x14ac:dyDescent="0.3">
      <c r="A28">
        <v>26</v>
      </c>
      <c r="B28">
        <f t="shared" si="0"/>
        <v>0.3183930939875857</v>
      </c>
      <c r="C28" t="str">
        <f t="shared" si="1"/>
        <v>No</v>
      </c>
    </row>
    <row r="29" spans="1:3" x14ac:dyDescent="0.3">
      <c r="A29">
        <v>25</v>
      </c>
      <c r="B29">
        <f t="shared" si="0"/>
        <v>0.19028911965776454</v>
      </c>
      <c r="C29" t="str">
        <f t="shared" si="1"/>
        <v>No</v>
      </c>
    </row>
    <row r="30" spans="1:3" x14ac:dyDescent="0.3">
      <c r="A30">
        <v>29</v>
      </c>
      <c r="B30">
        <f t="shared" si="0"/>
        <v>0.70270501697704912</v>
      </c>
      <c r="C30" t="str">
        <f t="shared" si="1"/>
        <v>No</v>
      </c>
    </row>
    <row r="31" spans="1:3" x14ac:dyDescent="0.3">
      <c r="A31">
        <v>23</v>
      </c>
      <c r="B31">
        <f t="shared" si="0"/>
        <v>-6.5918829001877732E-2</v>
      </c>
      <c r="C31" t="str">
        <f t="shared" si="1"/>
        <v>No</v>
      </c>
    </row>
    <row r="32" spans="1:3" x14ac:dyDescent="0.3">
      <c r="A32">
        <v>22</v>
      </c>
      <c r="B32">
        <f t="shared" si="0"/>
        <v>-0.19402280333169886</v>
      </c>
      <c r="C32" t="str">
        <f t="shared" si="1"/>
        <v>No</v>
      </c>
    </row>
    <row r="33" spans="1:3" x14ac:dyDescent="0.3">
      <c r="A33">
        <v>25</v>
      </c>
      <c r="B33">
        <f t="shared" si="0"/>
        <v>0.19028911965776454</v>
      </c>
      <c r="C33" t="str">
        <f t="shared" si="1"/>
        <v>No</v>
      </c>
    </row>
    <row r="34" spans="1:3" x14ac:dyDescent="0.3">
      <c r="A34">
        <v>23</v>
      </c>
      <c r="B34">
        <f t="shared" si="0"/>
        <v>-6.5918829001877732E-2</v>
      </c>
      <c r="C34" t="str">
        <f t="shared" si="1"/>
        <v>No</v>
      </c>
    </row>
    <row r="35" spans="1:3" x14ac:dyDescent="0.3">
      <c r="A35">
        <v>29.5</v>
      </c>
      <c r="B35">
        <f t="shared" si="0"/>
        <v>0.76675700414195969</v>
      </c>
      <c r="C35" t="str">
        <f t="shared" si="1"/>
        <v>No</v>
      </c>
    </row>
    <row r="36" spans="1:3" x14ac:dyDescent="0.3">
      <c r="A36">
        <v>27</v>
      </c>
      <c r="B36">
        <f t="shared" si="0"/>
        <v>0.44649706831740682</v>
      </c>
      <c r="C36" t="str">
        <f t="shared" si="1"/>
        <v>No</v>
      </c>
    </row>
    <row r="37" spans="1:3" x14ac:dyDescent="0.3">
      <c r="A37">
        <v>25</v>
      </c>
      <c r="B37">
        <f t="shared" si="0"/>
        <v>0.19028911965776454</v>
      </c>
      <c r="C37" t="str">
        <f t="shared" si="1"/>
        <v>No</v>
      </c>
    </row>
    <row r="38" spans="1:3" x14ac:dyDescent="0.3">
      <c r="A38">
        <v>29</v>
      </c>
      <c r="B38">
        <f t="shared" si="0"/>
        <v>0.70270501697704912</v>
      </c>
      <c r="C38" t="str">
        <f t="shared" si="1"/>
        <v>No</v>
      </c>
    </row>
    <row r="39" spans="1:3" x14ac:dyDescent="0.3">
      <c r="A39">
        <v>28</v>
      </c>
      <c r="B39">
        <f t="shared" si="0"/>
        <v>0.57460104264722789</v>
      </c>
      <c r="C39" t="str">
        <f t="shared" si="1"/>
        <v>No</v>
      </c>
    </row>
    <row r="40" spans="1:3" x14ac:dyDescent="0.3">
      <c r="A40">
        <v>20</v>
      </c>
      <c r="B40">
        <f t="shared" si="0"/>
        <v>-0.45023075199134116</v>
      </c>
      <c r="C40" t="str">
        <f t="shared" si="1"/>
        <v>No</v>
      </c>
    </row>
    <row r="41" spans="1:3" x14ac:dyDescent="0.3">
      <c r="A41">
        <v>19</v>
      </c>
      <c r="B41">
        <f t="shared" si="0"/>
        <v>-0.57833472632116223</v>
      </c>
      <c r="C41" t="str">
        <f t="shared" si="1"/>
        <v>No</v>
      </c>
    </row>
    <row r="42" spans="1:3" x14ac:dyDescent="0.3">
      <c r="A42">
        <v>16.5</v>
      </c>
      <c r="B42">
        <f t="shared" si="0"/>
        <v>-0.89859466214571515</v>
      </c>
      <c r="C42" t="str">
        <f t="shared" si="1"/>
        <v>No</v>
      </c>
    </row>
    <row r="43" spans="1:3" x14ac:dyDescent="0.3">
      <c r="A43">
        <v>21.5</v>
      </c>
      <c r="B43">
        <f t="shared" si="0"/>
        <v>-0.25807479049660942</v>
      </c>
      <c r="C43" t="str">
        <f t="shared" si="1"/>
        <v>No</v>
      </c>
    </row>
    <row r="44" spans="1:3" x14ac:dyDescent="0.3">
      <c r="A44">
        <v>29</v>
      </c>
      <c r="B44">
        <f t="shared" si="0"/>
        <v>0.70270501697704912</v>
      </c>
      <c r="C44" t="str">
        <f t="shared" si="1"/>
        <v>No</v>
      </c>
    </row>
    <row r="45" spans="1:3" x14ac:dyDescent="0.3">
      <c r="A45">
        <v>30.5</v>
      </c>
      <c r="B45">
        <f t="shared" si="0"/>
        <v>0.89486097847178081</v>
      </c>
      <c r="C45" t="str">
        <f t="shared" si="1"/>
        <v>No</v>
      </c>
    </row>
    <row r="46" spans="1:3" x14ac:dyDescent="0.3">
      <c r="A46">
        <v>36</v>
      </c>
      <c r="B46">
        <f t="shared" si="0"/>
        <v>1.5994328372857971</v>
      </c>
      <c r="C46" t="str">
        <f t="shared" si="1"/>
        <v>No</v>
      </c>
    </row>
    <row r="47" spans="1:3" x14ac:dyDescent="0.3">
      <c r="A47">
        <v>21.6</v>
      </c>
      <c r="B47">
        <f t="shared" si="0"/>
        <v>-0.24526439306362713</v>
      </c>
      <c r="C47" t="str">
        <f t="shared" si="1"/>
        <v>No</v>
      </c>
    </row>
    <row r="48" spans="1:3" x14ac:dyDescent="0.3">
      <c r="A48">
        <v>31.5</v>
      </c>
      <c r="B48">
        <f t="shared" si="0"/>
        <v>1.0229649528016018</v>
      </c>
      <c r="C48" t="str">
        <f t="shared" si="1"/>
        <v>No</v>
      </c>
    </row>
    <row r="49" spans="1:3" x14ac:dyDescent="0.3">
      <c r="A49">
        <v>43.1</v>
      </c>
      <c r="B49">
        <f t="shared" si="0"/>
        <v>2.5089710550275273</v>
      </c>
      <c r="C49" t="str">
        <f t="shared" si="1"/>
        <v>Yes</v>
      </c>
    </row>
    <row r="50" spans="1:3" x14ac:dyDescent="0.3">
      <c r="A50">
        <v>20.3</v>
      </c>
      <c r="B50">
        <f t="shared" si="0"/>
        <v>-0.41179955969239468</v>
      </c>
      <c r="C50" t="str">
        <f t="shared" si="1"/>
        <v>No</v>
      </c>
    </row>
    <row r="51" spans="1:3" x14ac:dyDescent="0.3">
      <c r="A51">
        <v>17</v>
      </c>
      <c r="B51">
        <f t="shared" si="0"/>
        <v>-0.83454267498080459</v>
      </c>
      <c r="C51" t="str">
        <f t="shared" si="1"/>
        <v>No</v>
      </c>
    </row>
    <row r="52" spans="1:3" x14ac:dyDescent="0.3">
      <c r="A52">
        <v>16.2</v>
      </c>
      <c r="B52">
        <f t="shared" si="0"/>
        <v>-0.93702585444466158</v>
      </c>
      <c r="C52" t="str">
        <f t="shared" si="1"/>
        <v>No</v>
      </c>
    </row>
    <row r="53" spans="1:3" x14ac:dyDescent="0.3">
      <c r="A53">
        <v>31.9</v>
      </c>
      <c r="B53">
        <f t="shared" si="0"/>
        <v>1.0742065425335301</v>
      </c>
      <c r="C53" t="str">
        <f t="shared" si="1"/>
        <v>No</v>
      </c>
    </row>
    <row r="54" spans="1:3" x14ac:dyDescent="0.3">
      <c r="A54">
        <v>37.299999999999997</v>
      </c>
      <c r="B54">
        <f t="shared" si="0"/>
        <v>1.7659680039145642</v>
      </c>
      <c r="C54" t="str">
        <f t="shared" si="1"/>
        <v>No</v>
      </c>
    </row>
    <row r="55" spans="1:3" x14ac:dyDescent="0.3">
      <c r="A55">
        <v>27.2</v>
      </c>
      <c r="B55">
        <f t="shared" si="0"/>
        <v>0.47211786318337096</v>
      </c>
      <c r="C55" t="str">
        <f t="shared" si="1"/>
        <v>No</v>
      </c>
    </row>
    <row r="56" spans="1:3" x14ac:dyDescent="0.3">
      <c r="A56">
        <v>25.4</v>
      </c>
      <c r="B56">
        <f t="shared" si="0"/>
        <v>0.24153070938969282</v>
      </c>
      <c r="C56" t="str">
        <f t="shared" si="1"/>
        <v>No</v>
      </c>
    </row>
    <row r="57" spans="1:3" x14ac:dyDescent="0.3">
      <c r="A57">
        <v>34.299999999999997</v>
      </c>
      <c r="B57">
        <f t="shared" si="0"/>
        <v>1.3816560809251006</v>
      </c>
      <c r="C57" t="str">
        <f t="shared" si="1"/>
        <v>No</v>
      </c>
    </row>
    <row r="58" spans="1:3" x14ac:dyDescent="0.3">
      <c r="A58">
        <v>41.5</v>
      </c>
      <c r="B58">
        <f t="shared" si="0"/>
        <v>2.3040046960998133</v>
      </c>
      <c r="C58" t="str">
        <f t="shared" si="1"/>
        <v>Yes</v>
      </c>
    </row>
    <row r="59" spans="1:3" x14ac:dyDescent="0.3">
      <c r="A59">
        <v>35</v>
      </c>
      <c r="B59">
        <f t="shared" si="0"/>
        <v>1.471328862955976</v>
      </c>
      <c r="C59" t="str">
        <f t="shared" si="1"/>
        <v>No</v>
      </c>
    </row>
    <row r="60" spans="1:3" x14ac:dyDescent="0.3">
      <c r="A60">
        <v>29.8</v>
      </c>
      <c r="B60">
        <f t="shared" si="0"/>
        <v>0.80518819644090611</v>
      </c>
      <c r="C60" t="str">
        <f t="shared" si="1"/>
        <v>No</v>
      </c>
    </row>
    <row r="61" spans="1:3" x14ac:dyDescent="0.3">
      <c r="A61">
        <v>44.3</v>
      </c>
      <c r="B61">
        <f t="shared" si="0"/>
        <v>2.6626958242233121</v>
      </c>
      <c r="C61" t="str">
        <f t="shared" si="1"/>
        <v>Yes</v>
      </c>
    </row>
    <row r="62" spans="1:3" x14ac:dyDescent="0.3">
      <c r="A62">
        <v>30</v>
      </c>
      <c r="B62">
        <f t="shared" si="0"/>
        <v>0.83080899130687025</v>
      </c>
      <c r="C62" t="str">
        <f t="shared" si="1"/>
        <v>No</v>
      </c>
    </row>
    <row r="63" spans="1:3" x14ac:dyDescent="0.3">
      <c r="A63">
        <v>43.4</v>
      </c>
      <c r="B63">
        <f t="shared" si="0"/>
        <v>2.547402247326473</v>
      </c>
      <c r="C63" t="str">
        <f t="shared" si="1"/>
        <v>Yes</v>
      </c>
    </row>
    <row r="64" spans="1:3" x14ac:dyDescent="0.3">
      <c r="A64">
        <v>40.9</v>
      </c>
      <c r="B64">
        <f t="shared" si="0"/>
        <v>2.2271423115019204</v>
      </c>
      <c r="C64" t="str">
        <f t="shared" si="1"/>
        <v>Yes</v>
      </c>
    </row>
    <row r="65" spans="1:3" x14ac:dyDescent="0.3">
      <c r="A65">
        <v>36.4</v>
      </c>
      <c r="B65">
        <f t="shared" si="0"/>
        <v>1.6506744270177254</v>
      </c>
      <c r="C65" t="str">
        <f t="shared" si="1"/>
        <v>No</v>
      </c>
    </row>
    <row r="66" spans="1:3" x14ac:dyDescent="0.3">
      <c r="A66">
        <v>33</v>
      </c>
      <c r="B66">
        <f t="shared" si="0"/>
        <v>1.2151209142963335</v>
      </c>
      <c r="C66" t="str">
        <f t="shared" si="1"/>
        <v>No</v>
      </c>
    </row>
    <row r="67" spans="1:3" x14ac:dyDescent="0.3">
      <c r="A67">
        <v>28.1</v>
      </c>
      <c r="B67">
        <f t="shared" ref="B67:B130" si="2">IFERROR((A67-$P$3) / $R$3, "")</f>
        <v>0.58741144008021029</v>
      </c>
      <c r="C67" t="str">
        <f t="shared" ref="C67:C130" si="3">IF(ABS(B67)&gt;2,"Yes","No")</f>
        <v>No</v>
      </c>
    </row>
    <row r="68" spans="1:3" x14ac:dyDescent="0.3">
      <c r="A68">
        <v>34.5</v>
      </c>
      <c r="B68">
        <f t="shared" si="2"/>
        <v>1.4072768757910654</v>
      </c>
      <c r="C68" t="str">
        <f t="shared" si="3"/>
        <v>No</v>
      </c>
    </row>
    <row r="69" spans="1:3" x14ac:dyDescent="0.3">
      <c r="A69">
        <v>30.7</v>
      </c>
      <c r="B69">
        <f t="shared" si="2"/>
        <v>0.92048177333774495</v>
      </c>
      <c r="C69" t="str">
        <f t="shared" si="3"/>
        <v>No</v>
      </c>
    </row>
    <row r="70" spans="1:3" x14ac:dyDescent="0.3">
      <c r="A70">
        <v>36</v>
      </c>
      <c r="B70">
        <f t="shared" si="2"/>
        <v>1.5994328372857971</v>
      </c>
      <c r="C70" t="str">
        <f t="shared" si="3"/>
        <v>No</v>
      </c>
    </row>
    <row r="71" spans="1:3" x14ac:dyDescent="0.3">
      <c r="A71">
        <v>44</v>
      </c>
      <c r="B71">
        <f t="shared" si="2"/>
        <v>2.6242646319243659</v>
      </c>
      <c r="C71" t="str">
        <f t="shared" si="3"/>
        <v>Yes</v>
      </c>
    </row>
    <row r="72" spans="1:3" x14ac:dyDescent="0.3">
      <c r="A72">
        <v>27</v>
      </c>
      <c r="B72">
        <f t="shared" si="2"/>
        <v>0.44649706831740682</v>
      </c>
      <c r="C72" t="str">
        <f t="shared" si="3"/>
        <v>No</v>
      </c>
    </row>
    <row r="73" spans="1:3" x14ac:dyDescent="0.3">
      <c r="A73">
        <v>24</v>
      </c>
      <c r="B73">
        <f t="shared" si="2"/>
        <v>6.2185145327943406E-2</v>
      </c>
      <c r="C73" t="str">
        <f t="shared" si="3"/>
        <v>No</v>
      </c>
    </row>
    <row r="74" spans="1:3" x14ac:dyDescent="0.3">
      <c r="A74">
        <v>35</v>
      </c>
      <c r="B74">
        <f t="shared" si="2"/>
        <v>1.471328862955976</v>
      </c>
      <c r="C74" t="str">
        <f t="shared" si="3"/>
        <v>No</v>
      </c>
    </row>
    <row r="75" spans="1:3" x14ac:dyDescent="0.3">
      <c r="A75">
        <v>25</v>
      </c>
      <c r="B75">
        <f t="shared" si="2"/>
        <v>0.19028911965776454</v>
      </c>
      <c r="C75" t="str">
        <f t="shared" si="3"/>
        <v>No</v>
      </c>
    </row>
    <row r="76" spans="1:3" x14ac:dyDescent="0.3">
      <c r="A76">
        <v>27</v>
      </c>
      <c r="B76">
        <f t="shared" si="2"/>
        <v>0.44649706831740682</v>
      </c>
      <c r="C76" t="str">
        <f t="shared" si="3"/>
        <v>No</v>
      </c>
    </row>
    <row r="77" spans="1:3" x14ac:dyDescent="0.3">
      <c r="A77">
        <v>31</v>
      </c>
      <c r="B77">
        <f t="shared" si="2"/>
        <v>0.95891296563669137</v>
      </c>
      <c r="C77" t="str">
        <f t="shared" si="3"/>
        <v>No</v>
      </c>
    </row>
    <row r="78" spans="1:3" x14ac:dyDescent="0.3">
      <c r="A78">
        <v>19</v>
      </c>
      <c r="B78">
        <f t="shared" si="2"/>
        <v>-0.57833472632116223</v>
      </c>
      <c r="C78" t="str">
        <f t="shared" si="3"/>
        <v>No</v>
      </c>
    </row>
    <row r="79" spans="1:3" x14ac:dyDescent="0.3">
      <c r="A79">
        <v>27</v>
      </c>
      <c r="B79">
        <f t="shared" si="2"/>
        <v>0.44649706831740682</v>
      </c>
      <c r="C79" t="str">
        <f t="shared" si="3"/>
        <v>No</v>
      </c>
    </row>
    <row r="80" spans="1:3" x14ac:dyDescent="0.3">
      <c r="A80">
        <v>24</v>
      </c>
      <c r="B80">
        <f t="shared" si="2"/>
        <v>6.2185145327943406E-2</v>
      </c>
      <c r="C80" t="str">
        <f t="shared" si="3"/>
        <v>No</v>
      </c>
    </row>
    <row r="81" spans="1:3" x14ac:dyDescent="0.3">
      <c r="A81">
        <v>28</v>
      </c>
      <c r="B81">
        <f t="shared" si="2"/>
        <v>0.57460104264722789</v>
      </c>
      <c r="C81" t="str">
        <f t="shared" si="3"/>
        <v>No</v>
      </c>
    </row>
    <row r="82" spans="1:3" x14ac:dyDescent="0.3">
      <c r="A82">
        <v>23</v>
      </c>
      <c r="B82">
        <f t="shared" si="2"/>
        <v>-6.5918829001877732E-2</v>
      </c>
      <c r="C82" t="str">
        <f t="shared" si="3"/>
        <v>No</v>
      </c>
    </row>
    <row r="83" spans="1:3" x14ac:dyDescent="0.3">
      <c r="A83">
        <v>18</v>
      </c>
      <c r="B83">
        <f t="shared" si="2"/>
        <v>-0.70643870065098335</v>
      </c>
      <c r="C83" t="str">
        <f t="shared" si="3"/>
        <v>No</v>
      </c>
    </row>
    <row r="84" spans="1:3" x14ac:dyDescent="0.3">
      <c r="A84">
        <v>22</v>
      </c>
      <c r="B84">
        <f t="shared" si="2"/>
        <v>-0.19402280333169886</v>
      </c>
      <c r="C84" t="str">
        <f t="shared" si="3"/>
        <v>No</v>
      </c>
    </row>
    <row r="85" spans="1:3" x14ac:dyDescent="0.3">
      <c r="A85">
        <v>20</v>
      </c>
      <c r="B85">
        <f t="shared" si="2"/>
        <v>-0.45023075199134116</v>
      </c>
      <c r="C85" t="str">
        <f t="shared" si="3"/>
        <v>No</v>
      </c>
    </row>
    <row r="86" spans="1:3" x14ac:dyDescent="0.3">
      <c r="A86">
        <v>20</v>
      </c>
      <c r="B86">
        <f t="shared" si="2"/>
        <v>-0.45023075199134116</v>
      </c>
      <c r="C86" t="str">
        <f t="shared" si="3"/>
        <v>No</v>
      </c>
    </row>
    <row r="87" spans="1:3" x14ac:dyDescent="0.3">
      <c r="A87">
        <v>24</v>
      </c>
      <c r="B87">
        <f t="shared" si="2"/>
        <v>6.2185145327943406E-2</v>
      </c>
      <c r="C87" t="str">
        <f t="shared" si="3"/>
        <v>No</v>
      </c>
    </row>
    <row r="88" spans="1:3" x14ac:dyDescent="0.3">
      <c r="A88">
        <v>26</v>
      </c>
      <c r="B88">
        <f t="shared" si="2"/>
        <v>0.3183930939875857</v>
      </c>
      <c r="C88" t="str">
        <f t="shared" si="3"/>
        <v>No</v>
      </c>
    </row>
    <row r="89" spans="1:3" x14ac:dyDescent="0.3">
      <c r="A89">
        <v>32</v>
      </c>
      <c r="B89">
        <f t="shared" si="2"/>
        <v>1.0870169399665124</v>
      </c>
      <c r="C89" t="str">
        <f t="shared" si="3"/>
        <v>No</v>
      </c>
    </row>
    <row r="90" spans="1:3" x14ac:dyDescent="0.3">
      <c r="A90">
        <v>31</v>
      </c>
      <c r="B90">
        <f t="shared" si="2"/>
        <v>0.95891296563669137</v>
      </c>
      <c r="C90" t="str">
        <f t="shared" si="3"/>
        <v>No</v>
      </c>
    </row>
    <row r="91" spans="1:3" x14ac:dyDescent="0.3">
      <c r="A91">
        <v>31</v>
      </c>
      <c r="B91">
        <f t="shared" si="2"/>
        <v>0.95891296563669137</v>
      </c>
      <c r="C91" t="str">
        <f t="shared" si="3"/>
        <v>No</v>
      </c>
    </row>
    <row r="92" spans="1:3" x14ac:dyDescent="0.3">
      <c r="A92">
        <v>32</v>
      </c>
      <c r="B92">
        <f t="shared" si="2"/>
        <v>1.0870169399665124</v>
      </c>
      <c r="C92" t="str">
        <f t="shared" si="3"/>
        <v>No</v>
      </c>
    </row>
    <row r="93" spans="1:3" x14ac:dyDescent="0.3">
      <c r="A93">
        <v>24</v>
      </c>
      <c r="B93">
        <f t="shared" si="2"/>
        <v>6.2185145327943406E-2</v>
      </c>
      <c r="C93" t="str">
        <f t="shared" si="3"/>
        <v>No</v>
      </c>
    </row>
    <row r="94" spans="1:3" x14ac:dyDescent="0.3">
      <c r="A94">
        <v>24</v>
      </c>
      <c r="B94">
        <f t="shared" si="2"/>
        <v>6.2185145327943406E-2</v>
      </c>
      <c r="C94" t="str">
        <f t="shared" si="3"/>
        <v>No</v>
      </c>
    </row>
    <row r="95" spans="1:3" x14ac:dyDescent="0.3">
      <c r="A95">
        <v>29</v>
      </c>
      <c r="B95">
        <f t="shared" si="2"/>
        <v>0.70270501697704912</v>
      </c>
      <c r="C95" t="str">
        <f t="shared" si="3"/>
        <v>No</v>
      </c>
    </row>
    <row r="96" spans="1:3" x14ac:dyDescent="0.3">
      <c r="A96">
        <v>33</v>
      </c>
      <c r="B96">
        <f t="shared" si="2"/>
        <v>1.2151209142963335</v>
      </c>
      <c r="C96" t="str">
        <f t="shared" si="3"/>
        <v>No</v>
      </c>
    </row>
    <row r="97" spans="1:3" x14ac:dyDescent="0.3">
      <c r="A97">
        <v>32</v>
      </c>
      <c r="B97">
        <f t="shared" si="2"/>
        <v>1.0870169399665124</v>
      </c>
      <c r="C97" t="str">
        <f t="shared" si="3"/>
        <v>No</v>
      </c>
    </row>
    <row r="98" spans="1:3" x14ac:dyDescent="0.3">
      <c r="A98">
        <v>28</v>
      </c>
      <c r="B98">
        <f t="shared" si="2"/>
        <v>0.57460104264722789</v>
      </c>
      <c r="C98" t="str">
        <f t="shared" si="3"/>
        <v>No</v>
      </c>
    </row>
    <row r="99" spans="1:3" x14ac:dyDescent="0.3">
      <c r="A99">
        <v>33</v>
      </c>
      <c r="B99">
        <f t="shared" si="2"/>
        <v>1.2151209142963335</v>
      </c>
      <c r="C99" t="str">
        <f t="shared" si="3"/>
        <v>No</v>
      </c>
    </row>
    <row r="100" spans="1:3" x14ac:dyDescent="0.3">
      <c r="A100">
        <v>19</v>
      </c>
      <c r="B100">
        <f t="shared" si="2"/>
        <v>-0.57833472632116223</v>
      </c>
      <c r="C100" t="str">
        <f t="shared" si="3"/>
        <v>No</v>
      </c>
    </row>
    <row r="101" spans="1:3" x14ac:dyDescent="0.3">
      <c r="A101">
        <v>21.5</v>
      </c>
      <c r="B101">
        <f t="shared" si="2"/>
        <v>-0.25807479049660942</v>
      </c>
      <c r="C101" t="str">
        <f t="shared" si="3"/>
        <v>No</v>
      </c>
    </row>
    <row r="102" spans="1:3" x14ac:dyDescent="0.3">
      <c r="A102">
        <v>33.5</v>
      </c>
      <c r="B102">
        <f t="shared" si="2"/>
        <v>1.2791729014612441</v>
      </c>
      <c r="C102" t="str">
        <f t="shared" si="3"/>
        <v>No</v>
      </c>
    </row>
    <row r="103" spans="1:3" x14ac:dyDescent="0.3">
      <c r="A103">
        <v>30</v>
      </c>
      <c r="B103">
        <f t="shared" si="2"/>
        <v>0.83080899130687025</v>
      </c>
      <c r="C103" t="str">
        <f t="shared" si="3"/>
        <v>No</v>
      </c>
    </row>
    <row r="104" spans="1:3" x14ac:dyDescent="0.3">
      <c r="A104">
        <v>31.5</v>
      </c>
      <c r="B104">
        <f t="shared" si="2"/>
        <v>1.0229649528016018</v>
      </c>
      <c r="C104" t="str">
        <f t="shared" si="3"/>
        <v>No</v>
      </c>
    </row>
    <row r="105" spans="1:3" x14ac:dyDescent="0.3">
      <c r="A105">
        <v>26</v>
      </c>
      <c r="B105">
        <f t="shared" si="2"/>
        <v>0.3183930939875857</v>
      </c>
      <c r="C105" t="str">
        <f t="shared" si="3"/>
        <v>No</v>
      </c>
    </row>
    <row r="106" spans="1:3" x14ac:dyDescent="0.3">
      <c r="A106">
        <v>22</v>
      </c>
      <c r="B106">
        <f t="shared" si="2"/>
        <v>-0.19402280333169886</v>
      </c>
      <c r="C106" t="str">
        <f t="shared" si="3"/>
        <v>No</v>
      </c>
    </row>
    <row r="107" spans="1:3" x14ac:dyDescent="0.3">
      <c r="A107">
        <v>27.2</v>
      </c>
      <c r="B107">
        <f t="shared" si="2"/>
        <v>0.47211786318337096</v>
      </c>
      <c r="C107" t="str">
        <f t="shared" si="3"/>
        <v>No</v>
      </c>
    </row>
    <row r="108" spans="1:3" x14ac:dyDescent="0.3">
      <c r="A108">
        <v>23.9</v>
      </c>
      <c r="B108">
        <f t="shared" si="2"/>
        <v>4.9374747894961109E-2</v>
      </c>
      <c r="C108" t="str">
        <f t="shared" si="3"/>
        <v>No</v>
      </c>
    </row>
    <row r="109" spans="1:3" x14ac:dyDescent="0.3">
      <c r="A109">
        <v>21.1</v>
      </c>
      <c r="B109">
        <f t="shared" si="2"/>
        <v>-0.30931638022853769</v>
      </c>
      <c r="C109" t="str">
        <f t="shared" si="3"/>
        <v>No</v>
      </c>
    </row>
    <row r="110" spans="1:3" x14ac:dyDescent="0.3">
      <c r="A110">
        <v>27.5</v>
      </c>
      <c r="B110">
        <f t="shared" si="2"/>
        <v>0.51054905548231733</v>
      </c>
      <c r="C110" t="str">
        <f t="shared" si="3"/>
        <v>No</v>
      </c>
    </row>
    <row r="111" spans="1:3" x14ac:dyDescent="0.3">
      <c r="A111">
        <v>39.4</v>
      </c>
      <c r="B111">
        <f t="shared" si="2"/>
        <v>2.0349863500071885</v>
      </c>
      <c r="C111" t="str">
        <f t="shared" si="3"/>
        <v>Yes</v>
      </c>
    </row>
    <row r="112" spans="1:3" x14ac:dyDescent="0.3">
      <c r="A112">
        <v>36.1</v>
      </c>
      <c r="B112">
        <f t="shared" si="2"/>
        <v>1.6122432347187794</v>
      </c>
      <c r="C112" t="str">
        <f t="shared" si="3"/>
        <v>No</v>
      </c>
    </row>
    <row r="113" spans="1:3" x14ac:dyDescent="0.3">
      <c r="A113">
        <v>29.5</v>
      </c>
      <c r="B113">
        <f t="shared" si="2"/>
        <v>0.76675700414195969</v>
      </c>
      <c r="C113" t="str">
        <f t="shared" si="3"/>
        <v>No</v>
      </c>
    </row>
    <row r="114" spans="1:3" x14ac:dyDescent="0.3">
      <c r="A114">
        <v>32.799999999999997</v>
      </c>
      <c r="B114">
        <f t="shared" si="2"/>
        <v>1.1895001194303689</v>
      </c>
      <c r="C114" t="str">
        <f t="shared" si="3"/>
        <v>No</v>
      </c>
    </row>
    <row r="115" spans="1:3" x14ac:dyDescent="0.3">
      <c r="A115">
        <v>34.1</v>
      </c>
      <c r="B115">
        <f t="shared" si="2"/>
        <v>1.3560352860591371</v>
      </c>
      <c r="C115" t="str">
        <f t="shared" si="3"/>
        <v>No</v>
      </c>
    </row>
    <row r="116" spans="1:3" x14ac:dyDescent="0.3">
      <c r="A116">
        <v>31.8</v>
      </c>
      <c r="B116">
        <f t="shared" si="2"/>
        <v>1.0613961451005482</v>
      </c>
      <c r="C116" t="str">
        <f t="shared" si="3"/>
        <v>No</v>
      </c>
    </row>
    <row r="117" spans="1:3" x14ac:dyDescent="0.3">
      <c r="A117">
        <v>23.7</v>
      </c>
      <c r="B117">
        <f t="shared" si="2"/>
        <v>2.3753953028996973E-2</v>
      </c>
      <c r="C117" t="str">
        <f t="shared" si="3"/>
        <v>No</v>
      </c>
    </row>
    <row r="118" spans="1:3" x14ac:dyDescent="0.3">
      <c r="A118">
        <v>37</v>
      </c>
      <c r="B118">
        <f t="shared" si="2"/>
        <v>1.7275368116156182</v>
      </c>
      <c r="C118" t="str">
        <f t="shared" si="3"/>
        <v>No</v>
      </c>
    </row>
    <row r="119" spans="1:3" x14ac:dyDescent="0.3">
      <c r="A119">
        <v>44.6</v>
      </c>
      <c r="B119">
        <f t="shared" si="2"/>
        <v>2.7011270165222587</v>
      </c>
      <c r="C119" t="str">
        <f t="shared" si="3"/>
        <v>Yes</v>
      </c>
    </row>
    <row r="120" spans="1:3" x14ac:dyDescent="0.3">
      <c r="A120">
        <v>29.8</v>
      </c>
      <c r="B120">
        <f t="shared" si="2"/>
        <v>0.80518819644090611</v>
      </c>
      <c r="C120" t="str">
        <f t="shared" si="3"/>
        <v>No</v>
      </c>
    </row>
    <row r="121" spans="1:3" x14ac:dyDescent="0.3">
      <c r="A121">
        <v>32.200000000000003</v>
      </c>
      <c r="B121">
        <f t="shared" si="2"/>
        <v>1.112637734832477</v>
      </c>
      <c r="C121" t="str">
        <f t="shared" si="3"/>
        <v>No</v>
      </c>
    </row>
    <row r="122" spans="1:3" x14ac:dyDescent="0.3">
      <c r="A122">
        <v>37.200000000000003</v>
      </c>
      <c r="B122">
        <f t="shared" si="2"/>
        <v>1.7531576064815828</v>
      </c>
      <c r="C122" t="str">
        <f t="shared" si="3"/>
        <v>No</v>
      </c>
    </row>
    <row r="123" spans="1:3" x14ac:dyDescent="0.3">
      <c r="A123">
        <v>32.4</v>
      </c>
      <c r="B123">
        <f t="shared" si="2"/>
        <v>1.1382585296984407</v>
      </c>
      <c r="C123" t="str">
        <f t="shared" si="3"/>
        <v>No</v>
      </c>
    </row>
    <row r="124" spans="1:3" x14ac:dyDescent="0.3">
      <c r="A124">
        <v>33.799999999999997</v>
      </c>
      <c r="B124">
        <f t="shared" si="2"/>
        <v>1.3176040937601901</v>
      </c>
      <c r="C124" t="str">
        <f t="shared" si="3"/>
        <v>No</v>
      </c>
    </row>
    <row r="125" spans="1:3" x14ac:dyDescent="0.3">
      <c r="A125">
        <v>40.799999999999997</v>
      </c>
      <c r="B125">
        <f t="shared" si="2"/>
        <v>2.2143319140689379</v>
      </c>
      <c r="C125" t="str">
        <f t="shared" si="3"/>
        <v>Yes</v>
      </c>
    </row>
    <row r="126" spans="1:3" x14ac:dyDescent="0.3">
      <c r="A126">
        <v>46.6</v>
      </c>
      <c r="B126">
        <f t="shared" si="2"/>
        <v>2.9573349651819014</v>
      </c>
      <c r="C126" t="str">
        <f t="shared" si="3"/>
        <v>Yes</v>
      </c>
    </row>
    <row r="127" spans="1:3" x14ac:dyDescent="0.3">
      <c r="A127">
        <v>38.1</v>
      </c>
      <c r="B127">
        <f t="shared" si="2"/>
        <v>1.8684511833784216</v>
      </c>
      <c r="C127" t="str">
        <f t="shared" si="3"/>
        <v>No</v>
      </c>
    </row>
    <row r="128" spans="1:3" x14ac:dyDescent="0.3">
      <c r="A128">
        <v>31.3</v>
      </c>
      <c r="B128">
        <f t="shared" si="2"/>
        <v>0.9973441579356378</v>
      </c>
      <c r="C128" t="str">
        <f t="shared" si="3"/>
        <v>No</v>
      </c>
    </row>
    <row r="129" spans="1:3" x14ac:dyDescent="0.3">
      <c r="A129">
        <v>32.700000000000003</v>
      </c>
      <c r="B129">
        <f t="shared" si="2"/>
        <v>1.1766897219973875</v>
      </c>
      <c r="C129" t="str">
        <f t="shared" si="3"/>
        <v>No</v>
      </c>
    </row>
    <row r="130" spans="1:3" x14ac:dyDescent="0.3">
      <c r="A130">
        <v>32.9</v>
      </c>
      <c r="B130">
        <f t="shared" si="2"/>
        <v>1.2023105168633512</v>
      </c>
      <c r="C130" t="str">
        <f t="shared" si="3"/>
        <v>No</v>
      </c>
    </row>
    <row r="131" spans="1:3" x14ac:dyDescent="0.3">
      <c r="A131">
        <v>34.1</v>
      </c>
      <c r="B131">
        <f t="shared" ref="B131:B194" si="4">IFERROR((A131-$P$3) / $R$3, "")</f>
        <v>1.3560352860591371</v>
      </c>
      <c r="C131" t="str">
        <f t="shared" ref="C131:C194" si="5">IF(ABS(B131)&gt;2,"Yes","No")</f>
        <v>No</v>
      </c>
    </row>
    <row r="132" spans="1:3" x14ac:dyDescent="0.3">
      <c r="A132">
        <v>35.1</v>
      </c>
      <c r="B132">
        <f t="shared" si="4"/>
        <v>1.4841392603889583</v>
      </c>
      <c r="C132" t="str">
        <f t="shared" si="5"/>
        <v>No</v>
      </c>
    </row>
    <row r="133" spans="1:3" x14ac:dyDescent="0.3">
      <c r="A133">
        <v>33.700000000000003</v>
      </c>
      <c r="B133">
        <f t="shared" si="4"/>
        <v>1.3047936963272089</v>
      </c>
      <c r="C133" t="str">
        <f t="shared" si="5"/>
        <v>No</v>
      </c>
    </row>
    <row r="134" spans="1:3" x14ac:dyDescent="0.3">
      <c r="A134">
        <v>39.1</v>
      </c>
      <c r="B134">
        <f t="shared" si="4"/>
        <v>1.9965551577082428</v>
      </c>
      <c r="C134" t="str">
        <f t="shared" si="5"/>
        <v>No</v>
      </c>
    </row>
    <row r="135" spans="1:3" x14ac:dyDescent="0.3">
      <c r="A135">
        <v>37</v>
      </c>
      <c r="B135">
        <f t="shared" si="4"/>
        <v>1.7275368116156182</v>
      </c>
      <c r="C135" t="str">
        <f t="shared" si="5"/>
        <v>No</v>
      </c>
    </row>
    <row r="136" spans="1:3" x14ac:dyDescent="0.3">
      <c r="A136">
        <v>32.299999999999997</v>
      </c>
      <c r="B136">
        <f t="shared" si="4"/>
        <v>1.1254481322654584</v>
      </c>
      <c r="C136" t="str">
        <f t="shared" si="5"/>
        <v>No</v>
      </c>
    </row>
    <row r="137" spans="1:3" x14ac:dyDescent="0.3">
      <c r="A137">
        <v>32.4</v>
      </c>
      <c r="B137">
        <f t="shared" si="4"/>
        <v>1.1382585296984407</v>
      </c>
      <c r="C137" t="str">
        <f t="shared" si="5"/>
        <v>No</v>
      </c>
    </row>
    <row r="138" spans="1:3" x14ac:dyDescent="0.3">
      <c r="A138">
        <v>37.700000000000003</v>
      </c>
      <c r="B138">
        <f t="shared" si="4"/>
        <v>1.8172095936464934</v>
      </c>
      <c r="C138" t="str">
        <f t="shared" si="5"/>
        <v>No</v>
      </c>
    </row>
    <row r="139" spans="1:3" x14ac:dyDescent="0.3">
      <c r="A139">
        <v>31.6</v>
      </c>
      <c r="B139">
        <f t="shared" si="4"/>
        <v>1.0357753502345841</v>
      </c>
      <c r="C139" t="str">
        <f t="shared" si="5"/>
        <v>No</v>
      </c>
    </row>
    <row r="140" spans="1:3" x14ac:dyDescent="0.3">
      <c r="A140">
        <v>24.2</v>
      </c>
      <c r="B140">
        <f t="shared" si="4"/>
        <v>8.7805940193907542E-2</v>
      </c>
      <c r="C140" t="str">
        <f t="shared" si="5"/>
        <v>No</v>
      </c>
    </row>
    <row r="141" spans="1:3" x14ac:dyDescent="0.3">
      <c r="A141">
        <v>25.4</v>
      </c>
      <c r="B141">
        <f t="shared" si="4"/>
        <v>0.24153070938969282</v>
      </c>
      <c r="C141" t="str">
        <f t="shared" si="5"/>
        <v>No</v>
      </c>
    </row>
    <row r="142" spans="1:3" x14ac:dyDescent="0.3">
      <c r="A142">
        <v>36</v>
      </c>
      <c r="B142">
        <f t="shared" si="4"/>
        <v>1.5994328372857971</v>
      </c>
      <c r="C142" t="str">
        <f t="shared" si="5"/>
        <v>No</v>
      </c>
    </row>
    <row r="143" spans="1:3" x14ac:dyDescent="0.3">
      <c r="A143">
        <v>32</v>
      </c>
      <c r="B143">
        <f t="shared" si="4"/>
        <v>1.0870169399665124</v>
      </c>
      <c r="C143" t="str">
        <f t="shared" si="5"/>
        <v>No</v>
      </c>
    </row>
    <row r="144" spans="1:3" x14ac:dyDescent="0.3">
      <c r="A144">
        <v>31</v>
      </c>
      <c r="B144">
        <f t="shared" si="4"/>
        <v>0.95891296563669137</v>
      </c>
      <c r="C144" t="str">
        <f t="shared" si="5"/>
        <v>No</v>
      </c>
    </row>
    <row r="145" spans="1:3" x14ac:dyDescent="0.3">
      <c r="A145">
        <v>38</v>
      </c>
      <c r="B145">
        <f t="shared" si="4"/>
        <v>1.8556407859454394</v>
      </c>
      <c r="C145" t="str">
        <f t="shared" si="5"/>
        <v>No</v>
      </c>
    </row>
    <row r="146" spans="1:3" x14ac:dyDescent="0.3">
      <c r="A146">
        <v>32</v>
      </c>
      <c r="B146">
        <f t="shared" si="4"/>
        <v>1.0870169399665124</v>
      </c>
      <c r="C146" t="str">
        <f t="shared" si="5"/>
        <v>No</v>
      </c>
    </row>
    <row r="147" spans="1:3" x14ac:dyDescent="0.3">
      <c r="A147">
        <v>36</v>
      </c>
      <c r="B147">
        <f t="shared" si="4"/>
        <v>1.5994328372857971</v>
      </c>
      <c r="C147" t="str">
        <f t="shared" si="5"/>
        <v>No</v>
      </c>
    </row>
    <row r="148" spans="1:3" x14ac:dyDescent="0.3">
      <c r="A148">
        <v>38</v>
      </c>
      <c r="B148">
        <f t="shared" si="4"/>
        <v>1.8556407859454394</v>
      </c>
      <c r="C148" t="str">
        <f t="shared" si="5"/>
        <v>No</v>
      </c>
    </row>
    <row r="149" spans="1:3" x14ac:dyDescent="0.3">
      <c r="A149">
        <v>37</v>
      </c>
      <c r="B149">
        <f t="shared" si="4"/>
        <v>1.7275368116156182</v>
      </c>
      <c r="C149" t="str">
        <f t="shared" si="5"/>
        <v>No</v>
      </c>
    </row>
    <row r="150" spans="1:3" x14ac:dyDescent="0.3">
      <c r="A150">
        <v>34</v>
      </c>
      <c r="B150">
        <f t="shared" si="4"/>
        <v>1.3432248886261546</v>
      </c>
      <c r="C150" t="str">
        <f t="shared" si="5"/>
        <v>No</v>
      </c>
    </row>
    <row r="151" spans="1:3" x14ac:dyDescent="0.3">
      <c r="A151">
        <v>18</v>
      </c>
      <c r="B151">
        <f t="shared" si="4"/>
        <v>-0.70643870065098335</v>
      </c>
      <c r="C151" t="str">
        <f t="shared" si="5"/>
        <v>No</v>
      </c>
    </row>
    <row r="152" spans="1:3" x14ac:dyDescent="0.3">
      <c r="A152">
        <v>21</v>
      </c>
      <c r="B152">
        <f t="shared" si="4"/>
        <v>-0.32212677766151998</v>
      </c>
      <c r="C152" t="str">
        <f t="shared" si="5"/>
        <v>No</v>
      </c>
    </row>
    <row r="153" spans="1:3" x14ac:dyDescent="0.3">
      <c r="A153">
        <v>22</v>
      </c>
      <c r="B153">
        <f t="shared" si="4"/>
        <v>-0.19402280333169886</v>
      </c>
      <c r="C153" t="str">
        <f t="shared" si="5"/>
        <v>No</v>
      </c>
    </row>
    <row r="154" spans="1:3" x14ac:dyDescent="0.3">
      <c r="A154">
        <v>21</v>
      </c>
      <c r="B154">
        <f t="shared" si="4"/>
        <v>-0.32212677766151998</v>
      </c>
      <c r="C154" t="str">
        <f t="shared" si="5"/>
        <v>No</v>
      </c>
    </row>
    <row r="155" spans="1:3" x14ac:dyDescent="0.3">
      <c r="A155">
        <v>14</v>
      </c>
      <c r="B155">
        <f t="shared" si="4"/>
        <v>-1.2188545979702679</v>
      </c>
      <c r="C155" t="str">
        <f t="shared" si="5"/>
        <v>No</v>
      </c>
    </row>
    <row r="156" spans="1:3" x14ac:dyDescent="0.3">
      <c r="A156">
        <v>14</v>
      </c>
      <c r="B156">
        <f t="shared" si="4"/>
        <v>-1.2188545979702679</v>
      </c>
      <c r="C156" t="str">
        <f t="shared" si="5"/>
        <v>No</v>
      </c>
    </row>
    <row r="157" spans="1:3" x14ac:dyDescent="0.3">
      <c r="A157">
        <v>14</v>
      </c>
      <c r="B157">
        <f t="shared" si="4"/>
        <v>-1.2188545979702679</v>
      </c>
      <c r="C157" t="str">
        <f t="shared" si="5"/>
        <v>No</v>
      </c>
    </row>
    <row r="158" spans="1:3" x14ac:dyDescent="0.3">
      <c r="A158">
        <v>14</v>
      </c>
      <c r="B158">
        <f t="shared" si="4"/>
        <v>-1.2188545979702679</v>
      </c>
      <c r="C158" t="str">
        <f t="shared" si="5"/>
        <v>No</v>
      </c>
    </row>
    <row r="159" spans="1:3" x14ac:dyDescent="0.3">
      <c r="A159">
        <v>15</v>
      </c>
      <c r="B159">
        <f t="shared" si="4"/>
        <v>-1.0907506236404467</v>
      </c>
      <c r="C159" t="str">
        <f t="shared" si="5"/>
        <v>No</v>
      </c>
    </row>
    <row r="160" spans="1:3" x14ac:dyDescent="0.3">
      <c r="A160">
        <v>11</v>
      </c>
      <c r="B160">
        <f t="shared" si="4"/>
        <v>-1.6031665209597314</v>
      </c>
      <c r="C160" t="str">
        <f t="shared" si="5"/>
        <v>No</v>
      </c>
    </row>
    <row r="161" spans="1:3" x14ac:dyDescent="0.3">
      <c r="A161">
        <v>15</v>
      </c>
      <c r="B161">
        <f t="shared" si="4"/>
        <v>-1.0907506236404467</v>
      </c>
      <c r="C161" t="str">
        <f t="shared" si="5"/>
        <v>No</v>
      </c>
    </row>
    <row r="162" spans="1:3" x14ac:dyDescent="0.3">
      <c r="A162">
        <v>10</v>
      </c>
      <c r="B162">
        <f t="shared" si="4"/>
        <v>-1.7312704952895526</v>
      </c>
      <c r="C162" t="str">
        <f t="shared" si="5"/>
        <v>No</v>
      </c>
    </row>
    <row r="163" spans="1:3" x14ac:dyDescent="0.3">
      <c r="A163">
        <v>10</v>
      </c>
      <c r="B163">
        <f t="shared" si="4"/>
        <v>-1.7312704952895526</v>
      </c>
      <c r="C163" t="str">
        <f t="shared" si="5"/>
        <v>No</v>
      </c>
    </row>
    <row r="164" spans="1:3" x14ac:dyDescent="0.3">
      <c r="A164">
        <v>15</v>
      </c>
      <c r="B164">
        <f t="shared" si="4"/>
        <v>-1.0907506236404467</v>
      </c>
      <c r="C164" t="str">
        <f t="shared" si="5"/>
        <v>No</v>
      </c>
    </row>
    <row r="165" spans="1:3" x14ac:dyDescent="0.3">
      <c r="A165">
        <v>15</v>
      </c>
      <c r="B165">
        <f t="shared" si="4"/>
        <v>-1.0907506236404467</v>
      </c>
      <c r="C165" t="str">
        <f t="shared" si="5"/>
        <v>No</v>
      </c>
    </row>
    <row r="166" spans="1:3" x14ac:dyDescent="0.3">
      <c r="A166">
        <v>14</v>
      </c>
      <c r="B166">
        <f t="shared" si="4"/>
        <v>-1.2188545979702679</v>
      </c>
      <c r="C166" t="str">
        <f t="shared" si="5"/>
        <v>No</v>
      </c>
    </row>
    <row r="167" spans="1:3" x14ac:dyDescent="0.3">
      <c r="A167">
        <v>16</v>
      </c>
      <c r="B167">
        <f t="shared" si="4"/>
        <v>-0.96264664931062571</v>
      </c>
      <c r="C167" t="str">
        <f t="shared" si="5"/>
        <v>No</v>
      </c>
    </row>
    <row r="168" spans="1:3" x14ac:dyDescent="0.3">
      <c r="A168">
        <v>18</v>
      </c>
      <c r="B168">
        <f t="shared" si="4"/>
        <v>-0.70643870065098335</v>
      </c>
      <c r="C168" t="str">
        <f t="shared" si="5"/>
        <v>No</v>
      </c>
    </row>
    <row r="169" spans="1:3" x14ac:dyDescent="0.3">
      <c r="A169">
        <v>9</v>
      </c>
      <c r="B169">
        <f t="shared" si="4"/>
        <v>-1.8593744696193737</v>
      </c>
      <c r="C169" t="str">
        <f t="shared" si="5"/>
        <v>No</v>
      </c>
    </row>
    <row r="170" spans="1:3" x14ac:dyDescent="0.3">
      <c r="A170">
        <v>17</v>
      </c>
      <c r="B170">
        <f t="shared" si="4"/>
        <v>-0.83454267498080459</v>
      </c>
      <c r="C170" t="str">
        <f t="shared" si="5"/>
        <v>No</v>
      </c>
    </row>
    <row r="171" spans="1:3" x14ac:dyDescent="0.3">
      <c r="A171">
        <v>15</v>
      </c>
      <c r="B171">
        <f t="shared" si="4"/>
        <v>-1.0907506236404467</v>
      </c>
      <c r="C171" t="str">
        <f t="shared" si="5"/>
        <v>No</v>
      </c>
    </row>
    <row r="172" spans="1:3" x14ac:dyDescent="0.3">
      <c r="A172">
        <v>18</v>
      </c>
      <c r="B172">
        <f t="shared" si="4"/>
        <v>-0.70643870065098335</v>
      </c>
      <c r="C172" t="str">
        <f t="shared" si="5"/>
        <v>No</v>
      </c>
    </row>
    <row r="173" spans="1:3" x14ac:dyDescent="0.3">
      <c r="A173">
        <v>28</v>
      </c>
      <c r="B173">
        <f t="shared" si="4"/>
        <v>0.57460104264722789</v>
      </c>
      <c r="C173" t="str">
        <f t="shared" si="5"/>
        <v>No</v>
      </c>
    </row>
    <row r="174" spans="1:3" x14ac:dyDescent="0.3">
      <c r="A174">
        <v>23</v>
      </c>
      <c r="B174">
        <f t="shared" si="4"/>
        <v>-6.5918829001877732E-2</v>
      </c>
      <c r="C174" t="str">
        <f t="shared" si="5"/>
        <v>No</v>
      </c>
    </row>
    <row r="175" spans="1:3" x14ac:dyDescent="0.3">
      <c r="A175">
        <v>26</v>
      </c>
      <c r="B175">
        <f t="shared" si="4"/>
        <v>0.3183930939875857</v>
      </c>
      <c r="C175" t="str">
        <f t="shared" si="5"/>
        <v>No</v>
      </c>
    </row>
    <row r="176" spans="1:3" x14ac:dyDescent="0.3">
      <c r="A176">
        <v>22</v>
      </c>
      <c r="B176">
        <f t="shared" si="4"/>
        <v>-0.19402280333169886</v>
      </c>
      <c r="C176" t="str">
        <f t="shared" si="5"/>
        <v>No</v>
      </c>
    </row>
    <row r="177" spans="1:3" x14ac:dyDescent="0.3">
      <c r="A177">
        <v>25</v>
      </c>
      <c r="B177">
        <f t="shared" si="4"/>
        <v>0.19028911965776454</v>
      </c>
      <c r="C177" t="str">
        <f t="shared" si="5"/>
        <v>No</v>
      </c>
    </row>
    <row r="178" spans="1:3" x14ac:dyDescent="0.3">
      <c r="A178">
        <v>19</v>
      </c>
      <c r="B178">
        <f t="shared" si="4"/>
        <v>-0.57833472632116223</v>
      </c>
      <c r="C178" t="str">
        <f t="shared" si="5"/>
        <v>No</v>
      </c>
    </row>
    <row r="179" spans="1:3" x14ac:dyDescent="0.3">
      <c r="A179">
        <v>18</v>
      </c>
      <c r="B179">
        <f t="shared" si="4"/>
        <v>-0.70643870065098335</v>
      </c>
      <c r="C179" t="str">
        <f t="shared" si="5"/>
        <v>No</v>
      </c>
    </row>
    <row r="180" spans="1:3" x14ac:dyDescent="0.3">
      <c r="A180">
        <v>16</v>
      </c>
      <c r="B180">
        <f t="shared" si="4"/>
        <v>-0.96264664931062571</v>
      </c>
      <c r="C180" t="str">
        <f t="shared" si="5"/>
        <v>No</v>
      </c>
    </row>
    <row r="181" spans="1:3" x14ac:dyDescent="0.3">
      <c r="A181">
        <v>19</v>
      </c>
      <c r="B181">
        <f t="shared" si="4"/>
        <v>-0.57833472632116223</v>
      </c>
      <c r="C181" t="str">
        <f t="shared" si="5"/>
        <v>No</v>
      </c>
    </row>
    <row r="182" spans="1:3" x14ac:dyDescent="0.3">
      <c r="A182">
        <v>18</v>
      </c>
      <c r="B182">
        <f t="shared" si="4"/>
        <v>-0.70643870065098335</v>
      </c>
      <c r="C182" t="str">
        <f t="shared" si="5"/>
        <v>No</v>
      </c>
    </row>
    <row r="183" spans="1:3" x14ac:dyDescent="0.3">
      <c r="A183">
        <v>17</v>
      </c>
      <c r="B183">
        <f t="shared" si="4"/>
        <v>-0.83454267498080459</v>
      </c>
      <c r="C183" t="str">
        <f t="shared" si="5"/>
        <v>No</v>
      </c>
    </row>
    <row r="184" spans="1:3" x14ac:dyDescent="0.3">
      <c r="A184">
        <v>18</v>
      </c>
      <c r="B184">
        <f t="shared" si="4"/>
        <v>-0.70643870065098335</v>
      </c>
      <c r="C184" t="str">
        <f t="shared" si="5"/>
        <v>No</v>
      </c>
    </row>
    <row r="185" spans="1:3" x14ac:dyDescent="0.3">
      <c r="A185">
        <v>19</v>
      </c>
      <c r="B185">
        <f t="shared" si="4"/>
        <v>-0.57833472632116223</v>
      </c>
      <c r="C185" t="str">
        <f t="shared" si="5"/>
        <v>No</v>
      </c>
    </row>
    <row r="186" spans="1:3" x14ac:dyDescent="0.3">
      <c r="A186">
        <v>14</v>
      </c>
      <c r="B186">
        <f t="shared" si="4"/>
        <v>-1.2188545979702679</v>
      </c>
      <c r="C186" t="str">
        <f t="shared" si="5"/>
        <v>No</v>
      </c>
    </row>
    <row r="187" spans="1:3" x14ac:dyDescent="0.3">
      <c r="A187">
        <v>14</v>
      </c>
      <c r="B187">
        <f t="shared" si="4"/>
        <v>-1.2188545979702679</v>
      </c>
      <c r="C187" t="str">
        <f t="shared" si="5"/>
        <v>No</v>
      </c>
    </row>
    <row r="188" spans="1:3" x14ac:dyDescent="0.3">
      <c r="A188">
        <v>14</v>
      </c>
      <c r="B188">
        <f t="shared" si="4"/>
        <v>-1.2188545979702679</v>
      </c>
      <c r="C188" t="str">
        <f t="shared" si="5"/>
        <v>No</v>
      </c>
    </row>
    <row r="189" spans="1:3" x14ac:dyDescent="0.3">
      <c r="A189">
        <v>14</v>
      </c>
      <c r="B189">
        <f t="shared" si="4"/>
        <v>-1.2188545979702679</v>
      </c>
      <c r="C189" t="str">
        <f t="shared" si="5"/>
        <v>No</v>
      </c>
    </row>
    <row r="190" spans="1:3" x14ac:dyDescent="0.3">
      <c r="A190">
        <v>12</v>
      </c>
      <c r="B190">
        <f t="shared" si="4"/>
        <v>-1.4750625466299101</v>
      </c>
      <c r="C190" t="str">
        <f t="shared" si="5"/>
        <v>No</v>
      </c>
    </row>
    <row r="191" spans="1:3" x14ac:dyDescent="0.3">
      <c r="A191">
        <v>13</v>
      </c>
      <c r="B191">
        <f t="shared" si="4"/>
        <v>-1.346958572300089</v>
      </c>
      <c r="C191" t="str">
        <f t="shared" si="5"/>
        <v>No</v>
      </c>
    </row>
    <row r="192" spans="1:3" x14ac:dyDescent="0.3">
      <c r="A192">
        <v>13</v>
      </c>
      <c r="B192">
        <f t="shared" si="4"/>
        <v>-1.346958572300089</v>
      </c>
      <c r="C192" t="str">
        <f t="shared" si="5"/>
        <v>No</v>
      </c>
    </row>
    <row r="193" spans="1:3" x14ac:dyDescent="0.3">
      <c r="A193">
        <v>21</v>
      </c>
      <c r="B193">
        <f t="shared" si="4"/>
        <v>-0.32212677766151998</v>
      </c>
      <c r="C193" t="str">
        <f t="shared" si="5"/>
        <v>No</v>
      </c>
    </row>
    <row r="194" spans="1:3" x14ac:dyDescent="0.3">
      <c r="A194">
        <v>25</v>
      </c>
      <c r="B194">
        <f t="shared" si="4"/>
        <v>0.19028911965776454</v>
      </c>
      <c r="C194" t="str">
        <f t="shared" si="5"/>
        <v>No</v>
      </c>
    </row>
    <row r="195" spans="1:3" x14ac:dyDescent="0.3">
      <c r="A195">
        <v>20</v>
      </c>
      <c r="B195">
        <f t="shared" ref="B195:B258" si="6">IFERROR((A195-$P$3) / $R$3, "")</f>
        <v>-0.45023075199134116</v>
      </c>
      <c r="C195" t="str">
        <f t="shared" ref="C195:C258" si="7">IF(ABS(B195)&gt;2,"Yes","No")</f>
        <v>No</v>
      </c>
    </row>
    <row r="196" spans="1:3" x14ac:dyDescent="0.3">
      <c r="A196">
        <v>28</v>
      </c>
      <c r="B196">
        <f t="shared" si="6"/>
        <v>0.57460104264722789</v>
      </c>
      <c r="C196" t="str">
        <f t="shared" si="7"/>
        <v>No</v>
      </c>
    </row>
    <row r="197" spans="1:3" x14ac:dyDescent="0.3">
      <c r="A197">
        <v>22</v>
      </c>
      <c r="B197">
        <f t="shared" si="6"/>
        <v>-0.19402280333169886</v>
      </c>
      <c r="C197" t="str">
        <f t="shared" si="7"/>
        <v>No</v>
      </c>
    </row>
    <row r="198" spans="1:3" x14ac:dyDescent="0.3">
      <c r="A198">
        <v>11</v>
      </c>
      <c r="B198">
        <f t="shared" si="6"/>
        <v>-1.6031665209597314</v>
      </c>
      <c r="C198" t="str">
        <f t="shared" si="7"/>
        <v>No</v>
      </c>
    </row>
    <row r="199" spans="1:3" x14ac:dyDescent="0.3">
      <c r="A199">
        <v>13</v>
      </c>
      <c r="B199">
        <f t="shared" si="6"/>
        <v>-1.346958572300089</v>
      </c>
      <c r="C199" t="str">
        <f t="shared" si="7"/>
        <v>No</v>
      </c>
    </row>
    <row r="200" spans="1:3" x14ac:dyDescent="0.3">
      <c r="A200">
        <v>17</v>
      </c>
      <c r="B200">
        <f t="shared" si="6"/>
        <v>-0.83454267498080459</v>
      </c>
      <c r="C200" t="str">
        <f t="shared" si="7"/>
        <v>No</v>
      </c>
    </row>
    <row r="201" spans="1:3" x14ac:dyDescent="0.3">
      <c r="A201">
        <v>14</v>
      </c>
      <c r="B201">
        <f t="shared" si="6"/>
        <v>-1.2188545979702679</v>
      </c>
      <c r="C201" t="str">
        <f t="shared" si="7"/>
        <v>No</v>
      </c>
    </row>
    <row r="202" spans="1:3" x14ac:dyDescent="0.3">
      <c r="A202">
        <v>13</v>
      </c>
      <c r="B202">
        <f t="shared" si="6"/>
        <v>-1.346958572300089</v>
      </c>
      <c r="C202" t="str">
        <f t="shared" si="7"/>
        <v>No</v>
      </c>
    </row>
    <row r="203" spans="1:3" x14ac:dyDescent="0.3">
      <c r="A203">
        <v>15</v>
      </c>
      <c r="B203">
        <f t="shared" si="6"/>
        <v>-1.0907506236404467</v>
      </c>
      <c r="C203" t="str">
        <f t="shared" si="7"/>
        <v>No</v>
      </c>
    </row>
    <row r="204" spans="1:3" x14ac:dyDescent="0.3">
      <c r="A204">
        <v>14</v>
      </c>
      <c r="B204">
        <f t="shared" si="6"/>
        <v>-1.2188545979702679</v>
      </c>
      <c r="C204" t="str">
        <f t="shared" si="7"/>
        <v>No</v>
      </c>
    </row>
    <row r="205" spans="1:3" x14ac:dyDescent="0.3">
      <c r="A205">
        <v>14</v>
      </c>
      <c r="B205">
        <f t="shared" si="6"/>
        <v>-1.2188545979702679</v>
      </c>
      <c r="C205" t="str">
        <f t="shared" si="7"/>
        <v>No</v>
      </c>
    </row>
    <row r="206" spans="1:3" x14ac:dyDescent="0.3">
      <c r="A206">
        <v>15</v>
      </c>
      <c r="B206">
        <f t="shared" si="6"/>
        <v>-1.0907506236404467</v>
      </c>
      <c r="C206" t="str">
        <f t="shared" si="7"/>
        <v>No</v>
      </c>
    </row>
    <row r="207" spans="1:3" x14ac:dyDescent="0.3">
      <c r="A207">
        <v>12</v>
      </c>
      <c r="B207">
        <f t="shared" si="6"/>
        <v>-1.4750625466299101</v>
      </c>
      <c r="C207" t="str">
        <f t="shared" si="7"/>
        <v>No</v>
      </c>
    </row>
    <row r="208" spans="1:3" x14ac:dyDescent="0.3">
      <c r="A208">
        <v>13</v>
      </c>
      <c r="B208">
        <f t="shared" si="6"/>
        <v>-1.346958572300089</v>
      </c>
      <c r="C208" t="str">
        <f t="shared" si="7"/>
        <v>No</v>
      </c>
    </row>
    <row r="209" spans="1:3" x14ac:dyDescent="0.3">
      <c r="A209">
        <v>13</v>
      </c>
      <c r="B209">
        <f t="shared" si="6"/>
        <v>-1.346958572300089</v>
      </c>
      <c r="C209" t="str">
        <f t="shared" si="7"/>
        <v>No</v>
      </c>
    </row>
    <row r="210" spans="1:3" x14ac:dyDescent="0.3">
      <c r="A210">
        <v>13</v>
      </c>
      <c r="B210">
        <f t="shared" si="6"/>
        <v>-1.346958572300089</v>
      </c>
      <c r="C210" t="str">
        <f t="shared" si="7"/>
        <v>No</v>
      </c>
    </row>
    <row r="211" spans="1:3" x14ac:dyDescent="0.3">
      <c r="A211">
        <v>19</v>
      </c>
      <c r="B211">
        <f t="shared" si="6"/>
        <v>-0.57833472632116223</v>
      </c>
      <c r="C211" t="str">
        <f t="shared" si="7"/>
        <v>No</v>
      </c>
    </row>
    <row r="212" spans="1:3" x14ac:dyDescent="0.3">
      <c r="A212">
        <v>21</v>
      </c>
      <c r="B212">
        <f t="shared" si="6"/>
        <v>-0.32212677766151998</v>
      </c>
      <c r="C212" t="str">
        <f t="shared" si="7"/>
        <v>No</v>
      </c>
    </row>
    <row r="213" spans="1:3" x14ac:dyDescent="0.3">
      <c r="A213">
        <v>21</v>
      </c>
      <c r="B213">
        <f t="shared" si="6"/>
        <v>-0.32212677766151998</v>
      </c>
      <c r="C213" t="str">
        <f t="shared" si="7"/>
        <v>No</v>
      </c>
    </row>
    <row r="214" spans="1:3" x14ac:dyDescent="0.3">
      <c r="A214">
        <v>18</v>
      </c>
      <c r="B214">
        <f t="shared" si="6"/>
        <v>-0.70643870065098335</v>
      </c>
      <c r="C214" t="str">
        <f t="shared" si="7"/>
        <v>No</v>
      </c>
    </row>
    <row r="215" spans="1:3" x14ac:dyDescent="0.3">
      <c r="A215">
        <v>18</v>
      </c>
      <c r="B215">
        <f t="shared" si="6"/>
        <v>-0.70643870065098335</v>
      </c>
      <c r="C215" t="str">
        <f t="shared" si="7"/>
        <v>No</v>
      </c>
    </row>
    <row r="216" spans="1:3" x14ac:dyDescent="0.3">
      <c r="A216">
        <v>18</v>
      </c>
      <c r="B216">
        <f t="shared" si="6"/>
        <v>-0.70643870065098335</v>
      </c>
      <c r="C216" t="str">
        <f t="shared" si="7"/>
        <v>No</v>
      </c>
    </row>
    <row r="217" spans="1:3" x14ac:dyDescent="0.3">
      <c r="A217">
        <v>23</v>
      </c>
      <c r="B217">
        <f t="shared" si="6"/>
        <v>-6.5918829001877732E-2</v>
      </c>
      <c r="C217" t="str">
        <f t="shared" si="7"/>
        <v>No</v>
      </c>
    </row>
    <row r="218" spans="1:3" x14ac:dyDescent="0.3">
      <c r="A218">
        <v>16</v>
      </c>
      <c r="B218">
        <f t="shared" si="6"/>
        <v>-0.96264664931062571</v>
      </c>
      <c r="C218" t="str">
        <f t="shared" si="7"/>
        <v>No</v>
      </c>
    </row>
    <row r="219" spans="1:3" x14ac:dyDescent="0.3">
      <c r="A219">
        <v>18</v>
      </c>
      <c r="B219">
        <f t="shared" si="6"/>
        <v>-0.70643870065098335</v>
      </c>
      <c r="C219" t="str">
        <f t="shared" si="7"/>
        <v>No</v>
      </c>
    </row>
    <row r="220" spans="1:3" x14ac:dyDescent="0.3">
      <c r="A220">
        <v>16</v>
      </c>
      <c r="B220">
        <f t="shared" si="6"/>
        <v>-0.96264664931062571</v>
      </c>
      <c r="C220" t="str">
        <f t="shared" si="7"/>
        <v>No</v>
      </c>
    </row>
    <row r="221" spans="1:3" x14ac:dyDescent="0.3">
      <c r="A221">
        <v>11</v>
      </c>
      <c r="B221">
        <f t="shared" si="6"/>
        <v>-1.6031665209597314</v>
      </c>
      <c r="C221" t="str">
        <f t="shared" si="7"/>
        <v>No</v>
      </c>
    </row>
    <row r="222" spans="1:3" x14ac:dyDescent="0.3">
      <c r="A222">
        <v>13</v>
      </c>
      <c r="B222">
        <f t="shared" si="6"/>
        <v>-1.346958572300089</v>
      </c>
      <c r="C222" t="str">
        <f t="shared" si="7"/>
        <v>No</v>
      </c>
    </row>
    <row r="223" spans="1:3" x14ac:dyDescent="0.3">
      <c r="A223">
        <v>12</v>
      </c>
      <c r="B223">
        <f t="shared" si="6"/>
        <v>-1.4750625466299101</v>
      </c>
      <c r="C223" t="str">
        <f t="shared" si="7"/>
        <v>No</v>
      </c>
    </row>
    <row r="224" spans="1:3" x14ac:dyDescent="0.3">
      <c r="A224">
        <v>13</v>
      </c>
      <c r="B224">
        <f t="shared" si="6"/>
        <v>-1.346958572300089</v>
      </c>
      <c r="C224" t="str">
        <f t="shared" si="7"/>
        <v>No</v>
      </c>
    </row>
    <row r="225" spans="1:3" x14ac:dyDescent="0.3">
      <c r="A225">
        <v>15</v>
      </c>
      <c r="B225">
        <f t="shared" si="6"/>
        <v>-1.0907506236404467</v>
      </c>
      <c r="C225" t="str">
        <f t="shared" si="7"/>
        <v>No</v>
      </c>
    </row>
    <row r="226" spans="1:3" x14ac:dyDescent="0.3">
      <c r="A226">
        <v>13</v>
      </c>
      <c r="B226">
        <f t="shared" si="6"/>
        <v>-1.346958572300089</v>
      </c>
      <c r="C226" t="str">
        <f t="shared" si="7"/>
        <v>No</v>
      </c>
    </row>
    <row r="227" spans="1:3" x14ac:dyDescent="0.3">
      <c r="A227">
        <v>14</v>
      </c>
      <c r="B227">
        <f t="shared" si="6"/>
        <v>-1.2188545979702679</v>
      </c>
      <c r="C227" t="str">
        <f t="shared" si="7"/>
        <v>No</v>
      </c>
    </row>
    <row r="228" spans="1:3" x14ac:dyDescent="0.3">
      <c r="A228">
        <v>12</v>
      </c>
      <c r="B228">
        <f t="shared" si="6"/>
        <v>-1.4750625466299101</v>
      </c>
      <c r="C228" t="str">
        <f t="shared" si="7"/>
        <v>No</v>
      </c>
    </row>
    <row r="229" spans="1:3" x14ac:dyDescent="0.3">
      <c r="A229">
        <v>12</v>
      </c>
      <c r="B229">
        <f t="shared" si="6"/>
        <v>-1.4750625466299101</v>
      </c>
      <c r="C229" t="str">
        <f t="shared" si="7"/>
        <v>No</v>
      </c>
    </row>
    <row r="230" spans="1:3" x14ac:dyDescent="0.3">
      <c r="A230">
        <v>15</v>
      </c>
      <c r="B230">
        <f t="shared" si="6"/>
        <v>-1.0907506236404467</v>
      </c>
      <c r="C230" t="str">
        <f t="shared" si="7"/>
        <v>No</v>
      </c>
    </row>
    <row r="231" spans="1:3" x14ac:dyDescent="0.3">
      <c r="A231">
        <v>13</v>
      </c>
      <c r="B231">
        <f t="shared" si="6"/>
        <v>-1.346958572300089</v>
      </c>
      <c r="C231" t="str">
        <f t="shared" si="7"/>
        <v>No</v>
      </c>
    </row>
    <row r="232" spans="1:3" x14ac:dyDescent="0.3">
      <c r="A232">
        <v>13</v>
      </c>
      <c r="B232">
        <f t="shared" si="6"/>
        <v>-1.346958572300089</v>
      </c>
      <c r="C232" t="str">
        <f t="shared" si="7"/>
        <v>No</v>
      </c>
    </row>
    <row r="233" spans="1:3" x14ac:dyDescent="0.3">
      <c r="A233">
        <v>13</v>
      </c>
      <c r="B233">
        <f t="shared" si="6"/>
        <v>-1.346958572300089</v>
      </c>
      <c r="C233" t="str">
        <f t="shared" si="7"/>
        <v>No</v>
      </c>
    </row>
    <row r="234" spans="1:3" x14ac:dyDescent="0.3">
      <c r="A234">
        <v>15</v>
      </c>
      <c r="B234">
        <f t="shared" si="6"/>
        <v>-1.0907506236404467</v>
      </c>
      <c r="C234" t="str">
        <f t="shared" si="7"/>
        <v>No</v>
      </c>
    </row>
    <row r="235" spans="1:3" x14ac:dyDescent="0.3">
      <c r="A235">
        <v>14</v>
      </c>
      <c r="B235">
        <f t="shared" si="6"/>
        <v>-1.2188545979702679</v>
      </c>
      <c r="C235" t="str">
        <f t="shared" si="7"/>
        <v>No</v>
      </c>
    </row>
    <row r="236" spans="1:3" x14ac:dyDescent="0.3">
      <c r="A236">
        <v>12</v>
      </c>
      <c r="B236">
        <f t="shared" si="6"/>
        <v>-1.4750625466299101</v>
      </c>
      <c r="C236" t="str">
        <f t="shared" si="7"/>
        <v>No</v>
      </c>
    </row>
    <row r="237" spans="1:3" x14ac:dyDescent="0.3">
      <c r="A237">
        <v>14</v>
      </c>
      <c r="B237">
        <f t="shared" si="6"/>
        <v>-1.2188545979702679</v>
      </c>
      <c r="C237" t="str">
        <f t="shared" si="7"/>
        <v>No</v>
      </c>
    </row>
    <row r="238" spans="1:3" x14ac:dyDescent="0.3">
      <c r="A238">
        <v>13</v>
      </c>
      <c r="B238">
        <f t="shared" si="6"/>
        <v>-1.346958572300089</v>
      </c>
      <c r="C238" t="str">
        <f t="shared" si="7"/>
        <v>No</v>
      </c>
    </row>
    <row r="239" spans="1:3" x14ac:dyDescent="0.3">
      <c r="A239">
        <v>11</v>
      </c>
      <c r="B239">
        <f t="shared" si="6"/>
        <v>-1.6031665209597314</v>
      </c>
      <c r="C239" t="str">
        <f t="shared" si="7"/>
        <v>No</v>
      </c>
    </row>
    <row r="240" spans="1:3" x14ac:dyDescent="0.3">
      <c r="A240">
        <v>28</v>
      </c>
      <c r="B240">
        <f t="shared" si="6"/>
        <v>0.57460104264722789</v>
      </c>
      <c r="C240" t="str">
        <f t="shared" si="7"/>
        <v>No</v>
      </c>
    </row>
    <row r="241" spans="1:3" x14ac:dyDescent="0.3">
      <c r="A241">
        <v>26</v>
      </c>
      <c r="B241">
        <f t="shared" si="6"/>
        <v>0.3183930939875857</v>
      </c>
      <c r="C241" t="str">
        <f t="shared" si="7"/>
        <v>No</v>
      </c>
    </row>
    <row r="242" spans="1:3" x14ac:dyDescent="0.3">
      <c r="A242">
        <v>25</v>
      </c>
      <c r="B242">
        <f t="shared" si="6"/>
        <v>0.19028911965776454</v>
      </c>
      <c r="C242" t="str">
        <f t="shared" si="7"/>
        <v>No</v>
      </c>
    </row>
    <row r="243" spans="1:3" x14ac:dyDescent="0.3">
      <c r="A243">
        <v>19</v>
      </c>
      <c r="B243">
        <f t="shared" si="6"/>
        <v>-0.57833472632116223</v>
      </c>
      <c r="C243" t="str">
        <f t="shared" si="7"/>
        <v>No</v>
      </c>
    </row>
    <row r="244" spans="1:3" x14ac:dyDescent="0.3">
      <c r="A244">
        <v>20</v>
      </c>
      <c r="B244">
        <f t="shared" si="6"/>
        <v>-0.45023075199134116</v>
      </c>
      <c r="C244" t="str">
        <f t="shared" si="7"/>
        <v>No</v>
      </c>
    </row>
    <row r="245" spans="1:3" x14ac:dyDescent="0.3">
      <c r="A245">
        <v>16</v>
      </c>
      <c r="B245">
        <f t="shared" si="6"/>
        <v>-0.96264664931062571</v>
      </c>
      <c r="C245" t="str">
        <f t="shared" si="7"/>
        <v>No</v>
      </c>
    </row>
    <row r="246" spans="1:3" x14ac:dyDescent="0.3">
      <c r="A246">
        <v>15</v>
      </c>
      <c r="B246">
        <f t="shared" si="6"/>
        <v>-1.0907506236404467</v>
      </c>
      <c r="C246" t="str">
        <f t="shared" si="7"/>
        <v>No</v>
      </c>
    </row>
    <row r="247" spans="1:3" x14ac:dyDescent="0.3">
      <c r="A247">
        <v>18</v>
      </c>
      <c r="B247">
        <f t="shared" si="6"/>
        <v>-0.70643870065098335</v>
      </c>
      <c r="C247" t="str">
        <f t="shared" si="7"/>
        <v>No</v>
      </c>
    </row>
    <row r="248" spans="1:3" x14ac:dyDescent="0.3">
      <c r="A248">
        <v>16</v>
      </c>
      <c r="B248">
        <f t="shared" si="6"/>
        <v>-0.96264664931062571</v>
      </c>
      <c r="C248" t="str">
        <f t="shared" si="7"/>
        <v>No</v>
      </c>
    </row>
    <row r="249" spans="1:3" x14ac:dyDescent="0.3">
      <c r="A249">
        <v>21</v>
      </c>
      <c r="B249">
        <f t="shared" si="6"/>
        <v>-0.32212677766151998</v>
      </c>
      <c r="C249" t="str">
        <f t="shared" si="7"/>
        <v>No</v>
      </c>
    </row>
    <row r="250" spans="1:3" x14ac:dyDescent="0.3">
      <c r="A250">
        <v>14</v>
      </c>
      <c r="B250">
        <f t="shared" si="6"/>
        <v>-1.2188545979702679</v>
      </c>
      <c r="C250" t="str">
        <f t="shared" si="7"/>
        <v>No</v>
      </c>
    </row>
    <row r="251" spans="1:3" x14ac:dyDescent="0.3">
      <c r="A251">
        <v>16</v>
      </c>
      <c r="B251">
        <f t="shared" si="6"/>
        <v>-0.96264664931062571</v>
      </c>
      <c r="C251" t="str">
        <f t="shared" si="7"/>
        <v>No</v>
      </c>
    </row>
    <row r="252" spans="1:3" x14ac:dyDescent="0.3">
      <c r="A252">
        <v>14</v>
      </c>
      <c r="B252">
        <f t="shared" si="6"/>
        <v>-1.2188545979702679</v>
      </c>
      <c r="C252" t="str">
        <f t="shared" si="7"/>
        <v>No</v>
      </c>
    </row>
    <row r="253" spans="1:3" x14ac:dyDescent="0.3">
      <c r="A253">
        <v>13</v>
      </c>
      <c r="B253">
        <f t="shared" si="6"/>
        <v>-1.346958572300089</v>
      </c>
      <c r="C253" t="str">
        <f t="shared" si="7"/>
        <v>No</v>
      </c>
    </row>
    <row r="254" spans="1:3" x14ac:dyDescent="0.3">
      <c r="A254">
        <v>14</v>
      </c>
      <c r="B254">
        <f t="shared" si="6"/>
        <v>-1.2188545979702679</v>
      </c>
      <c r="C254" t="str">
        <f t="shared" si="7"/>
        <v>No</v>
      </c>
    </row>
    <row r="255" spans="1:3" x14ac:dyDescent="0.3">
      <c r="A255">
        <v>23</v>
      </c>
      <c r="B255">
        <f t="shared" si="6"/>
        <v>-6.5918829001877732E-2</v>
      </c>
      <c r="C255" t="str">
        <f t="shared" si="7"/>
        <v>No</v>
      </c>
    </row>
    <row r="256" spans="1:3" x14ac:dyDescent="0.3">
      <c r="A256">
        <v>23</v>
      </c>
      <c r="B256">
        <f t="shared" si="6"/>
        <v>-6.5918829001877732E-2</v>
      </c>
      <c r="C256" t="str">
        <f t="shared" si="7"/>
        <v>No</v>
      </c>
    </row>
    <row r="257" spans="1:3" x14ac:dyDescent="0.3">
      <c r="A257">
        <v>21</v>
      </c>
      <c r="B257">
        <f t="shared" si="6"/>
        <v>-0.32212677766151998</v>
      </c>
      <c r="C257" t="str">
        <f t="shared" si="7"/>
        <v>No</v>
      </c>
    </row>
    <row r="258" spans="1:3" x14ac:dyDescent="0.3">
      <c r="A258">
        <v>20</v>
      </c>
      <c r="B258">
        <f t="shared" si="6"/>
        <v>-0.45023075199134116</v>
      </c>
      <c r="C258" t="str">
        <f t="shared" si="7"/>
        <v>No</v>
      </c>
    </row>
    <row r="259" spans="1:3" x14ac:dyDescent="0.3">
      <c r="A259">
        <v>18</v>
      </c>
      <c r="B259">
        <f t="shared" ref="B259:B322" si="8">IFERROR((A259-$P$3) / $R$3, "")</f>
        <v>-0.70643870065098335</v>
      </c>
      <c r="C259" t="str">
        <f t="shared" ref="C259:C322" si="9">IF(ABS(B259)&gt;2,"Yes","No")</f>
        <v>No</v>
      </c>
    </row>
    <row r="260" spans="1:3" x14ac:dyDescent="0.3">
      <c r="A260">
        <v>18</v>
      </c>
      <c r="B260">
        <f t="shared" si="8"/>
        <v>-0.70643870065098335</v>
      </c>
      <c r="C260" t="str">
        <f t="shared" si="9"/>
        <v>No</v>
      </c>
    </row>
    <row r="261" spans="1:3" x14ac:dyDescent="0.3">
      <c r="A261">
        <v>15</v>
      </c>
      <c r="B261">
        <f t="shared" si="8"/>
        <v>-1.0907506236404467</v>
      </c>
      <c r="C261" t="str">
        <f t="shared" si="9"/>
        <v>No</v>
      </c>
    </row>
    <row r="262" spans="1:3" x14ac:dyDescent="0.3">
      <c r="A262">
        <v>19</v>
      </c>
      <c r="B262">
        <f t="shared" si="8"/>
        <v>-0.57833472632116223</v>
      </c>
      <c r="C262" t="str">
        <f t="shared" si="9"/>
        <v>No</v>
      </c>
    </row>
    <row r="263" spans="1:3" x14ac:dyDescent="0.3">
      <c r="A263">
        <v>17</v>
      </c>
      <c r="B263">
        <f t="shared" si="8"/>
        <v>-0.83454267498080459</v>
      </c>
      <c r="C263" t="str">
        <f t="shared" si="9"/>
        <v>No</v>
      </c>
    </row>
    <row r="264" spans="1:3" x14ac:dyDescent="0.3">
      <c r="A264">
        <v>19</v>
      </c>
      <c r="B264">
        <f t="shared" si="8"/>
        <v>-0.57833472632116223</v>
      </c>
      <c r="C264" t="str">
        <f t="shared" si="9"/>
        <v>No</v>
      </c>
    </row>
    <row r="265" spans="1:3" x14ac:dyDescent="0.3">
      <c r="A265">
        <v>16</v>
      </c>
      <c r="B265">
        <f t="shared" si="8"/>
        <v>-0.96264664931062571</v>
      </c>
      <c r="C265" t="str">
        <f t="shared" si="9"/>
        <v>No</v>
      </c>
    </row>
    <row r="266" spans="1:3" x14ac:dyDescent="0.3">
      <c r="A266">
        <v>18</v>
      </c>
      <c r="B266">
        <f t="shared" si="8"/>
        <v>-0.70643870065098335</v>
      </c>
      <c r="C266" t="str">
        <f t="shared" si="9"/>
        <v>No</v>
      </c>
    </row>
    <row r="267" spans="1:3" x14ac:dyDescent="0.3">
      <c r="A267">
        <v>15</v>
      </c>
      <c r="B267">
        <f t="shared" si="8"/>
        <v>-1.0907506236404467</v>
      </c>
      <c r="C267" t="str">
        <f t="shared" si="9"/>
        <v>No</v>
      </c>
    </row>
    <row r="268" spans="1:3" x14ac:dyDescent="0.3">
      <c r="A268">
        <v>15</v>
      </c>
      <c r="B268">
        <f t="shared" si="8"/>
        <v>-1.0907506236404467</v>
      </c>
      <c r="C268" t="str">
        <f t="shared" si="9"/>
        <v>No</v>
      </c>
    </row>
    <row r="269" spans="1:3" x14ac:dyDescent="0.3">
      <c r="A269">
        <v>13</v>
      </c>
      <c r="B269">
        <f t="shared" si="8"/>
        <v>-1.346958572300089</v>
      </c>
      <c r="C269" t="str">
        <f t="shared" si="9"/>
        <v>No</v>
      </c>
    </row>
    <row r="270" spans="1:3" x14ac:dyDescent="0.3">
      <c r="A270">
        <v>16</v>
      </c>
      <c r="B270">
        <f t="shared" si="8"/>
        <v>-0.96264664931062571</v>
      </c>
      <c r="C270" t="str">
        <f t="shared" si="9"/>
        <v>No</v>
      </c>
    </row>
    <row r="271" spans="1:3" x14ac:dyDescent="0.3">
      <c r="A271">
        <v>20</v>
      </c>
      <c r="B271">
        <f t="shared" si="8"/>
        <v>-0.45023075199134116</v>
      </c>
      <c r="C271" t="str">
        <f t="shared" si="9"/>
        <v>No</v>
      </c>
    </row>
    <row r="272" spans="1:3" x14ac:dyDescent="0.3">
      <c r="A272">
        <v>16</v>
      </c>
      <c r="B272">
        <f t="shared" si="8"/>
        <v>-0.96264664931062571</v>
      </c>
      <c r="C272" t="str">
        <f t="shared" si="9"/>
        <v>No</v>
      </c>
    </row>
    <row r="273" spans="1:3" x14ac:dyDescent="0.3">
      <c r="A273">
        <v>15</v>
      </c>
      <c r="B273">
        <f t="shared" si="8"/>
        <v>-1.0907506236404467</v>
      </c>
      <c r="C273" t="str">
        <f t="shared" si="9"/>
        <v>No</v>
      </c>
    </row>
    <row r="274" spans="1:3" x14ac:dyDescent="0.3">
      <c r="A274">
        <v>14</v>
      </c>
      <c r="B274">
        <f t="shared" si="8"/>
        <v>-1.2188545979702679</v>
      </c>
      <c r="C274" t="str">
        <f t="shared" si="9"/>
        <v>No</v>
      </c>
    </row>
    <row r="275" spans="1:3" x14ac:dyDescent="0.3">
      <c r="A275">
        <v>25</v>
      </c>
      <c r="B275">
        <f t="shared" si="8"/>
        <v>0.19028911965776454</v>
      </c>
      <c r="C275" t="str">
        <f t="shared" si="9"/>
        <v>No</v>
      </c>
    </row>
    <row r="276" spans="1:3" x14ac:dyDescent="0.3">
      <c r="A276">
        <v>26</v>
      </c>
      <c r="B276">
        <f t="shared" si="8"/>
        <v>0.3183930939875857</v>
      </c>
      <c r="C276" t="str">
        <f t="shared" si="9"/>
        <v>No</v>
      </c>
    </row>
    <row r="277" spans="1:3" x14ac:dyDescent="0.3">
      <c r="A277">
        <v>26.5</v>
      </c>
      <c r="B277">
        <f t="shared" si="8"/>
        <v>0.38244508115249626</v>
      </c>
      <c r="C277" t="str">
        <f t="shared" si="9"/>
        <v>No</v>
      </c>
    </row>
    <row r="278" spans="1:3" x14ac:dyDescent="0.3">
      <c r="A278">
        <v>24.5</v>
      </c>
      <c r="B278">
        <f t="shared" si="8"/>
        <v>0.12623713249285398</v>
      </c>
      <c r="C278" t="str">
        <f t="shared" si="9"/>
        <v>No</v>
      </c>
    </row>
    <row r="279" spans="1:3" x14ac:dyDescent="0.3">
      <c r="A279">
        <v>29</v>
      </c>
      <c r="B279">
        <f t="shared" si="8"/>
        <v>0.70270501697704912</v>
      </c>
      <c r="C279" t="str">
        <f t="shared" si="9"/>
        <v>No</v>
      </c>
    </row>
    <row r="280" spans="1:3" x14ac:dyDescent="0.3">
      <c r="A280">
        <v>22</v>
      </c>
      <c r="B280">
        <f t="shared" si="8"/>
        <v>-0.19402280333169886</v>
      </c>
      <c r="C280" t="str">
        <f t="shared" si="9"/>
        <v>No</v>
      </c>
    </row>
    <row r="281" spans="1:3" x14ac:dyDescent="0.3">
      <c r="A281">
        <v>22</v>
      </c>
      <c r="B281">
        <f t="shared" si="8"/>
        <v>-0.19402280333169886</v>
      </c>
      <c r="C281" t="str">
        <f t="shared" si="9"/>
        <v>No</v>
      </c>
    </row>
    <row r="282" spans="1:3" x14ac:dyDescent="0.3">
      <c r="A282">
        <v>18.5</v>
      </c>
      <c r="B282">
        <f t="shared" si="8"/>
        <v>-0.64238671348607279</v>
      </c>
      <c r="C282" t="str">
        <f t="shared" si="9"/>
        <v>No</v>
      </c>
    </row>
    <row r="283" spans="1:3" x14ac:dyDescent="0.3">
      <c r="A283">
        <v>17.5</v>
      </c>
      <c r="B283">
        <f t="shared" si="8"/>
        <v>-0.77049068781589392</v>
      </c>
      <c r="C283" t="str">
        <f t="shared" si="9"/>
        <v>No</v>
      </c>
    </row>
    <row r="284" spans="1:3" x14ac:dyDescent="0.3">
      <c r="A284">
        <v>22.5</v>
      </c>
      <c r="B284">
        <f t="shared" si="8"/>
        <v>-0.12997081616678829</v>
      </c>
      <c r="C284" t="str">
        <f t="shared" si="9"/>
        <v>No</v>
      </c>
    </row>
    <row r="285" spans="1:3" x14ac:dyDescent="0.3">
      <c r="A285">
        <v>20</v>
      </c>
      <c r="B285">
        <f t="shared" si="8"/>
        <v>-0.45023075199134116</v>
      </c>
      <c r="C285" t="str">
        <f t="shared" si="9"/>
        <v>No</v>
      </c>
    </row>
    <row r="286" spans="1:3" x14ac:dyDescent="0.3">
      <c r="A286">
        <v>24</v>
      </c>
      <c r="B286">
        <f t="shared" si="8"/>
        <v>6.2185145327943406E-2</v>
      </c>
      <c r="C286" t="str">
        <f t="shared" si="9"/>
        <v>No</v>
      </c>
    </row>
    <row r="287" spans="1:3" x14ac:dyDescent="0.3">
      <c r="A287">
        <v>18</v>
      </c>
      <c r="B287">
        <f t="shared" si="8"/>
        <v>-0.70643870065098335</v>
      </c>
      <c r="C287" t="str">
        <f t="shared" si="9"/>
        <v>No</v>
      </c>
    </row>
    <row r="288" spans="1:3" x14ac:dyDescent="0.3">
      <c r="A288">
        <v>16.5</v>
      </c>
      <c r="B288">
        <f t="shared" si="8"/>
        <v>-0.89859466214571515</v>
      </c>
      <c r="C288" t="str">
        <f t="shared" si="9"/>
        <v>No</v>
      </c>
    </row>
    <row r="289" spans="1:3" x14ac:dyDescent="0.3">
      <c r="A289">
        <v>13</v>
      </c>
      <c r="B289">
        <f t="shared" si="8"/>
        <v>-1.346958572300089</v>
      </c>
      <c r="C289" t="str">
        <f t="shared" si="9"/>
        <v>No</v>
      </c>
    </row>
    <row r="290" spans="1:3" x14ac:dyDescent="0.3">
      <c r="A290">
        <v>13</v>
      </c>
      <c r="B290">
        <f t="shared" si="8"/>
        <v>-1.346958572300089</v>
      </c>
      <c r="C290" t="str">
        <f t="shared" si="9"/>
        <v>No</v>
      </c>
    </row>
    <row r="291" spans="1:3" x14ac:dyDescent="0.3">
      <c r="A291">
        <v>14.5</v>
      </c>
      <c r="B291">
        <f t="shared" si="8"/>
        <v>-1.1548026108053573</v>
      </c>
      <c r="C291" t="str">
        <f t="shared" si="9"/>
        <v>No</v>
      </c>
    </row>
    <row r="292" spans="1:3" x14ac:dyDescent="0.3">
      <c r="A292">
        <v>13</v>
      </c>
      <c r="B292">
        <f t="shared" si="8"/>
        <v>-1.346958572300089</v>
      </c>
      <c r="C292" t="str">
        <f t="shared" si="9"/>
        <v>No</v>
      </c>
    </row>
    <row r="293" spans="1:3" x14ac:dyDescent="0.3">
      <c r="A293">
        <v>16</v>
      </c>
      <c r="B293">
        <f t="shared" si="8"/>
        <v>-0.96264664931062571</v>
      </c>
      <c r="C293" t="str">
        <f t="shared" si="9"/>
        <v>No</v>
      </c>
    </row>
    <row r="294" spans="1:3" x14ac:dyDescent="0.3">
      <c r="A294">
        <v>13</v>
      </c>
      <c r="B294">
        <f t="shared" si="8"/>
        <v>-1.346958572300089</v>
      </c>
      <c r="C294" t="str">
        <f t="shared" si="9"/>
        <v>No</v>
      </c>
    </row>
    <row r="295" spans="1:3" x14ac:dyDescent="0.3">
      <c r="A295">
        <v>17.5</v>
      </c>
      <c r="B295">
        <f t="shared" si="8"/>
        <v>-0.77049068781589392</v>
      </c>
      <c r="C295" t="str">
        <f t="shared" si="9"/>
        <v>No</v>
      </c>
    </row>
    <row r="296" spans="1:3" x14ac:dyDescent="0.3">
      <c r="A296">
        <v>15.5</v>
      </c>
      <c r="B296">
        <f t="shared" si="8"/>
        <v>-1.0266986364755362</v>
      </c>
      <c r="C296" t="str">
        <f t="shared" si="9"/>
        <v>No</v>
      </c>
    </row>
    <row r="297" spans="1:3" x14ac:dyDescent="0.3">
      <c r="A297">
        <v>25.5</v>
      </c>
      <c r="B297">
        <f t="shared" si="8"/>
        <v>0.25434110682267508</v>
      </c>
      <c r="C297" t="str">
        <f t="shared" si="9"/>
        <v>No</v>
      </c>
    </row>
    <row r="298" spans="1:3" x14ac:dyDescent="0.3">
      <c r="A298">
        <v>33.5</v>
      </c>
      <c r="B298">
        <f t="shared" si="8"/>
        <v>1.2791729014612441</v>
      </c>
      <c r="C298" t="str">
        <f t="shared" si="9"/>
        <v>No</v>
      </c>
    </row>
    <row r="299" spans="1:3" x14ac:dyDescent="0.3">
      <c r="A299">
        <v>30</v>
      </c>
      <c r="B299">
        <f t="shared" si="8"/>
        <v>0.83080899130687025</v>
      </c>
      <c r="C299" t="str">
        <f t="shared" si="9"/>
        <v>No</v>
      </c>
    </row>
    <row r="300" spans="1:3" x14ac:dyDescent="0.3">
      <c r="A300">
        <v>25.5</v>
      </c>
      <c r="B300">
        <f t="shared" si="8"/>
        <v>0.25434110682267508</v>
      </c>
      <c r="C300" t="str">
        <f t="shared" si="9"/>
        <v>No</v>
      </c>
    </row>
    <row r="301" spans="1:3" x14ac:dyDescent="0.3">
      <c r="A301">
        <v>24.5</v>
      </c>
      <c r="B301">
        <f t="shared" si="8"/>
        <v>0.12623713249285398</v>
      </c>
      <c r="C301" t="str">
        <f t="shared" si="9"/>
        <v>No</v>
      </c>
    </row>
    <row r="302" spans="1:3" x14ac:dyDescent="0.3">
      <c r="A302">
        <v>30.5</v>
      </c>
      <c r="B302">
        <f t="shared" si="8"/>
        <v>0.89486097847178081</v>
      </c>
      <c r="C302" t="str">
        <f t="shared" si="9"/>
        <v>No</v>
      </c>
    </row>
    <row r="303" spans="1:3" x14ac:dyDescent="0.3">
      <c r="A303">
        <v>17.5</v>
      </c>
      <c r="B303">
        <f t="shared" si="8"/>
        <v>-0.77049068781589392</v>
      </c>
      <c r="C303" t="str">
        <f t="shared" si="9"/>
        <v>No</v>
      </c>
    </row>
    <row r="304" spans="1:3" x14ac:dyDescent="0.3">
      <c r="A304">
        <v>20.5</v>
      </c>
      <c r="B304">
        <f t="shared" si="8"/>
        <v>-0.38617876482643054</v>
      </c>
      <c r="C304" t="str">
        <f t="shared" si="9"/>
        <v>No</v>
      </c>
    </row>
    <row r="305" spans="1:3" x14ac:dyDescent="0.3">
      <c r="A305">
        <v>18.5</v>
      </c>
      <c r="B305">
        <f t="shared" si="8"/>
        <v>-0.64238671348607279</v>
      </c>
      <c r="C305" t="str">
        <f t="shared" si="9"/>
        <v>No</v>
      </c>
    </row>
    <row r="306" spans="1:3" x14ac:dyDescent="0.3">
      <c r="A306">
        <v>19</v>
      </c>
      <c r="B306">
        <f t="shared" si="8"/>
        <v>-0.57833472632116223</v>
      </c>
      <c r="C306" t="str">
        <f t="shared" si="9"/>
        <v>No</v>
      </c>
    </row>
    <row r="307" spans="1:3" x14ac:dyDescent="0.3">
      <c r="A307">
        <v>15.5</v>
      </c>
      <c r="B307">
        <f t="shared" si="8"/>
        <v>-1.0266986364755362</v>
      </c>
      <c r="C307" t="str">
        <f t="shared" si="9"/>
        <v>No</v>
      </c>
    </row>
    <row r="308" spans="1:3" x14ac:dyDescent="0.3">
      <c r="A308">
        <v>16</v>
      </c>
      <c r="B308">
        <f t="shared" si="8"/>
        <v>-0.96264664931062571</v>
      </c>
      <c r="C308" t="str">
        <f t="shared" si="9"/>
        <v>No</v>
      </c>
    </row>
    <row r="309" spans="1:3" x14ac:dyDescent="0.3">
      <c r="A309">
        <v>15.5</v>
      </c>
      <c r="B309">
        <f t="shared" si="8"/>
        <v>-1.0266986364755362</v>
      </c>
      <c r="C309" t="str">
        <f t="shared" si="9"/>
        <v>No</v>
      </c>
    </row>
    <row r="310" spans="1:3" x14ac:dyDescent="0.3">
      <c r="A310">
        <v>17.5</v>
      </c>
      <c r="B310">
        <f t="shared" si="8"/>
        <v>-0.77049068781589392</v>
      </c>
      <c r="C310" t="str">
        <f t="shared" si="9"/>
        <v>No</v>
      </c>
    </row>
    <row r="311" spans="1:3" x14ac:dyDescent="0.3">
      <c r="A311">
        <v>15.5</v>
      </c>
      <c r="B311">
        <f t="shared" si="8"/>
        <v>-1.0266986364755362</v>
      </c>
      <c r="C311" t="str">
        <f t="shared" si="9"/>
        <v>No</v>
      </c>
    </row>
    <row r="312" spans="1:3" x14ac:dyDescent="0.3">
      <c r="A312">
        <v>16</v>
      </c>
      <c r="B312">
        <f t="shared" si="8"/>
        <v>-0.96264664931062571</v>
      </c>
      <c r="C312" t="str">
        <f t="shared" si="9"/>
        <v>No</v>
      </c>
    </row>
    <row r="313" spans="1:3" x14ac:dyDescent="0.3">
      <c r="A313">
        <v>15</v>
      </c>
      <c r="B313">
        <f t="shared" si="8"/>
        <v>-1.0907506236404467</v>
      </c>
      <c r="C313" t="str">
        <f t="shared" si="9"/>
        <v>No</v>
      </c>
    </row>
    <row r="314" spans="1:3" x14ac:dyDescent="0.3">
      <c r="A314">
        <v>17</v>
      </c>
      <c r="B314">
        <f t="shared" si="8"/>
        <v>-0.83454267498080459</v>
      </c>
      <c r="C314" t="str">
        <f t="shared" si="9"/>
        <v>No</v>
      </c>
    </row>
    <row r="315" spans="1:3" x14ac:dyDescent="0.3">
      <c r="A315">
        <v>23.2</v>
      </c>
      <c r="B315">
        <f t="shared" si="8"/>
        <v>-4.0298034135913596E-2</v>
      </c>
      <c r="C315" t="str">
        <f t="shared" si="9"/>
        <v>No</v>
      </c>
    </row>
    <row r="316" spans="1:3" x14ac:dyDescent="0.3">
      <c r="A316">
        <v>36.1</v>
      </c>
      <c r="B316">
        <f t="shared" si="8"/>
        <v>1.6122432347187794</v>
      </c>
      <c r="C316" t="str">
        <f t="shared" si="9"/>
        <v>No</v>
      </c>
    </row>
    <row r="317" spans="1:3" x14ac:dyDescent="0.3">
      <c r="A317">
        <v>30.9</v>
      </c>
      <c r="B317">
        <f t="shared" si="8"/>
        <v>0.94610256820370908</v>
      </c>
      <c r="C317" t="str">
        <f t="shared" si="9"/>
        <v>No</v>
      </c>
    </row>
    <row r="318" spans="1:3" x14ac:dyDescent="0.3">
      <c r="A318">
        <v>25.1</v>
      </c>
      <c r="B318">
        <f t="shared" si="8"/>
        <v>0.20309951709074683</v>
      </c>
      <c r="C318" t="str">
        <f t="shared" si="9"/>
        <v>No</v>
      </c>
    </row>
    <row r="319" spans="1:3" x14ac:dyDescent="0.3">
      <c r="A319">
        <v>30</v>
      </c>
      <c r="B319">
        <f t="shared" si="8"/>
        <v>0.83080899130687025</v>
      </c>
      <c r="C319" t="str">
        <f t="shared" si="9"/>
        <v>No</v>
      </c>
    </row>
    <row r="320" spans="1:3" x14ac:dyDescent="0.3">
      <c r="A320">
        <v>23.8</v>
      </c>
      <c r="B320">
        <f t="shared" si="8"/>
        <v>3.656435046197927E-2</v>
      </c>
      <c r="C320" t="str">
        <f t="shared" si="9"/>
        <v>No</v>
      </c>
    </row>
    <row r="321" spans="1:3" x14ac:dyDescent="0.3">
      <c r="A321">
        <v>17.7</v>
      </c>
      <c r="B321">
        <f t="shared" si="8"/>
        <v>-0.74486989294992978</v>
      </c>
      <c r="C321" t="str">
        <f t="shared" si="9"/>
        <v>No</v>
      </c>
    </row>
    <row r="322" spans="1:3" x14ac:dyDescent="0.3">
      <c r="A322">
        <v>18.100000000000001</v>
      </c>
      <c r="B322">
        <f t="shared" si="8"/>
        <v>-0.69362830321800106</v>
      </c>
      <c r="C322" t="str">
        <f t="shared" si="9"/>
        <v>No</v>
      </c>
    </row>
    <row r="323" spans="1:3" x14ac:dyDescent="0.3">
      <c r="A323">
        <v>20.6</v>
      </c>
      <c r="B323">
        <f t="shared" ref="B323:B386" si="10">IFERROR((A323-$P$3) / $R$3, "")</f>
        <v>-0.37336836739344825</v>
      </c>
      <c r="C323" t="str">
        <f t="shared" ref="C323:C386" si="11">IF(ABS(B323)&gt;2,"Yes","No")</f>
        <v>No</v>
      </c>
    </row>
    <row r="324" spans="1:3" x14ac:dyDescent="0.3">
      <c r="A324">
        <v>18.600000000000001</v>
      </c>
      <c r="B324">
        <f t="shared" si="10"/>
        <v>-0.6295763160530905</v>
      </c>
      <c r="C324" t="str">
        <f t="shared" si="11"/>
        <v>No</v>
      </c>
    </row>
    <row r="325" spans="1:3" x14ac:dyDescent="0.3">
      <c r="A325">
        <v>20.5</v>
      </c>
      <c r="B325">
        <f t="shared" si="10"/>
        <v>-0.38617876482643054</v>
      </c>
      <c r="C325" t="str">
        <f t="shared" si="11"/>
        <v>No</v>
      </c>
    </row>
    <row r="326" spans="1:3" x14ac:dyDescent="0.3">
      <c r="A326">
        <v>19.2</v>
      </c>
      <c r="B326">
        <f t="shared" si="10"/>
        <v>-0.55271393145519809</v>
      </c>
      <c r="C326" t="str">
        <f t="shared" si="11"/>
        <v>No</v>
      </c>
    </row>
    <row r="327" spans="1:3" x14ac:dyDescent="0.3">
      <c r="A327">
        <v>20.5</v>
      </c>
      <c r="B327">
        <f t="shared" si="10"/>
        <v>-0.38617876482643054</v>
      </c>
      <c r="C327" t="str">
        <f t="shared" si="11"/>
        <v>No</v>
      </c>
    </row>
    <row r="328" spans="1:3" x14ac:dyDescent="0.3">
      <c r="A328">
        <v>20.2</v>
      </c>
      <c r="B328">
        <f t="shared" si="10"/>
        <v>-0.42460995712537702</v>
      </c>
      <c r="C328" t="str">
        <f t="shared" si="11"/>
        <v>No</v>
      </c>
    </row>
    <row r="329" spans="1:3" x14ac:dyDescent="0.3">
      <c r="A329">
        <v>19.399999999999999</v>
      </c>
      <c r="B329">
        <f t="shared" si="10"/>
        <v>-0.52709313658923396</v>
      </c>
      <c r="C329" t="str">
        <f t="shared" si="11"/>
        <v>No</v>
      </c>
    </row>
    <row r="330" spans="1:3" x14ac:dyDescent="0.3">
      <c r="A330">
        <v>20.8</v>
      </c>
      <c r="B330">
        <f t="shared" si="10"/>
        <v>-0.34774757252748412</v>
      </c>
      <c r="C330" t="str">
        <f t="shared" si="11"/>
        <v>No</v>
      </c>
    </row>
    <row r="331" spans="1:3" x14ac:dyDescent="0.3">
      <c r="A331">
        <v>18.100000000000001</v>
      </c>
      <c r="B331">
        <f t="shared" si="10"/>
        <v>-0.69362830321800106</v>
      </c>
      <c r="C331" t="str">
        <f t="shared" si="11"/>
        <v>No</v>
      </c>
    </row>
    <row r="332" spans="1:3" x14ac:dyDescent="0.3">
      <c r="A332">
        <v>19.2</v>
      </c>
      <c r="B332">
        <f t="shared" si="10"/>
        <v>-0.55271393145519809</v>
      </c>
      <c r="C332" t="str">
        <f t="shared" si="11"/>
        <v>No</v>
      </c>
    </row>
    <row r="333" spans="1:3" x14ac:dyDescent="0.3">
      <c r="A333">
        <v>20.2</v>
      </c>
      <c r="B333">
        <f t="shared" si="10"/>
        <v>-0.42460995712537702</v>
      </c>
      <c r="C333" t="str">
        <f t="shared" si="11"/>
        <v>No</v>
      </c>
    </row>
    <row r="334" spans="1:3" x14ac:dyDescent="0.3">
      <c r="A334">
        <v>19.399999999999999</v>
      </c>
      <c r="B334">
        <f t="shared" si="10"/>
        <v>-0.52709313658923396</v>
      </c>
      <c r="C334" t="str">
        <f t="shared" si="11"/>
        <v>No</v>
      </c>
    </row>
    <row r="335" spans="1:3" x14ac:dyDescent="0.3">
      <c r="A335">
        <v>17.5</v>
      </c>
      <c r="B335">
        <f t="shared" si="10"/>
        <v>-0.77049068781589392</v>
      </c>
      <c r="C335" t="str">
        <f t="shared" si="11"/>
        <v>No</v>
      </c>
    </row>
    <row r="336" spans="1:3" x14ac:dyDescent="0.3">
      <c r="A336">
        <v>19.899999999999999</v>
      </c>
      <c r="B336">
        <f t="shared" si="10"/>
        <v>-0.46304114942432345</v>
      </c>
      <c r="C336" t="str">
        <f t="shared" si="11"/>
        <v>No</v>
      </c>
    </row>
    <row r="337" spans="1:3" x14ac:dyDescent="0.3">
      <c r="A337">
        <v>35.700000000000003</v>
      </c>
      <c r="B337">
        <f t="shared" si="10"/>
        <v>1.5610016449868511</v>
      </c>
      <c r="C337" t="str">
        <f t="shared" si="11"/>
        <v>No</v>
      </c>
    </row>
    <row r="338" spans="1:3" x14ac:dyDescent="0.3">
      <c r="A338">
        <v>33.5</v>
      </c>
      <c r="B338">
        <f t="shared" si="10"/>
        <v>1.2791729014612441</v>
      </c>
      <c r="C338" t="str">
        <f t="shared" si="11"/>
        <v>No</v>
      </c>
    </row>
    <row r="339" spans="1:3" x14ac:dyDescent="0.3">
      <c r="A339">
        <v>28.4</v>
      </c>
      <c r="B339">
        <f t="shared" si="10"/>
        <v>0.62584263237915616</v>
      </c>
      <c r="C339" t="str">
        <f t="shared" si="11"/>
        <v>No</v>
      </c>
    </row>
    <row r="340" spans="1:3" x14ac:dyDescent="0.3">
      <c r="A340">
        <v>34.5</v>
      </c>
      <c r="B340">
        <f t="shared" si="10"/>
        <v>1.4072768757910654</v>
      </c>
      <c r="C340" t="str">
        <f t="shared" si="11"/>
        <v>No</v>
      </c>
    </row>
    <row r="341" spans="1:3" x14ac:dyDescent="0.3">
      <c r="A341">
        <v>34.200000000000003</v>
      </c>
      <c r="B341">
        <f t="shared" si="10"/>
        <v>1.3688456834921194</v>
      </c>
      <c r="C341" t="str">
        <f t="shared" si="11"/>
        <v>No</v>
      </c>
    </row>
    <row r="342" spans="1:3" x14ac:dyDescent="0.3">
      <c r="A342">
        <v>22.3</v>
      </c>
      <c r="B342">
        <f t="shared" si="10"/>
        <v>-0.15559161103275243</v>
      </c>
      <c r="C342" t="str">
        <f t="shared" si="11"/>
        <v>No</v>
      </c>
    </row>
    <row r="343" spans="1:3" x14ac:dyDescent="0.3">
      <c r="A343">
        <v>27.4</v>
      </c>
      <c r="B343">
        <f t="shared" si="10"/>
        <v>0.49773865804933509</v>
      </c>
      <c r="C343" t="str">
        <f t="shared" si="11"/>
        <v>No</v>
      </c>
    </row>
    <row r="344" spans="1:3" x14ac:dyDescent="0.3">
      <c r="A344">
        <v>28.8</v>
      </c>
      <c r="B344">
        <f t="shared" si="10"/>
        <v>0.67708422211108499</v>
      </c>
      <c r="C344" t="str">
        <f t="shared" si="11"/>
        <v>No</v>
      </c>
    </row>
    <row r="345" spans="1:3" x14ac:dyDescent="0.3">
      <c r="A345">
        <v>26.8</v>
      </c>
      <c r="B345">
        <f t="shared" si="10"/>
        <v>0.42087627345144268</v>
      </c>
      <c r="C345" t="str">
        <f t="shared" si="11"/>
        <v>No</v>
      </c>
    </row>
    <row r="346" spans="1:3" x14ac:dyDescent="0.3">
      <c r="A346">
        <v>21.5</v>
      </c>
      <c r="B346">
        <f t="shared" si="10"/>
        <v>-0.25807479049660942</v>
      </c>
      <c r="C346" t="str">
        <f t="shared" si="11"/>
        <v>No</v>
      </c>
    </row>
    <row r="347" spans="1:3" x14ac:dyDescent="0.3">
      <c r="A347">
        <v>20.6</v>
      </c>
      <c r="B347">
        <f t="shared" si="10"/>
        <v>-0.37336836739344825</v>
      </c>
      <c r="C347" t="str">
        <f t="shared" si="11"/>
        <v>No</v>
      </c>
    </row>
    <row r="348" spans="1:3" x14ac:dyDescent="0.3">
      <c r="A348">
        <v>19.8</v>
      </c>
      <c r="B348">
        <f t="shared" si="10"/>
        <v>-0.4758515468573053</v>
      </c>
      <c r="C348" t="str">
        <f t="shared" si="11"/>
        <v>No</v>
      </c>
    </row>
    <row r="349" spans="1:3" x14ac:dyDescent="0.3">
      <c r="A349">
        <v>20.2</v>
      </c>
      <c r="B349">
        <f t="shared" si="10"/>
        <v>-0.42460995712537702</v>
      </c>
      <c r="C349" t="str">
        <f t="shared" si="11"/>
        <v>No</v>
      </c>
    </row>
    <row r="350" spans="1:3" x14ac:dyDescent="0.3">
      <c r="A350">
        <v>18.5</v>
      </c>
      <c r="B350">
        <f t="shared" si="10"/>
        <v>-0.64238671348607279</v>
      </c>
      <c r="C350" t="str">
        <f t="shared" si="11"/>
        <v>No</v>
      </c>
    </row>
    <row r="351" spans="1:3" x14ac:dyDescent="0.3">
      <c r="A351">
        <v>16.899999999999999</v>
      </c>
      <c r="B351">
        <f t="shared" si="10"/>
        <v>-0.84735307241378688</v>
      </c>
      <c r="C351" t="str">
        <f t="shared" si="11"/>
        <v>No</v>
      </c>
    </row>
    <row r="352" spans="1:3" x14ac:dyDescent="0.3">
      <c r="A352">
        <v>18.2</v>
      </c>
      <c r="B352">
        <f t="shared" si="10"/>
        <v>-0.68081790578501922</v>
      </c>
      <c r="C352" t="str">
        <f t="shared" si="11"/>
        <v>No</v>
      </c>
    </row>
    <row r="353" spans="1:3" x14ac:dyDescent="0.3">
      <c r="A353">
        <v>15.5</v>
      </c>
      <c r="B353">
        <f t="shared" si="10"/>
        <v>-1.0266986364755362</v>
      </c>
      <c r="C353" t="str">
        <f t="shared" si="11"/>
        <v>No</v>
      </c>
    </row>
    <row r="354" spans="1:3" x14ac:dyDescent="0.3">
      <c r="A354">
        <v>16.5</v>
      </c>
      <c r="B354">
        <f t="shared" si="10"/>
        <v>-0.89859466214571515</v>
      </c>
      <c r="C354" t="str">
        <f t="shared" si="11"/>
        <v>No</v>
      </c>
    </row>
    <row r="355" spans="1:3" x14ac:dyDescent="0.3">
      <c r="A355">
        <v>19.2</v>
      </c>
      <c r="B355">
        <f t="shared" si="10"/>
        <v>-0.55271393145519809</v>
      </c>
      <c r="C355" t="str">
        <f t="shared" si="11"/>
        <v>No</v>
      </c>
    </row>
    <row r="356" spans="1:3" x14ac:dyDescent="0.3">
      <c r="A356">
        <v>17.600000000000001</v>
      </c>
      <c r="B356">
        <f t="shared" si="10"/>
        <v>-0.75768029038291163</v>
      </c>
      <c r="C356" t="str">
        <f t="shared" si="11"/>
        <v>No</v>
      </c>
    </row>
    <row r="357" spans="1:3" x14ac:dyDescent="0.3">
      <c r="A357">
        <v>17</v>
      </c>
      <c r="B357">
        <f t="shared" si="10"/>
        <v>-0.83454267498080459</v>
      </c>
      <c r="C357" t="str">
        <f t="shared" si="11"/>
        <v>No</v>
      </c>
    </row>
    <row r="358" spans="1:3" x14ac:dyDescent="0.3">
      <c r="A358">
        <v>23</v>
      </c>
      <c r="B358">
        <f t="shared" si="10"/>
        <v>-6.5918829001877732E-2</v>
      </c>
      <c r="C358" t="str">
        <f t="shared" si="11"/>
        <v>No</v>
      </c>
    </row>
    <row r="359" spans="1:3" x14ac:dyDescent="0.3">
      <c r="A359">
        <v>23.9</v>
      </c>
      <c r="B359">
        <f t="shared" si="10"/>
        <v>4.9374747894961109E-2</v>
      </c>
      <c r="C359" t="str">
        <f t="shared" si="11"/>
        <v>No</v>
      </c>
    </row>
    <row r="360" spans="1:3" x14ac:dyDescent="0.3">
      <c r="A360">
        <v>27.9</v>
      </c>
      <c r="B360">
        <f t="shared" si="10"/>
        <v>0.5617906452142456</v>
      </c>
      <c r="C360" t="str">
        <f t="shared" si="11"/>
        <v>No</v>
      </c>
    </row>
    <row r="361" spans="1:3" x14ac:dyDescent="0.3">
      <c r="A361">
        <v>28</v>
      </c>
      <c r="B361">
        <f t="shared" si="10"/>
        <v>0.57460104264722789</v>
      </c>
      <c r="C361" t="str">
        <f t="shared" si="11"/>
        <v>No</v>
      </c>
    </row>
    <row r="362" spans="1:3" x14ac:dyDescent="0.3">
      <c r="A362">
        <v>32.1</v>
      </c>
      <c r="B362">
        <f t="shared" si="10"/>
        <v>1.0998273373994947</v>
      </c>
      <c r="C362" t="str">
        <f t="shared" si="11"/>
        <v>No</v>
      </c>
    </row>
    <row r="363" spans="1:3" x14ac:dyDescent="0.3">
      <c r="A363">
        <v>26.4</v>
      </c>
      <c r="B363">
        <f t="shared" si="10"/>
        <v>0.36963468371951397</v>
      </c>
      <c r="C363" t="str">
        <f t="shared" si="11"/>
        <v>No</v>
      </c>
    </row>
    <row r="364" spans="1:3" x14ac:dyDescent="0.3">
      <c r="A364">
        <v>24.3</v>
      </c>
      <c r="B364">
        <f t="shared" si="10"/>
        <v>0.10061633762688983</v>
      </c>
      <c r="C364" t="str">
        <f t="shared" si="11"/>
        <v>No</v>
      </c>
    </row>
    <row r="365" spans="1:3" x14ac:dyDescent="0.3">
      <c r="A365">
        <v>23.6</v>
      </c>
      <c r="B365">
        <f t="shared" si="10"/>
        <v>1.0943555596015132E-2</v>
      </c>
      <c r="C365" t="str">
        <f t="shared" si="11"/>
        <v>No</v>
      </c>
    </row>
    <row r="366" spans="1:3" x14ac:dyDescent="0.3">
      <c r="A366">
        <v>19.100000000000001</v>
      </c>
      <c r="B366">
        <f t="shared" si="10"/>
        <v>-0.56552432888817994</v>
      </c>
      <c r="C366" t="str">
        <f t="shared" si="11"/>
        <v>No</v>
      </c>
    </row>
    <row r="367" spans="1:3" x14ac:dyDescent="0.3">
      <c r="A367">
        <v>30</v>
      </c>
      <c r="B367">
        <f t="shared" si="10"/>
        <v>0.83080899130687025</v>
      </c>
      <c r="C367" t="str">
        <f t="shared" si="11"/>
        <v>No</v>
      </c>
    </row>
    <row r="368" spans="1:3" x14ac:dyDescent="0.3">
      <c r="A368">
        <v>25.8</v>
      </c>
      <c r="B368">
        <f t="shared" si="10"/>
        <v>0.29277229912162156</v>
      </c>
      <c r="C368" t="str">
        <f t="shared" si="11"/>
        <v>No</v>
      </c>
    </row>
    <row r="369" spans="1:3" x14ac:dyDescent="0.3">
      <c r="A369">
        <v>39</v>
      </c>
      <c r="B369">
        <f t="shared" si="10"/>
        <v>1.9837447602752605</v>
      </c>
      <c r="C369" t="str">
        <f t="shared" si="11"/>
        <v>No</v>
      </c>
    </row>
    <row r="370" spans="1:3" x14ac:dyDescent="0.3">
      <c r="A370">
        <v>27.2</v>
      </c>
      <c r="B370">
        <f t="shared" si="10"/>
        <v>0.47211786318337096</v>
      </c>
      <c r="C370" t="str">
        <f t="shared" si="11"/>
        <v>No</v>
      </c>
    </row>
    <row r="371" spans="1:3" x14ac:dyDescent="0.3">
      <c r="A371">
        <v>26.6</v>
      </c>
      <c r="B371">
        <f t="shared" si="10"/>
        <v>0.39525547858547855</v>
      </c>
      <c r="C371" t="str">
        <f t="shared" si="11"/>
        <v>No</v>
      </c>
    </row>
    <row r="372" spans="1:3" x14ac:dyDescent="0.3">
      <c r="A372">
        <v>34.4</v>
      </c>
      <c r="B372">
        <f t="shared" si="10"/>
        <v>1.3944664783580829</v>
      </c>
      <c r="C372" t="str">
        <f t="shared" si="11"/>
        <v>No</v>
      </c>
    </row>
    <row r="373" spans="1:3" x14ac:dyDescent="0.3">
      <c r="A373">
        <v>34.700000000000003</v>
      </c>
      <c r="B373">
        <f t="shared" si="10"/>
        <v>1.43289767065703</v>
      </c>
      <c r="C373" t="str">
        <f t="shared" si="11"/>
        <v>No</v>
      </c>
    </row>
    <row r="374" spans="1:3" x14ac:dyDescent="0.3">
      <c r="A374">
        <v>29.9</v>
      </c>
      <c r="B374">
        <f t="shared" si="10"/>
        <v>0.81799859387388796</v>
      </c>
      <c r="C374" t="str">
        <f t="shared" si="11"/>
        <v>No</v>
      </c>
    </row>
    <row r="375" spans="1:3" x14ac:dyDescent="0.3">
      <c r="A375">
        <v>23.5</v>
      </c>
      <c r="B375">
        <f t="shared" si="10"/>
        <v>-1.8668418369671639E-3</v>
      </c>
      <c r="C375" t="str">
        <f t="shared" si="11"/>
        <v>No</v>
      </c>
    </row>
    <row r="376" spans="1:3" x14ac:dyDescent="0.3">
      <c r="A376">
        <v>22.4</v>
      </c>
      <c r="B376">
        <f t="shared" si="10"/>
        <v>-0.14278121359977058</v>
      </c>
      <c r="C376" t="str">
        <f t="shared" si="11"/>
        <v>No</v>
      </c>
    </row>
    <row r="377" spans="1:3" x14ac:dyDescent="0.3">
      <c r="A377">
        <v>20.2</v>
      </c>
      <c r="B377">
        <f t="shared" si="10"/>
        <v>-0.42460995712537702</v>
      </c>
      <c r="C377" t="str">
        <f t="shared" si="11"/>
        <v>No</v>
      </c>
    </row>
    <row r="378" spans="1:3" x14ac:dyDescent="0.3">
      <c r="A378">
        <v>17.600000000000001</v>
      </c>
      <c r="B378">
        <f t="shared" si="10"/>
        <v>-0.75768029038291163</v>
      </c>
      <c r="C378" t="str">
        <f t="shared" si="11"/>
        <v>No</v>
      </c>
    </row>
    <row r="379" spans="1:3" x14ac:dyDescent="0.3">
      <c r="A379">
        <v>26.6</v>
      </c>
      <c r="B379">
        <f t="shared" si="10"/>
        <v>0.39525547858547855</v>
      </c>
      <c r="C379" t="str">
        <f t="shared" si="11"/>
        <v>No</v>
      </c>
    </row>
    <row r="380" spans="1:3" x14ac:dyDescent="0.3">
      <c r="A380">
        <v>34</v>
      </c>
      <c r="B380">
        <f t="shared" si="10"/>
        <v>1.3432248886261546</v>
      </c>
      <c r="C380" t="str">
        <f t="shared" si="11"/>
        <v>No</v>
      </c>
    </row>
    <row r="381" spans="1:3" x14ac:dyDescent="0.3">
      <c r="A381">
        <v>32</v>
      </c>
      <c r="B381">
        <f t="shared" si="10"/>
        <v>1.0870169399665124</v>
      </c>
      <c r="C381" t="str">
        <f t="shared" si="11"/>
        <v>No</v>
      </c>
    </row>
    <row r="382" spans="1:3" x14ac:dyDescent="0.3">
      <c r="A382">
        <v>26</v>
      </c>
      <c r="B382">
        <f t="shared" si="10"/>
        <v>0.3183930939875857</v>
      </c>
      <c r="C382" t="str">
        <f t="shared" si="11"/>
        <v>No</v>
      </c>
    </row>
    <row r="383" spans="1:3" x14ac:dyDescent="0.3">
      <c r="A383">
        <v>36</v>
      </c>
      <c r="B383">
        <f t="shared" si="10"/>
        <v>1.5994328372857971</v>
      </c>
      <c r="C383" t="str">
        <f t="shared" si="11"/>
        <v>No</v>
      </c>
    </row>
    <row r="384" spans="1:3" x14ac:dyDescent="0.3">
      <c r="A384">
        <v>28</v>
      </c>
      <c r="B384">
        <f t="shared" si="10"/>
        <v>0.57460104264722789</v>
      </c>
      <c r="C384" t="str">
        <f t="shared" si="11"/>
        <v>No</v>
      </c>
    </row>
    <row r="385" spans="1:3" x14ac:dyDescent="0.3">
      <c r="A385">
        <v>27</v>
      </c>
      <c r="B385">
        <f t="shared" si="10"/>
        <v>0.44649706831740682</v>
      </c>
      <c r="C385" t="str">
        <f t="shared" si="11"/>
        <v>No</v>
      </c>
    </row>
    <row r="386" spans="1:3" x14ac:dyDescent="0.3">
      <c r="A386">
        <v>29</v>
      </c>
      <c r="B386">
        <f t="shared" si="10"/>
        <v>0.70270501697704912</v>
      </c>
      <c r="C386" t="str">
        <f t="shared" si="11"/>
        <v>No</v>
      </c>
    </row>
    <row r="387" spans="1:3" x14ac:dyDescent="0.3">
      <c r="A387">
        <v>31</v>
      </c>
      <c r="B387">
        <f t="shared" ref="B387:B399" si="12">IFERROR((A387-$P$3) / $R$3, "")</f>
        <v>0.95891296563669137</v>
      </c>
      <c r="C387" t="str">
        <f t="shared" ref="C387:C399" si="13">IF(ABS(B387)&gt;2,"Yes","No")</f>
        <v>No</v>
      </c>
    </row>
    <row r="388" spans="1:3" x14ac:dyDescent="0.3">
      <c r="A388">
        <v>36</v>
      </c>
      <c r="B388">
        <f t="shared" si="12"/>
        <v>1.5994328372857971</v>
      </c>
      <c r="C388" t="str">
        <f t="shared" si="13"/>
        <v>No</v>
      </c>
    </row>
    <row r="389" spans="1:3" x14ac:dyDescent="0.3">
      <c r="A389">
        <v>27</v>
      </c>
      <c r="B389">
        <f t="shared" si="12"/>
        <v>0.44649706831740682</v>
      </c>
      <c r="C389" t="str">
        <f t="shared" si="13"/>
        <v>No</v>
      </c>
    </row>
    <row r="390" spans="1:3" x14ac:dyDescent="0.3">
      <c r="A390">
        <v>24</v>
      </c>
      <c r="B390">
        <f t="shared" si="12"/>
        <v>6.2185145327943406E-2</v>
      </c>
      <c r="C390" t="str">
        <f t="shared" si="13"/>
        <v>No</v>
      </c>
    </row>
    <row r="391" spans="1:3" x14ac:dyDescent="0.3">
      <c r="A391">
        <v>27</v>
      </c>
      <c r="B391">
        <f t="shared" si="12"/>
        <v>0.44649706831740682</v>
      </c>
      <c r="C391" t="str">
        <f t="shared" si="13"/>
        <v>No</v>
      </c>
    </row>
    <row r="392" spans="1:3" x14ac:dyDescent="0.3">
      <c r="A392">
        <v>27</v>
      </c>
      <c r="B392">
        <f t="shared" si="12"/>
        <v>0.44649706831740682</v>
      </c>
      <c r="C392" t="str">
        <f t="shared" si="13"/>
        <v>No</v>
      </c>
    </row>
    <row r="393" spans="1:3" x14ac:dyDescent="0.3">
      <c r="A393">
        <v>31</v>
      </c>
      <c r="B393">
        <f t="shared" si="12"/>
        <v>0.95891296563669137</v>
      </c>
      <c r="C393" t="str">
        <f t="shared" si="13"/>
        <v>No</v>
      </c>
    </row>
    <row r="394" spans="1:3" x14ac:dyDescent="0.3">
      <c r="A394">
        <v>28</v>
      </c>
      <c r="B394">
        <f t="shared" si="12"/>
        <v>0.57460104264722789</v>
      </c>
      <c r="C394" t="str">
        <f t="shared" si="13"/>
        <v>No</v>
      </c>
    </row>
    <row r="395" spans="1:3" x14ac:dyDescent="0.3">
      <c r="A395">
        <v>38</v>
      </c>
      <c r="B395">
        <f t="shared" si="12"/>
        <v>1.8556407859454394</v>
      </c>
      <c r="C395" t="str">
        <f t="shared" si="13"/>
        <v>No</v>
      </c>
    </row>
    <row r="396" spans="1:3" x14ac:dyDescent="0.3">
      <c r="A396">
        <v>23</v>
      </c>
      <c r="B396">
        <f t="shared" si="12"/>
        <v>-6.5918829001877732E-2</v>
      </c>
      <c r="C396" t="str">
        <f t="shared" si="13"/>
        <v>No</v>
      </c>
    </row>
    <row r="397" spans="1:3" x14ac:dyDescent="0.3">
      <c r="A397">
        <v>22</v>
      </c>
      <c r="B397">
        <f t="shared" si="12"/>
        <v>-0.19402280333169886</v>
      </c>
      <c r="C397" t="str">
        <f t="shared" si="13"/>
        <v>No</v>
      </c>
    </row>
    <row r="398" spans="1:3" x14ac:dyDescent="0.3">
      <c r="A398">
        <v>25</v>
      </c>
      <c r="B398">
        <f t="shared" si="12"/>
        <v>0.19028911965776454</v>
      </c>
      <c r="C398" t="str">
        <f t="shared" si="13"/>
        <v>No</v>
      </c>
    </row>
    <row r="399" spans="1:3" x14ac:dyDescent="0.3">
      <c r="A399">
        <v>38</v>
      </c>
      <c r="B399">
        <f t="shared" si="12"/>
        <v>1.8556407859454394</v>
      </c>
      <c r="C399" t="str">
        <f t="shared" si="13"/>
        <v>No</v>
      </c>
    </row>
    <row r="403" spans="1:1" x14ac:dyDescent="0.3">
      <c r="A403" t="s">
        <v>338</v>
      </c>
    </row>
    <row r="404" spans="1:1" x14ac:dyDescent="0.3">
      <c r="A404">
        <v>7.2909915748541804E-2</v>
      </c>
    </row>
    <row r="405" spans="1:1" x14ac:dyDescent="0.3">
      <c r="A405">
        <v>5.3763440860215055E-2</v>
      </c>
    </row>
    <row r="406" spans="1:1" x14ac:dyDescent="0.3">
      <c r="A406">
        <v>5.0847457627118647E-2</v>
      </c>
    </row>
    <row r="407" spans="1:1" x14ac:dyDescent="0.3">
      <c r="A407">
        <v>5.0581915846016116E-2</v>
      </c>
    </row>
    <row r="408" spans="1:1" x14ac:dyDescent="0.3">
      <c r="A408">
        <v>5.0528249885163065E-2</v>
      </c>
    </row>
    <row r="409" spans="1:1" x14ac:dyDescent="0.3">
      <c r="A409">
        <v>4.9860853432282005E-2</v>
      </c>
    </row>
    <row r="410" spans="1:1" x14ac:dyDescent="0.3">
      <c r="A410">
        <v>4.9350649350649353E-2</v>
      </c>
    </row>
    <row r="411" spans="1:1" x14ac:dyDescent="0.3">
      <c r="A411">
        <v>4.9126637554585149E-2</v>
      </c>
    </row>
    <row r="412" spans="1:1" x14ac:dyDescent="0.3">
      <c r="A412">
        <v>4.7895500725689405E-2</v>
      </c>
    </row>
    <row r="413" spans="1:1" x14ac:dyDescent="0.3">
      <c r="A413">
        <v>4.7923322683706068E-2</v>
      </c>
    </row>
  </sheetData>
  <conditionalFormatting sqref="C2:C399">
    <cfRule type="cellIs" dxfId="360" priority="1" operator="equal">
      <formula>"Yes"</formula>
    </cfRule>
    <cfRule type="cellIs" priority="2" operator="equal">
      <formula>"Yes"</formula>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203A3-93C7-4A48-BA27-E8C62FD58288}">
  <dimension ref="A1:Q413"/>
  <sheetViews>
    <sheetView workbookViewId="0">
      <selection activeCell="P2" sqref="P2"/>
    </sheetView>
  </sheetViews>
  <sheetFormatPr defaultRowHeight="14.4" x14ac:dyDescent="0.3"/>
  <cols>
    <col min="2" max="2" width="12.88671875" customWidth="1"/>
    <col min="16" max="16" width="19.21875" bestFit="1" customWidth="1"/>
    <col min="17" max="17" width="58.5546875" bestFit="1" customWidth="1"/>
  </cols>
  <sheetData>
    <row r="1" spans="1:17" x14ac:dyDescent="0.3">
      <c r="A1" s="1" t="s">
        <v>1</v>
      </c>
      <c r="B1" s="1" t="s">
        <v>3</v>
      </c>
      <c r="P1" t="s">
        <v>368</v>
      </c>
      <c r="Q1" t="s">
        <v>371</v>
      </c>
    </row>
    <row r="2" spans="1:17" x14ac:dyDescent="0.3">
      <c r="A2">
        <v>26</v>
      </c>
      <c r="B2">
        <v>121</v>
      </c>
      <c r="P2">
        <f>CORREL(A2:A399,B2:B399)</f>
        <v>-0.804202824805898</v>
      </c>
      <c r="Q2" t="s">
        <v>369</v>
      </c>
    </row>
    <row r="3" spans="1:17" x14ac:dyDescent="0.3">
      <c r="A3">
        <v>25</v>
      </c>
      <c r="B3">
        <v>104</v>
      </c>
      <c r="Q3" t="s">
        <v>370</v>
      </c>
    </row>
    <row r="4" spans="1:17" x14ac:dyDescent="0.3">
      <c r="A4">
        <v>24</v>
      </c>
      <c r="B4">
        <v>107</v>
      </c>
      <c r="Q4" t="s">
        <v>372</v>
      </c>
    </row>
    <row r="5" spans="1:17" x14ac:dyDescent="0.3">
      <c r="A5">
        <v>25</v>
      </c>
      <c r="B5">
        <v>110</v>
      </c>
    </row>
    <row r="6" spans="1:17" x14ac:dyDescent="0.3">
      <c r="A6">
        <v>26</v>
      </c>
      <c r="B6">
        <v>97</v>
      </c>
    </row>
    <row r="7" spans="1:17" x14ac:dyDescent="0.3">
      <c r="A7">
        <v>28</v>
      </c>
      <c r="B7">
        <v>116</v>
      </c>
    </row>
    <row r="8" spans="1:17" x14ac:dyDescent="0.3">
      <c r="A8">
        <v>30</v>
      </c>
      <c r="B8">
        <v>88</v>
      </c>
    </row>
    <row r="9" spans="1:17" x14ac:dyDescent="0.3">
      <c r="A9">
        <v>30</v>
      </c>
      <c r="B9">
        <v>79</v>
      </c>
    </row>
    <row r="10" spans="1:17" x14ac:dyDescent="0.3">
      <c r="A10">
        <v>27</v>
      </c>
      <c r="B10">
        <v>97</v>
      </c>
    </row>
    <row r="11" spans="1:17" x14ac:dyDescent="0.3">
      <c r="A11">
        <v>18</v>
      </c>
      <c r="B11">
        <v>121</v>
      </c>
    </row>
    <row r="12" spans="1:17" x14ac:dyDescent="0.3">
      <c r="A12">
        <v>26</v>
      </c>
      <c r="B12">
        <v>96</v>
      </c>
    </row>
    <row r="13" spans="1:17" x14ac:dyDescent="0.3">
      <c r="A13">
        <v>22</v>
      </c>
      <c r="B13">
        <v>121</v>
      </c>
    </row>
    <row r="14" spans="1:17" x14ac:dyDescent="0.3">
      <c r="A14">
        <v>21</v>
      </c>
      <c r="B14">
        <v>120</v>
      </c>
    </row>
    <row r="15" spans="1:17" x14ac:dyDescent="0.3">
      <c r="A15">
        <v>23</v>
      </c>
      <c r="B15">
        <v>97</v>
      </c>
    </row>
    <row r="16" spans="1:17" x14ac:dyDescent="0.3">
      <c r="A16">
        <v>24</v>
      </c>
      <c r="B16">
        <v>121</v>
      </c>
    </row>
    <row r="17" spans="1:2" x14ac:dyDescent="0.3">
      <c r="A17">
        <v>26</v>
      </c>
      <c r="B17">
        <v>98</v>
      </c>
    </row>
    <row r="18" spans="1:2" x14ac:dyDescent="0.3">
      <c r="A18">
        <v>19</v>
      </c>
      <c r="B18">
        <v>121</v>
      </c>
    </row>
    <row r="19" spans="1:2" x14ac:dyDescent="0.3">
      <c r="A19">
        <v>20</v>
      </c>
      <c r="B19">
        <v>114</v>
      </c>
    </row>
    <row r="20" spans="1:2" x14ac:dyDescent="0.3">
      <c r="A20">
        <v>24</v>
      </c>
      <c r="B20">
        <v>116</v>
      </c>
    </row>
    <row r="21" spans="1:2" x14ac:dyDescent="0.3">
      <c r="A21">
        <v>29</v>
      </c>
      <c r="B21">
        <v>68</v>
      </c>
    </row>
    <row r="22" spans="1:2" x14ac:dyDescent="0.3">
      <c r="A22">
        <v>26</v>
      </c>
      <c r="B22">
        <v>97</v>
      </c>
    </row>
    <row r="23" spans="1:2" x14ac:dyDescent="0.3">
      <c r="A23">
        <v>29</v>
      </c>
      <c r="B23">
        <v>98</v>
      </c>
    </row>
    <row r="24" spans="1:2" x14ac:dyDescent="0.3">
      <c r="A24">
        <v>24</v>
      </c>
      <c r="B24">
        <v>90</v>
      </c>
    </row>
    <row r="25" spans="1:2" x14ac:dyDescent="0.3">
      <c r="A25">
        <v>26</v>
      </c>
      <c r="B25">
        <v>79</v>
      </c>
    </row>
    <row r="26" spans="1:2" x14ac:dyDescent="0.3">
      <c r="A26">
        <v>26</v>
      </c>
      <c r="B26">
        <v>97</v>
      </c>
    </row>
    <row r="27" spans="1:2" x14ac:dyDescent="0.3">
      <c r="A27">
        <v>31</v>
      </c>
      <c r="B27">
        <v>79</v>
      </c>
    </row>
    <row r="28" spans="1:2" x14ac:dyDescent="0.3">
      <c r="A28">
        <v>26</v>
      </c>
      <c r="B28">
        <v>116</v>
      </c>
    </row>
    <row r="29" spans="1:2" x14ac:dyDescent="0.3">
      <c r="A29">
        <v>25</v>
      </c>
      <c r="B29">
        <v>121</v>
      </c>
    </row>
    <row r="30" spans="1:2" x14ac:dyDescent="0.3">
      <c r="A30">
        <v>29</v>
      </c>
      <c r="B30">
        <v>90</v>
      </c>
    </row>
    <row r="31" spans="1:2" x14ac:dyDescent="0.3">
      <c r="A31">
        <v>23</v>
      </c>
      <c r="B31">
        <v>115</v>
      </c>
    </row>
    <row r="32" spans="1:2" x14ac:dyDescent="0.3">
      <c r="A32">
        <v>22</v>
      </c>
      <c r="B32">
        <v>121</v>
      </c>
    </row>
    <row r="33" spans="1:2" x14ac:dyDescent="0.3">
      <c r="A33">
        <v>25</v>
      </c>
      <c r="B33">
        <v>90</v>
      </c>
    </row>
    <row r="34" spans="1:2" x14ac:dyDescent="0.3">
      <c r="A34">
        <v>23</v>
      </c>
      <c r="B34">
        <v>120</v>
      </c>
    </row>
    <row r="35" spans="1:2" x14ac:dyDescent="0.3">
      <c r="A35">
        <v>29.5</v>
      </c>
      <c r="B35">
        <v>97</v>
      </c>
    </row>
    <row r="36" spans="1:2" x14ac:dyDescent="0.3">
      <c r="A36">
        <v>27</v>
      </c>
      <c r="B36">
        <v>101</v>
      </c>
    </row>
    <row r="37" spans="1:2" x14ac:dyDescent="0.3">
      <c r="A37">
        <v>25</v>
      </c>
      <c r="B37">
        <v>116</v>
      </c>
    </row>
    <row r="38" spans="1:2" x14ac:dyDescent="0.3">
      <c r="A38">
        <v>29</v>
      </c>
      <c r="B38">
        <v>90</v>
      </c>
    </row>
    <row r="39" spans="1:2" x14ac:dyDescent="0.3">
      <c r="A39">
        <v>28</v>
      </c>
      <c r="B39">
        <v>107</v>
      </c>
    </row>
    <row r="40" spans="1:2" x14ac:dyDescent="0.3">
      <c r="A40">
        <v>20</v>
      </c>
      <c r="B40">
        <v>130</v>
      </c>
    </row>
    <row r="41" spans="1:2" x14ac:dyDescent="0.3">
      <c r="A41">
        <v>19</v>
      </c>
      <c r="B41">
        <v>120</v>
      </c>
    </row>
    <row r="42" spans="1:2" x14ac:dyDescent="0.3">
      <c r="A42">
        <v>16.5</v>
      </c>
      <c r="B42">
        <v>168</v>
      </c>
    </row>
    <row r="43" spans="1:2" x14ac:dyDescent="0.3">
      <c r="A43">
        <v>21.5</v>
      </c>
      <c r="B43">
        <v>121</v>
      </c>
    </row>
    <row r="44" spans="1:2" x14ac:dyDescent="0.3">
      <c r="A44">
        <v>29</v>
      </c>
      <c r="B44">
        <v>97</v>
      </c>
    </row>
    <row r="45" spans="1:2" x14ac:dyDescent="0.3">
      <c r="A45">
        <v>30.5</v>
      </c>
      <c r="B45">
        <v>97</v>
      </c>
    </row>
    <row r="46" spans="1:2" x14ac:dyDescent="0.3">
      <c r="A46">
        <v>36</v>
      </c>
      <c r="B46">
        <v>79</v>
      </c>
    </row>
    <row r="47" spans="1:2" x14ac:dyDescent="0.3">
      <c r="A47">
        <v>21.6</v>
      </c>
      <c r="B47">
        <v>121</v>
      </c>
    </row>
    <row r="48" spans="1:2" x14ac:dyDescent="0.3">
      <c r="A48">
        <v>31.5</v>
      </c>
      <c r="B48">
        <v>89</v>
      </c>
    </row>
    <row r="49" spans="1:2" x14ac:dyDescent="0.3">
      <c r="A49">
        <v>43.1</v>
      </c>
      <c r="B49">
        <v>90</v>
      </c>
    </row>
    <row r="50" spans="1:2" x14ac:dyDescent="0.3">
      <c r="A50">
        <v>20.3</v>
      </c>
      <c r="B50">
        <v>131</v>
      </c>
    </row>
    <row r="51" spans="1:2" x14ac:dyDescent="0.3">
      <c r="A51">
        <v>17</v>
      </c>
      <c r="B51">
        <v>163</v>
      </c>
    </row>
    <row r="52" spans="1:2" x14ac:dyDescent="0.3">
      <c r="A52">
        <v>16.2</v>
      </c>
      <c r="B52">
        <v>163</v>
      </c>
    </row>
    <row r="53" spans="1:2" x14ac:dyDescent="0.3">
      <c r="A53">
        <v>31.9</v>
      </c>
      <c r="B53">
        <v>89</v>
      </c>
    </row>
    <row r="54" spans="1:2" x14ac:dyDescent="0.3">
      <c r="A54">
        <v>37.299999999999997</v>
      </c>
      <c r="B54">
        <v>91</v>
      </c>
    </row>
    <row r="55" spans="1:2" x14ac:dyDescent="0.3">
      <c r="A55">
        <v>27.2</v>
      </c>
      <c r="B55">
        <v>141</v>
      </c>
    </row>
    <row r="56" spans="1:2" x14ac:dyDescent="0.3">
      <c r="A56">
        <v>25.4</v>
      </c>
      <c r="B56">
        <v>183</v>
      </c>
    </row>
    <row r="57" spans="1:2" x14ac:dyDescent="0.3">
      <c r="A57">
        <v>34.299999999999997</v>
      </c>
      <c r="B57">
        <v>97</v>
      </c>
    </row>
    <row r="58" spans="1:2" x14ac:dyDescent="0.3">
      <c r="A58">
        <v>41.5</v>
      </c>
      <c r="B58">
        <v>98</v>
      </c>
    </row>
    <row r="59" spans="1:2" x14ac:dyDescent="0.3">
      <c r="A59">
        <v>35</v>
      </c>
      <c r="B59">
        <v>122</v>
      </c>
    </row>
    <row r="60" spans="1:2" x14ac:dyDescent="0.3">
      <c r="A60">
        <v>29.8</v>
      </c>
      <c r="B60">
        <v>89</v>
      </c>
    </row>
    <row r="61" spans="1:2" x14ac:dyDescent="0.3">
      <c r="A61">
        <v>44.3</v>
      </c>
      <c r="B61">
        <v>90</v>
      </c>
    </row>
    <row r="62" spans="1:2" x14ac:dyDescent="0.3">
      <c r="A62">
        <v>30</v>
      </c>
      <c r="B62">
        <v>146</v>
      </c>
    </row>
    <row r="63" spans="1:2" x14ac:dyDescent="0.3">
      <c r="A63">
        <v>43.4</v>
      </c>
      <c r="B63">
        <v>90</v>
      </c>
    </row>
    <row r="64" spans="1:2" x14ac:dyDescent="0.3">
      <c r="A64">
        <v>40.9</v>
      </c>
      <c r="B64">
        <v>85</v>
      </c>
    </row>
    <row r="65" spans="1:2" x14ac:dyDescent="0.3">
      <c r="A65">
        <v>36.4</v>
      </c>
      <c r="B65">
        <v>121</v>
      </c>
    </row>
    <row r="66" spans="1:2" x14ac:dyDescent="0.3">
      <c r="A66">
        <v>33</v>
      </c>
      <c r="B66">
        <v>105</v>
      </c>
    </row>
    <row r="67" spans="1:2" x14ac:dyDescent="0.3">
      <c r="A67">
        <v>28.1</v>
      </c>
      <c r="B67">
        <v>141</v>
      </c>
    </row>
    <row r="68" spans="1:2" x14ac:dyDescent="0.3">
      <c r="A68">
        <v>34.5</v>
      </c>
      <c r="B68">
        <v>100</v>
      </c>
    </row>
    <row r="69" spans="1:2" x14ac:dyDescent="0.3">
      <c r="A69">
        <v>30.7</v>
      </c>
      <c r="B69">
        <v>145</v>
      </c>
    </row>
    <row r="70" spans="1:2" x14ac:dyDescent="0.3">
      <c r="A70">
        <v>36</v>
      </c>
      <c r="B70">
        <v>105</v>
      </c>
    </row>
    <row r="71" spans="1:2" x14ac:dyDescent="0.3">
      <c r="A71">
        <v>44</v>
      </c>
      <c r="B71">
        <v>97</v>
      </c>
    </row>
    <row r="72" spans="1:2" x14ac:dyDescent="0.3">
      <c r="A72">
        <v>27</v>
      </c>
      <c r="B72">
        <v>97</v>
      </c>
    </row>
    <row r="73" spans="1:2" x14ac:dyDescent="0.3">
      <c r="A73">
        <v>24</v>
      </c>
      <c r="B73">
        <v>113</v>
      </c>
    </row>
    <row r="74" spans="1:2" x14ac:dyDescent="0.3">
      <c r="A74">
        <v>35</v>
      </c>
      <c r="B74">
        <v>72</v>
      </c>
    </row>
    <row r="75" spans="1:2" x14ac:dyDescent="0.3">
      <c r="A75">
        <v>25</v>
      </c>
      <c r="B75">
        <v>113</v>
      </c>
    </row>
    <row r="76" spans="1:2" x14ac:dyDescent="0.3">
      <c r="A76">
        <v>27</v>
      </c>
      <c r="B76">
        <v>97</v>
      </c>
    </row>
    <row r="77" spans="1:2" x14ac:dyDescent="0.3">
      <c r="A77">
        <v>31</v>
      </c>
      <c r="B77">
        <v>71</v>
      </c>
    </row>
    <row r="78" spans="1:2" x14ac:dyDescent="0.3">
      <c r="A78">
        <v>19</v>
      </c>
      <c r="B78">
        <v>70</v>
      </c>
    </row>
    <row r="79" spans="1:2" x14ac:dyDescent="0.3">
      <c r="A79">
        <v>27</v>
      </c>
      <c r="B79">
        <v>97</v>
      </c>
    </row>
    <row r="80" spans="1:2" x14ac:dyDescent="0.3">
      <c r="A80">
        <v>24</v>
      </c>
      <c r="B80">
        <v>113</v>
      </c>
    </row>
    <row r="81" spans="1:2" x14ac:dyDescent="0.3">
      <c r="A81">
        <v>28</v>
      </c>
      <c r="B81">
        <v>97</v>
      </c>
    </row>
    <row r="82" spans="1:2" x14ac:dyDescent="0.3">
      <c r="A82">
        <v>23</v>
      </c>
      <c r="B82">
        <v>120</v>
      </c>
    </row>
    <row r="83" spans="1:2" x14ac:dyDescent="0.3">
      <c r="A83">
        <v>18</v>
      </c>
      <c r="B83">
        <v>70</v>
      </c>
    </row>
    <row r="84" spans="1:2" x14ac:dyDescent="0.3">
      <c r="A84">
        <v>22</v>
      </c>
      <c r="B84">
        <v>108</v>
      </c>
    </row>
    <row r="85" spans="1:2" x14ac:dyDescent="0.3">
      <c r="A85">
        <v>20</v>
      </c>
      <c r="B85">
        <v>97</v>
      </c>
    </row>
    <row r="86" spans="1:2" x14ac:dyDescent="0.3">
      <c r="A86">
        <v>20</v>
      </c>
      <c r="B86">
        <v>156</v>
      </c>
    </row>
    <row r="87" spans="1:2" x14ac:dyDescent="0.3">
      <c r="A87">
        <v>24</v>
      </c>
      <c r="B87">
        <v>120</v>
      </c>
    </row>
    <row r="88" spans="1:2" x14ac:dyDescent="0.3">
      <c r="A88">
        <v>26</v>
      </c>
      <c r="B88">
        <v>108</v>
      </c>
    </row>
    <row r="89" spans="1:2" x14ac:dyDescent="0.3">
      <c r="A89">
        <v>32</v>
      </c>
      <c r="B89">
        <v>71</v>
      </c>
    </row>
    <row r="90" spans="1:2" x14ac:dyDescent="0.3">
      <c r="A90">
        <v>31</v>
      </c>
      <c r="B90">
        <v>79</v>
      </c>
    </row>
    <row r="91" spans="1:2" x14ac:dyDescent="0.3">
      <c r="A91">
        <v>31</v>
      </c>
      <c r="B91">
        <v>76</v>
      </c>
    </row>
    <row r="92" spans="1:2" x14ac:dyDescent="0.3">
      <c r="A92">
        <v>32</v>
      </c>
      <c r="B92">
        <v>83</v>
      </c>
    </row>
    <row r="93" spans="1:2" x14ac:dyDescent="0.3">
      <c r="A93">
        <v>24</v>
      </c>
      <c r="B93">
        <v>119</v>
      </c>
    </row>
    <row r="94" spans="1:2" x14ac:dyDescent="0.3">
      <c r="A94">
        <v>24</v>
      </c>
      <c r="B94">
        <v>134</v>
      </c>
    </row>
    <row r="95" spans="1:2" x14ac:dyDescent="0.3">
      <c r="A95">
        <v>29</v>
      </c>
      <c r="B95">
        <v>97</v>
      </c>
    </row>
    <row r="96" spans="1:2" x14ac:dyDescent="0.3">
      <c r="A96">
        <v>33</v>
      </c>
      <c r="B96">
        <v>91</v>
      </c>
    </row>
    <row r="97" spans="1:2" x14ac:dyDescent="0.3">
      <c r="A97">
        <v>32</v>
      </c>
      <c r="B97">
        <v>85</v>
      </c>
    </row>
    <row r="98" spans="1:2" x14ac:dyDescent="0.3">
      <c r="A98">
        <v>28</v>
      </c>
      <c r="B98">
        <v>97</v>
      </c>
    </row>
    <row r="99" spans="1:2" x14ac:dyDescent="0.3">
      <c r="A99">
        <v>33</v>
      </c>
      <c r="B99">
        <v>91</v>
      </c>
    </row>
    <row r="100" spans="1:2" x14ac:dyDescent="0.3">
      <c r="A100">
        <v>19</v>
      </c>
      <c r="B100">
        <v>156</v>
      </c>
    </row>
    <row r="101" spans="1:2" x14ac:dyDescent="0.3">
      <c r="A101">
        <v>21.5</v>
      </c>
      <c r="B101">
        <v>80</v>
      </c>
    </row>
    <row r="102" spans="1:2" x14ac:dyDescent="0.3">
      <c r="A102">
        <v>33.5</v>
      </c>
      <c r="B102">
        <v>85</v>
      </c>
    </row>
    <row r="103" spans="1:2" x14ac:dyDescent="0.3">
      <c r="A103">
        <v>30</v>
      </c>
      <c r="B103">
        <v>97</v>
      </c>
    </row>
    <row r="104" spans="1:2" x14ac:dyDescent="0.3">
      <c r="A104">
        <v>31.5</v>
      </c>
      <c r="B104">
        <v>98</v>
      </c>
    </row>
    <row r="105" spans="1:2" x14ac:dyDescent="0.3">
      <c r="A105">
        <v>26</v>
      </c>
      <c r="B105">
        <v>97</v>
      </c>
    </row>
    <row r="106" spans="1:2" x14ac:dyDescent="0.3">
      <c r="A106">
        <v>22</v>
      </c>
      <c r="B106">
        <v>146</v>
      </c>
    </row>
    <row r="107" spans="1:2" x14ac:dyDescent="0.3">
      <c r="A107">
        <v>27.2</v>
      </c>
      <c r="B107">
        <v>119</v>
      </c>
    </row>
    <row r="108" spans="1:2" x14ac:dyDescent="0.3">
      <c r="A108">
        <v>23.9</v>
      </c>
      <c r="B108">
        <v>119</v>
      </c>
    </row>
    <row r="109" spans="1:2" x14ac:dyDescent="0.3">
      <c r="A109">
        <v>21.1</v>
      </c>
      <c r="B109">
        <v>134</v>
      </c>
    </row>
    <row r="110" spans="1:2" x14ac:dyDescent="0.3">
      <c r="A110">
        <v>27.5</v>
      </c>
      <c r="B110">
        <v>134</v>
      </c>
    </row>
    <row r="111" spans="1:2" x14ac:dyDescent="0.3">
      <c r="A111">
        <v>39.4</v>
      </c>
      <c r="B111">
        <v>85</v>
      </c>
    </row>
    <row r="112" spans="1:2" x14ac:dyDescent="0.3">
      <c r="A112">
        <v>36.1</v>
      </c>
      <c r="B112">
        <v>91</v>
      </c>
    </row>
    <row r="113" spans="1:2" x14ac:dyDescent="0.3">
      <c r="A113">
        <v>29.5</v>
      </c>
      <c r="B113">
        <v>98</v>
      </c>
    </row>
    <row r="114" spans="1:2" x14ac:dyDescent="0.3">
      <c r="A114">
        <v>32.799999999999997</v>
      </c>
      <c r="B114">
        <v>78</v>
      </c>
    </row>
    <row r="115" spans="1:2" x14ac:dyDescent="0.3">
      <c r="A115">
        <v>34.1</v>
      </c>
      <c r="B115">
        <v>86</v>
      </c>
    </row>
    <row r="116" spans="1:2" x14ac:dyDescent="0.3">
      <c r="A116">
        <v>31.8</v>
      </c>
      <c r="B116">
        <v>85</v>
      </c>
    </row>
    <row r="117" spans="1:2" x14ac:dyDescent="0.3">
      <c r="A117">
        <v>23.7</v>
      </c>
      <c r="B117">
        <v>70</v>
      </c>
    </row>
    <row r="118" spans="1:2" x14ac:dyDescent="0.3">
      <c r="A118">
        <v>37</v>
      </c>
      <c r="B118">
        <v>119</v>
      </c>
    </row>
    <row r="119" spans="1:2" x14ac:dyDescent="0.3">
      <c r="A119">
        <v>44.6</v>
      </c>
      <c r="B119">
        <v>91</v>
      </c>
    </row>
    <row r="120" spans="1:2" x14ac:dyDescent="0.3">
      <c r="A120">
        <v>29.8</v>
      </c>
      <c r="B120">
        <v>134</v>
      </c>
    </row>
    <row r="121" spans="1:2" x14ac:dyDescent="0.3">
      <c r="A121">
        <v>32.200000000000003</v>
      </c>
      <c r="B121">
        <v>108</v>
      </c>
    </row>
    <row r="122" spans="1:2" x14ac:dyDescent="0.3">
      <c r="A122">
        <v>37.200000000000003</v>
      </c>
      <c r="B122">
        <v>86</v>
      </c>
    </row>
    <row r="123" spans="1:2" x14ac:dyDescent="0.3">
      <c r="A123">
        <v>32.4</v>
      </c>
      <c r="B123">
        <v>107</v>
      </c>
    </row>
    <row r="124" spans="1:2" x14ac:dyDescent="0.3">
      <c r="A124">
        <v>33.799999999999997</v>
      </c>
      <c r="B124">
        <v>97</v>
      </c>
    </row>
    <row r="125" spans="1:2" x14ac:dyDescent="0.3">
      <c r="A125">
        <v>40.799999999999997</v>
      </c>
      <c r="B125">
        <v>85</v>
      </c>
    </row>
    <row r="126" spans="1:2" x14ac:dyDescent="0.3">
      <c r="A126">
        <v>46.6</v>
      </c>
      <c r="B126">
        <v>86</v>
      </c>
    </row>
    <row r="127" spans="1:2" x14ac:dyDescent="0.3">
      <c r="A127">
        <v>38.1</v>
      </c>
      <c r="B127">
        <v>89</v>
      </c>
    </row>
    <row r="128" spans="1:2" x14ac:dyDescent="0.3">
      <c r="A128">
        <v>31.3</v>
      </c>
      <c r="B128">
        <v>120</v>
      </c>
    </row>
    <row r="129" spans="1:2" x14ac:dyDescent="0.3">
      <c r="A129">
        <v>32.700000000000003</v>
      </c>
      <c r="B129">
        <v>168</v>
      </c>
    </row>
    <row r="130" spans="1:2" x14ac:dyDescent="0.3">
      <c r="A130">
        <v>32.9</v>
      </c>
      <c r="B130">
        <v>119</v>
      </c>
    </row>
    <row r="131" spans="1:2" x14ac:dyDescent="0.3">
      <c r="A131">
        <v>34.1</v>
      </c>
      <c r="B131">
        <v>91</v>
      </c>
    </row>
    <row r="132" spans="1:2" x14ac:dyDescent="0.3">
      <c r="A132">
        <v>35.1</v>
      </c>
      <c r="B132">
        <v>81</v>
      </c>
    </row>
    <row r="133" spans="1:2" x14ac:dyDescent="0.3">
      <c r="A133">
        <v>33.700000000000003</v>
      </c>
      <c r="B133">
        <v>107</v>
      </c>
    </row>
    <row r="134" spans="1:2" x14ac:dyDescent="0.3">
      <c r="A134">
        <v>39.1</v>
      </c>
      <c r="B134">
        <v>79</v>
      </c>
    </row>
    <row r="135" spans="1:2" x14ac:dyDescent="0.3">
      <c r="A135">
        <v>37</v>
      </c>
      <c r="B135">
        <v>85</v>
      </c>
    </row>
    <row r="136" spans="1:2" x14ac:dyDescent="0.3">
      <c r="A136">
        <v>32.299999999999997</v>
      </c>
      <c r="B136">
        <v>97</v>
      </c>
    </row>
    <row r="137" spans="1:2" x14ac:dyDescent="0.3">
      <c r="A137">
        <v>32.4</v>
      </c>
      <c r="B137">
        <v>108</v>
      </c>
    </row>
    <row r="138" spans="1:2" x14ac:dyDescent="0.3">
      <c r="A138">
        <v>37.700000000000003</v>
      </c>
      <c r="B138">
        <v>89</v>
      </c>
    </row>
    <row r="139" spans="1:2" x14ac:dyDescent="0.3">
      <c r="A139">
        <v>31.6</v>
      </c>
      <c r="B139">
        <v>120</v>
      </c>
    </row>
    <row r="140" spans="1:2" x14ac:dyDescent="0.3">
      <c r="A140">
        <v>24.2</v>
      </c>
      <c r="B140">
        <v>146</v>
      </c>
    </row>
    <row r="141" spans="1:2" x14ac:dyDescent="0.3">
      <c r="A141">
        <v>25.4</v>
      </c>
      <c r="B141">
        <v>168</v>
      </c>
    </row>
    <row r="142" spans="1:2" x14ac:dyDescent="0.3">
      <c r="A142">
        <v>36</v>
      </c>
      <c r="B142">
        <v>120</v>
      </c>
    </row>
    <row r="143" spans="1:2" x14ac:dyDescent="0.3">
      <c r="A143">
        <v>32</v>
      </c>
      <c r="B143">
        <v>144</v>
      </c>
    </row>
    <row r="144" spans="1:2" x14ac:dyDescent="0.3">
      <c r="A144">
        <v>31</v>
      </c>
      <c r="B144">
        <v>91</v>
      </c>
    </row>
    <row r="145" spans="1:2" x14ac:dyDescent="0.3">
      <c r="A145">
        <v>38</v>
      </c>
      <c r="B145">
        <v>91</v>
      </c>
    </row>
    <row r="146" spans="1:2" x14ac:dyDescent="0.3">
      <c r="A146">
        <v>32</v>
      </c>
      <c r="B146">
        <v>91</v>
      </c>
    </row>
    <row r="147" spans="1:2" x14ac:dyDescent="0.3">
      <c r="A147">
        <v>36</v>
      </c>
      <c r="B147">
        <v>107</v>
      </c>
    </row>
    <row r="148" spans="1:2" x14ac:dyDescent="0.3">
      <c r="A148">
        <v>38</v>
      </c>
      <c r="B148">
        <v>91</v>
      </c>
    </row>
    <row r="149" spans="1:2" x14ac:dyDescent="0.3">
      <c r="A149">
        <v>37</v>
      </c>
      <c r="B149">
        <v>91</v>
      </c>
    </row>
    <row r="150" spans="1:2" x14ac:dyDescent="0.3">
      <c r="A150">
        <v>34</v>
      </c>
      <c r="B150">
        <v>108</v>
      </c>
    </row>
    <row r="151" spans="1:2" x14ac:dyDescent="0.3">
      <c r="A151">
        <v>18</v>
      </c>
      <c r="B151">
        <v>199</v>
      </c>
    </row>
    <row r="152" spans="1:2" x14ac:dyDescent="0.3">
      <c r="A152">
        <v>21</v>
      </c>
      <c r="B152">
        <v>199</v>
      </c>
    </row>
    <row r="153" spans="1:2" x14ac:dyDescent="0.3">
      <c r="A153">
        <v>22</v>
      </c>
      <c r="B153">
        <v>198</v>
      </c>
    </row>
    <row r="154" spans="1:2" x14ac:dyDescent="0.3">
      <c r="A154">
        <v>21</v>
      </c>
      <c r="B154">
        <v>200</v>
      </c>
    </row>
    <row r="155" spans="1:2" x14ac:dyDescent="0.3">
      <c r="A155">
        <v>14</v>
      </c>
      <c r="B155">
        <v>455</v>
      </c>
    </row>
    <row r="156" spans="1:2" x14ac:dyDescent="0.3">
      <c r="A156">
        <v>14</v>
      </c>
      <c r="B156">
        <v>455</v>
      </c>
    </row>
    <row r="157" spans="1:2" x14ac:dyDescent="0.3">
      <c r="A157">
        <v>14</v>
      </c>
      <c r="B157">
        <v>454</v>
      </c>
    </row>
    <row r="158" spans="1:2" x14ac:dyDescent="0.3">
      <c r="A158">
        <v>14</v>
      </c>
      <c r="B158">
        <v>440</v>
      </c>
    </row>
    <row r="159" spans="1:2" x14ac:dyDescent="0.3">
      <c r="A159">
        <v>15</v>
      </c>
      <c r="B159">
        <v>390</v>
      </c>
    </row>
    <row r="160" spans="1:2" x14ac:dyDescent="0.3">
      <c r="A160">
        <v>11</v>
      </c>
      <c r="B160">
        <v>318</v>
      </c>
    </row>
    <row r="161" spans="1:2" x14ac:dyDescent="0.3">
      <c r="A161">
        <v>15</v>
      </c>
      <c r="B161">
        <v>383</v>
      </c>
    </row>
    <row r="162" spans="1:2" x14ac:dyDescent="0.3">
      <c r="A162">
        <v>10</v>
      </c>
      <c r="B162">
        <v>360</v>
      </c>
    </row>
    <row r="163" spans="1:2" x14ac:dyDescent="0.3">
      <c r="A163">
        <v>10</v>
      </c>
      <c r="B163">
        <v>307</v>
      </c>
    </row>
    <row r="164" spans="1:2" x14ac:dyDescent="0.3">
      <c r="A164">
        <v>15</v>
      </c>
      <c r="B164">
        <v>429</v>
      </c>
    </row>
    <row r="165" spans="1:2" x14ac:dyDescent="0.3">
      <c r="A165">
        <v>15</v>
      </c>
      <c r="B165">
        <v>350</v>
      </c>
    </row>
    <row r="166" spans="1:2" x14ac:dyDescent="0.3">
      <c r="A166">
        <v>14</v>
      </c>
      <c r="B166">
        <v>340</v>
      </c>
    </row>
    <row r="167" spans="1:2" x14ac:dyDescent="0.3">
      <c r="A167">
        <v>16</v>
      </c>
      <c r="B167">
        <v>304</v>
      </c>
    </row>
    <row r="168" spans="1:2" x14ac:dyDescent="0.3">
      <c r="A168">
        <v>18</v>
      </c>
      <c r="B168">
        <v>318</v>
      </c>
    </row>
    <row r="169" spans="1:2" x14ac:dyDescent="0.3">
      <c r="A169">
        <v>9</v>
      </c>
      <c r="B169">
        <v>304</v>
      </c>
    </row>
    <row r="170" spans="1:2" x14ac:dyDescent="0.3">
      <c r="A170">
        <v>17</v>
      </c>
      <c r="B170">
        <v>302</v>
      </c>
    </row>
    <row r="171" spans="1:2" x14ac:dyDescent="0.3">
      <c r="A171">
        <v>15</v>
      </c>
      <c r="B171">
        <v>400</v>
      </c>
    </row>
    <row r="172" spans="1:2" x14ac:dyDescent="0.3">
      <c r="A172">
        <v>18</v>
      </c>
      <c r="B172">
        <v>307</v>
      </c>
    </row>
    <row r="173" spans="1:2" x14ac:dyDescent="0.3">
      <c r="A173">
        <v>28</v>
      </c>
      <c r="B173">
        <v>140</v>
      </c>
    </row>
    <row r="174" spans="1:2" x14ac:dyDescent="0.3">
      <c r="A174">
        <v>23</v>
      </c>
      <c r="B174">
        <v>122</v>
      </c>
    </row>
    <row r="175" spans="1:2" x14ac:dyDescent="0.3">
      <c r="A175">
        <v>26</v>
      </c>
      <c r="B175">
        <v>91</v>
      </c>
    </row>
    <row r="176" spans="1:2" x14ac:dyDescent="0.3">
      <c r="A176">
        <v>22</v>
      </c>
      <c r="B176">
        <v>140</v>
      </c>
    </row>
    <row r="177" spans="1:2" x14ac:dyDescent="0.3">
      <c r="A177">
        <v>25</v>
      </c>
      <c r="B177">
        <v>98</v>
      </c>
    </row>
    <row r="178" spans="1:2" x14ac:dyDescent="0.3">
      <c r="A178">
        <v>19</v>
      </c>
      <c r="B178">
        <v>232</v>
      </c>
    </row>
    <row r="179" spans="1:2" x14ac:dyDescent="0.3">
      <c r="A179">
        <v>18</v>
      </c>
      <c r="B179">
        <v>258</v>
      </c>
    </row>
    <row r="180" spans="1:2" x14ac:dyDescent="0.3">
      <c r="A180">
        <v>16</v>
      </c>
      <c r="B180">
        <v>225</v>
      </c>
    </row>
    <row r="181" spans="1:2" x14ac:dyDescent="0.3">
      <c r="A181">
        <v>19</v>
      </c>
      <c r="B181">
        <v>250</v>
      </c>
    </row>
    <row r="182" spans="1:2" x14ac:dyDescent="0.3">
      <c r="A182">
        <v>18</v>
      </c>
      <c r="B182">
        <v>232</v>
      </c>
    </row>
    <row r="183" spans="1:2" x14ac:dyDescent="0.3">
      <c r="A183">
        <v>17</v>
      </c>
      <c r="B183">
        <v>250</v>
      </c>
    </row>
    <row r="184" spans="1:2" x14ac:dyDescent="0.3">
      <c r="A184">
        <v>18</v>
      </c>
      <c r="B184">
        <v>250</v>
      </c>
    </row>
    <row r="185" spans="1:2" x14ac:dyDescent="0.3">
      <c r="A185">
        <v>19</v>
      </c>
      <c r="B185">
        <v>250</v>
      </c>
    </row>
    <row r="186" spans="1:2" x14ac:dyDescent="0.3">
      <c r="A186">
        <v>14</v>
      </c>
      <c r="B186">
        <v>350</v>
      </c>
    </row>
    <row r="187" spans="1:2" x14ac:dyDescent="0.3">
      <c r="A187">
        <v>14</v>
      </c>
      <c r="B187">
        <v>400</v>
      </c>
    </row>
    <row r="188" spans="1:2" x14ac:dyDescent="0.3">
      <c r="A188">
        <v>14</v>
      </c>
      <c r="B188">
        <v>351</v>
      </c>
    </row>
    <row r="189" spans="1:2" x14ac:dyDescent="0.3">
      <c r="A189">
        <v>14</v>
      </c>
      <c r="B189">
        <v>318</v>
      </c>
    </row>
    <row r="190" spans="1:2" x14ac:dyDescent="0.3">
      <c r="A190">
        <v>12</v>
      </c>
      <c r="B190">
        <v>383</v>
      </c>
    </row>
    <row r="191" spans="1:2" x14ac:dyDescent="0.3">
      <c r="A191">
        <v>13</v>
      </c>
      <c r="B191">
        <v>400</v>
      </c>
    </row>
    <row r="192" spans="1:2" x14ac:dyDescent="0.3">
      <c r="A192">
        <v>13</v>
      </c>
      <c r="B192">
        <v>400</v>
      </c>
    </row>
    <row r="193" spans="1:2" x14ac:dyDescent="0.3">
      <c r="A193">
        <v>21</v>
      </c>
      <c r="B193">
        <v>122</v>
      </c>
    </row>
    <row r="194" spans="1:2" x14ac:dyDescent="0.3">
      <c r="A194">
        <v>25</v>
      </c>
      <c r="B194">
        <v>97.5</v>
      </c>
    </row>
    <row r="195" spans="1:2" x14ac:dyDescent="0.3">
      <c r="A195">
        <v>20</v>
      </c>
      <c r="B195">
        <v>140</v>
      </c>
    </row>
    <row r="196" spans="1:2" x14ac:dyDescent="0.3">
      <c r="A196">
        <v>28</v>
      </c>
      <c r="B196">
        <v>98</v>
      </c>
    </row>
    <row r="197" spans="1:2" x14ac:dyDescent="0.3">
      <c r="A197">
        <v>22</v>
      </c>
      <c r="B197">
        <v>122</v>
      </c>
    </row>
    <row r="198" spans="1:2" x14ac:dyDescent="0.3">
      <c r="A198">
        <v>11</v>
      </c>
      <c r="B198">
        <v>429</v>
      </c>
    </row>
    <row r="199" spans="1:2" x14ac:dyDescent="0.3">
      <c r="A199">
        <v>13</v>
      </c>
      <c r="B199">
        <v>400</v>
      </c>
    </row>
    <row r="200" spans="1:2" x14ac:dyDescent="0.3">
      <c r="A200">
        <v>17</v>
      </c>
      <c r="B200">
        <v>304</v>
      </c>
    </row>
    <row r="201" spans="1:2" x14ac:dyDescent="0.3">
      <c r="A201">
        <v>14</v>
      </c>
      <c r="B201">
        <v>400</v>
      </c>
    </row>
    <row r="202" spans="1:2" x14ac:dyDescent="0.3">
      <c r="A202">
        <v>13</v>
      </c>
      <c r="B202">
        <v>350</v>
      </c>
    </row>
    <row r="203" spans="1:2" x14ac:dyDescent="0.3">
      <c r="A203">
        <v>15</v>
      </c>
      <c r="B203">
        <v>304</v>
      </c>
    </row>
    <row r="204" spans="1:2" x14ac:dyDescent="0.3">
      <c r="A204">
        <v>14</v>
      </c>
      <c r="B204">
        <v>351</v>
      </c>
    </row>
    <row r="205" spans="1:2" x14ac:dyDescent="0.3">
      <c r="A205">
        <v>14</v>
      </c>
      <c r="B205">
        <v>318</v>
      </c>
    </row>
    <row r="206" spans="1:2" x14ac:dyDescent="0.3">
      <c r="A206">
        <v>15</v>
      </c>
      <c r="B206">
        <v>318</v>
      </c>
    </row>
    <row r="207" spans="1:2" x14ac:dyDescent="0.3">
      <c r="A207">
        <v>12</v>
      </c>
      <c r="B207">
        <v>350</v>
      </c>
    </row>
    <row r="208" spans="1:2" x14ac:dyDescent="0.3">
      <c r="A208">
        <v>13</v>
      </c>
      <c r="B208">
        <v>350</v>
      </c>
    </row>
    <row r="209" spans="1:2" x14ac:dyDescent="0.3">
      <c r="A209">
        <v>13</v>
      </c>
      <c r="B209">
        <v>302</v>
      </c>
    </row>
    <row r="210" spans="1:2" x14ac:dyDescent="0.3">
      <c r="A210">
        <v>13</v>
      </c>
      <c r="B210">
        <v>307</v>
      </c>
    </row>
    <row r="211" spans="1:2" x14ac:dyDescent="0.3">
      <c r="A211">
        <v>19</v>
      </c>
      <c r="B211">
        <v>122</v>
      </c>
    </row>
    <row r="212" spans="1:2" x14ac:dyDescent="0.3">
      <c r="A212">
        <v>21</v>
      </c>
      <c r="B212">
        <v>140</v>
      </c>
    </row>
    <row r="213" spans="1:2" x14ac:dyDescent="0.3">
      <c r="A213">
        <v>21</v>
      </c>
      <c r="B213">
        <v>155</v>
      </c>
    </row>
    <row r="214" spans="1:2" x14ac:dyDescent="0.3">
      <c r="A214">
        <v>18</v>
      </c>
      <c r="B214">
        <v>232</v>
      </c>
    </row>
    <row r="215" spans="1:2" x14ac:dyDescent="0.3">
      <c r="A215">
        <v>18</v>
      </c>
      <c r="B215">
        <v>232</v>
      </c>
    </row>
    <row r="216" spans="1:2" x14ac:dyDescent="0.3">
      <c r="A216">
        <v>18</v>
      </c>
      <c r="B216">
        <v>225</v>
      </c>
    </row>
    <row r="217" spans="1:2" x14ac:dyDescent="0.3">
      <c r="A217">
        <v>23</v>
      </c>
      <c r="B217">
        <v>198</v>
      </c>
    </row>
    <row r="218" spans="1:2" x14ac:dyDescent="0.3">
      <c r="A218">
        <v>16</v>
      </c>
      <c r="B218">
        <v>250</v>
      </c>
    </row>
    <row r="219" spans="1:2" x14ac:dyDescent="0.3">
      <c r="A219">
        <v>18</v>
      </c>
      <c r="B219">
        <v>250</v>
      </c>
    </row>
    <row r="220" spans="1:2" x14ac:dyDescent="0.3">
      <c r="A220">
        <v>16</v>
      </c>
      <c r="B220">
        <v>400</v>
      </c>
    </row>
    <row r="221" spans="1:2" x14ac:dyDescent="0.3">
      <c r="A221">
        <v>11</v>
      </c>
      <c r="B221">
        <v>350</v>
      </c>
    </row>
    <row r="222" spans="1:2" x14ac:dyDescent="0.3">
      <c r="A222">
        <v>13</v>
      </c>
      <c r="B222">
        <v>360</v>
      </c>
    </row>
    <row r="223" spans="1:2" x14ac:dyDescent="0.3">
      <c r="A223">
        <v>12</v>
      </c>
      <c r="B223">
        <v>455</v>
      </c>
    </row>
    <row r="224" spans="1:2" x14ac:dyDescent="0.3">
      <c r="A224">
        <v>13</v>
      </c>
      <c r="B224">
        <v>440</v>
      </c>
    </row>
    <row r="225" spans="1:2" x14ac:dyDescent="0.3">
      <c r="A225">
        <v>15</v>
      </c>
      <c r="B225">
        <v>318</v>
      </c>
    </row>
    <row r="226" spans="1:2" x14ac:dyDescent="0.3">
      <c r="A226">
        <v>13</v>
      </c>
      <c r="B226">
        <v>350</v>
      </c>
    </row>
    <row r="227" spans="1:2" x14ac:dyDescent="0.3">
      <c r="A227">
        <v>14</v>
      </c>
      <c r="B227">
        <v>304</v>
      </c>
    </row>
    <row r="228" spans="1:2" x14ac:dyDescent="0.3">
      <c r="A228">
        <v>12</v>
      </c>
      <c r="B228">
        <v>429</v>
      </c>
    </row>
    <row r="229" spans="1:2" x14ac:dyDescent="0.3">
      <c r="A229">
        <v>12</v>
      </c>
      <c r="B229">
        <v>350</v>
      </c>
    </row>
    <row r="230" spans="1:2" x14ac:dyDescent="0.3">
      <c r="A230">
        <v>15</v>
      </c>
      <c r="B230">
        <v>318</v>
      </c>
    </row>
    <row r="231" spans="1:2" x14ac:dyDescent="0.3">
      <c r="A231">
        <v>13</v>
      </c>
      <c r="B231">
        <v>360</v>
      </c>
    </row>
    <row r="232" spans="1:2" x14ac:dyDescent="0.3">
      <c r="A232">
        <v>13</v>
      </c>
      <c r="B232">
        <v>350</v>
      </c>
    </row>
    <row r="233" spans="1:2" x14ac:dyDescent="0.3">
      <c r="A233">
        <v>13</v>
      </c>
      <c r="B233">
        <v>351</v>
      </c>
    </row>
    <row r="234" spans="1:2" x14ac:dyDescent="0.3">
      <c r="A234">
        <v>15</v>
      </c>
      <c r="B234">
        <v>350</v>
      </c>
    </row>
    <row r="235" spans="1:2" x14ac:dyDescent="0.3">
      <c r="A235">
        <v>14</v>
      </c>
      <c r="B235">
        <v>318</v>
      </c>
    </row>
    <row r="236" spans="1:2" x14ac:dyDescent="0.3">
      <c r="A236">
        <v>12</v>
      </c>
      <c r="B236">
        <v>400</v>
      </c>
    </row>
    <row r="237" spans="1:2" x14ac:dyDescent="0.3">
      <c r="A237">
        <v>14</v>
      </c>
      <c r="B237">
        <v>302</v>
      </c>
    </row>
    <row r="238" spans="1:2" x14ac:dyDescent="0.3">
      <c r="A238">
        <v>13</v>
      </c>
      <c r="B238">
        <v>400</v>
      </c>
    </row>
    <row r="239" spans="1:2" x14ac:dyDescent="0.3">
      <c r="A239">
        <v>11</v>
      </c>
      <c r="B239">
        <v>400</v>
      </c>
    </row>
    <row r="240" spans="1:2" x14ac:dyDescent="0.3">
      <c r="A240">
        <v>28</v>
      </c>
      <c r="B240">
        <v>90</v>
      </c>
    </row>
    <row r="241" spans="1:2" x14ac:dyDescent="0.3">
      <c r="A241">
        <v>26</v>
      </c>
      <c r="B241">
        <v>122</v>
      </c>
    </row>
    <row r="242" spans="1:2" x14ac:dyDescent="0.3">
      <c r="A242">
        <v>25</v>
      </c>
      <c r="B242">
        <v>140</v>
      </c>
    </row>
    <row r="243" spans="1:2" x14ac:dyDescent="0.3">
      <c r="A243">
        <v>19</v>
      </c>
      <c r="B243">
        <v>232</v>
      </c>
    </row>
    <row r="244" spans="1:2" x14ac:dyDescent="0.3">
      <c r="A244">
        <v>20</v>
      </c>
      <c r="B244">
        <v>198</v>
      </c>
    </row>
    <row r="245" spans="1:2" x14ac:dyDescent="0.3">
      <c r="A245">
        <v>16</v>
      </c>
      <c r="B245">
        <v>258</v>
      </c>
    </row>
    <row r="246" spans="1:2" x14ac:dyDescent="0.3">
      <c r="A246">
        <v>15</v>
      </c>
      <c r="B246">
        <v>250</v>
      </c>
    </row>
    <row r="247" spans="1:2" x14ac:dyDescent="0.3">
      <c r="A247">
        <v>18</v>
      </c>
      <c r="B247">
        <v>225</v>
      </c>
    </row>
    <row r="248" spans="1:2" x14ac:dyDescent="0.3">
      <c r="A248">
        <v>16</v>
      </c>
      <c r="B248">
        <v>250</v>
      </c>
    </row>
    <row r="249" spans="1:2" x14ac:dyDescent="0.3">
      <c r="A249">
        <v>21</v>
      </c>
      <c r="B249">
        <v>200</v>
      </c>
    </row>
    <row r="250" spans="1:2" x14ac:dyDescent="0.3">
      <c r="A250">
        <v>14</v>
      </c>
      <c r="B250">
        <v>304</v>
      </c>
    </row>
    <row r="251" spans="1:2" x14ac:dyDescent="0.3">
      <c r="A251">
        <v>16</v>
      </c>
      <c r="B251">
        <v>302</v>
      </c>
    </row>
    <row r="252" spans="1:2" x14ac:dyDescent="0.3">
      <c r="A252">
        <v>14</v>
      </c>
      <c r="B252">
        <v>318</v>
      </c>
    </row>
    <row r="253" spans="1:2" x14ac:dyDescent="0.3">
      <c r="A253">
        <v>13</v>
      </c>
      <c r="B253">
        <v>350</v>
      </c>
    </row>
    <row r="254" spans="1:2" x14ac:dyDescent="0.3">
      <c r="A254">
        <v>14</v>
      </c>
      <c r="B254">
        <v>302</v>
      </c>
    </row>
    <row r="255" spans="1:2" x14ac:dyDescent="0.3">
      <c r="A255">
        <v>23</v>
      </c>
      <c r="B255">
        <v>140</v>
      </c>
    </row>
    <row r="256" spans="1:2" x14ac:dyDescent="0.3">
      <c r="A256">
        <v>23</v>
      </c>
      <c r="B256">
        <v>140</v>
      </c>
    </row>
    <row r="257" spans="1:2" x14ac:dyDescent="0.3">
      <c r="A257">
        <v>21</v>
      </c>
      <c r="B257">
        <v>231</v>
      </c>
    </row>
    <row r="258" spans="1:2" x14ac:dyDescent="0.3">
      <c r="A258">
        <v>20</v>
      </c>
      <c r="B258">
        <v>232</v>
      </c>
    </row>
    <row r="259" spans="1:2" x14ac:dyDescent="0.3">
      <c r="A259">
        <v>18</v>
      </c>
      <c r="B259">
        <v>171</v>
      </c>
    </row>
    <row r="260" spans="1:2" x14ac:dyDescent="0.3">
      <c r="A260">
        <v>18</v>
      </c>
      <c r="B260">
        <v>250</v>
      </c>
    </row>
    <row r="261" spans="1:2" x14ac:dyDescent="0.3">
      <c r="A261">
        <v>15</v>
      </c>
      <c r="B261">
        <v>258</v>
      </c>
    </row>
    <row r="262" spans="1:2" x14ac:dyDescent="0.3">
      <c r="A262">
        <v>19</v>
      </c>
      <c r="B262">
        <v>225</v>
      </c>
    </row>
    <row r="263" spans="1:2" x14ac:dyDescent="0.3">
      <c r="A263">
        <v>17</v>
      </c>
      <c r="B263">
        <v>231</v>
      </c>
    </row>
    <row r="264" spans="1:2" x14ac:dyDescent="0.3">
      <c r="A264">
        <v>19</v>
      </c>
      <c r="B264">
        <v>232</v>
      </c>
    </row>
    <row r="265" spans="1:2" x14ac:dyDescent="0.3">
      <c r="A265">
        <v>16</v>
      </c>
      <c r="B265">
        <v>250</v>
      </c>
    </row>
    <row r="266" spans="1:2" x14ac:dyDescent="0.3">
      <c r="A266">
        <v>18</v>
      </c>
      <c r="B266">
        <v>225</v>
      </c>
    </row>
    <row r="267" spans="1:2" x14ac:dyDescent="0.3">
      <c r="A267">
        <v>15</v>
      </c>
      <c r="B267">
        <v>250</v>
      </c>
    </row>
    <row r="268" spans="1:2" x14ac:dyDescent="0.3">
      <c r="A268">
        <v>15</v>
      </c>
      <c r="B268">
        <v>250</v>
      </c>
    </row>
    <row r="269" spans="1:2" x14ac:dyDescent="0.3">
      <c r="A269">
        <v>13</v>
      </c>
      <c r="B269">
        <v>302</v>
      </c>
    </row>
    <row r="270" spans="1:2" x14ac:dyDescent="0.3">
      <c r="A270">
        <v>16</v>
      </c>
      <c r="B270">
        <v>400</v>
      </c>
    </row>
    <row r="271" spans="1:2" x14ac:dyDescent="0.3">
      <c r="A271">
        <v>20</v>
      </c>
      <c r="B271">
        <v>262</v>
      </c>
    </row>
    <row r="272" spans="1:2" x14ac:dyDescent="0.3">
      <c r="A272">
        <v>16</v>
      </c>
      <c r="B272">
        <v>318</v>
      </c>
    </row>
    <row r="273" spans="1:2" x14ac:dyDescent="0.3">
      <c r="A273">
        <v>15</v>
      </c>
      <c r="B273">
        <v>350</v>
      </c>
    </row>
    <row r="274" spans="1:2" x14ac:dyDescent="0.3">
      <c r="A274">
        <v>14</v>
      </c>
      <c r="B274">
        <v>351</v>
      </c>
    </row>
    <row r="275" spans="1:2" x14ac:dyDescent="0.3">
      <c r="A275">
        <v>25</v>
      </c>
      <c r="B275">
        <v>140</v>
      </c>
    </row>
    <row r="276" spans="1:2" x14ac:dyDescent="0.3">
      <c r="A276">
        <v>26</v>
      </c>
      <c r="B276">
        <v>98</v>
      </c>
    </row>
    <row r="277" spans="1:2" x14ac:dyDescent="0.3">
      <c r="A277">
        <v>26.5</v>
      </c>
      <c r="B277">
        <v>140</v>
      </c>
    </row>
    <row r="278" spans="1:2" x14ac:dyDescent="0.3">
      <c r="A278">
        <v>24.5</v>
      </c>
      <c r="B278">
        <v>98</v>
      </c>
    </row>
    <row r="279" spans="1:2" x14ac:dyDescent="0.3">
      <c r="A279">
        <v>29</v>
      </c>
      <c r="B279">
        <v>85</v>
      </c>
    </row>
    <row r="280" spans="1:2" x14ac:dyDescent="0.3">
      <c r="A280">
        <v>22</v>
      </c>
      <c r="B280">
        <v>250</v>
      </c>
    </row>
    <row r="281" spans="1:2" x14ac:dyDescent="0.3">
      <c r="A281">
        <v>22</v>
      </c>
      <c r="B281">
        <v>225</v>
      </c>
    </row>
    <row r="282" spans="1:2" x14ac:dyDescent="0.3">
      <c r="A282">
        <v>18.5</v>
      </c>
      <c r="B282">
        <v>250</v>
      </c>
    </row>
    <row r="283" spans="1:2" x14ac:dyDescent="0.3">
      <c r="A283">
        <v>17.5</v>
      </c>
      <c r="B283">
        <v>258</v>
      </c>
    </row>
    <row r="284" spans="1:2" x14ac:dyDescent="0.3">
      <c r="A284">
        <v>22.5</v>
      </c>
      <c r="B284">
        <v>232</v>
      </c>
    </row>
    <row r="285" spans="1:2" x14ac:dyDescent="0.3">
      <c r="A285">
        <v>20</v>
      </c>
      <c r="B285">
        <v>225</v>
      </c>
    </row>
    <row r="286" spans="1:2" x14ac:dyDescent="0.3">
      <c r="A286">
        <v>24</v>
      </c>
      <c r="B286">
        <v>200</v>
      </c>
    </row>
    <row r="287" spans="1:2" x14ac:dyDescent="0.3">
      <c r="A287">
        <v>18</v>
      </c>
      <c r="B287">
        <v>250</v>
      </c>
    </row>
    <row r="288" spans="1:2" x14ac:dyDescent="0.3">
      <c r="A288">
        <v>16.5</v>
      </c>
      <c r="B288">
        <v>350</v>
      </c>
    </row>
    <row r="289" spans="1:2" x14ac:dyDescent="0.3">
      <c r="A289">
        <v>13</v>
      </c>
      <c r="B289">
        <v>318</v>
      </c>
    </row>
    <row r="290" spans="1:2" x14ac:dyDescent="0.3">
      <c r="A290">
        <v>13</v>
      </c>
      <c r="B290">
        <v>318</v>
      </c>
    </row>
    <row r="291" spans="1:2" x14ac:dyDescent="0.3">
      <c r="A291">
        <v>14.5</v>
      </c>
      <c r="B291">
        <v>351</v>
      </c>
    </row>
    <row r="292" spans="1:2" x14ac:dyDescent="0.3">
      <c r="A292">
        <v>13</v>
      </c>
      <c r="B292">
        <v>350</v>
      </c>
    </row>
    <row r="293" spans="1:2" x14ac:dyDescent="0.3">
      <c r="A293">
        <v>16</v>
      </c>
      <c r="B293">
        <v>318</v>
      </c>
    </row>
    <row r="294" spans="1:2" x14ac:dyDescent="0.3">
      <c r="A294">
        <v>13</v>
      </c>
      <c r="B294">
        <v>302</v>
      </c>
    </row>
    <row r="295" spans="1:2" x14ac:dyDescent="0.3">
      <c r="A295">
        <v>17.5</v>
      </c>
      <c r="B295">
        <v>305</v>
      </c>
    </row>
    <row r="296" spans="1:2" x14ac:dyDescent="0.3">
      <c r="A296">
        <v>15.5</v>
      </c>
      <c r="B296">
        <v>304</v>
      </c>
    </row>
    <row r="297" spans="1:2" x14ac:dyDescent="0.3">
      <c r="A297">
        <v>25.5</v>
      </c>
      <c r="B297">
        <v>122</v>
      </c>
    </row>
    <row r="298" spans="1:2" x14ac:dyDescent="0.3">
      <c r="A298">
        <v>33.5</v>
      </c>
      <c r="B298">
        <v>98</v>
      </c>
    </row>
    <row r="299" spans="1:2" x14ac:dyDescent="0.3">
      <c r="A299">
        <v>30</v>
      </c>
      <c r="B299">
        <v>111</v>
      </c>
    </row>
    <row r="300" spans="1:2" x14ac:dyDescent="0.3">
      <c r="A300">
        <v>25.5</v>
      </c>
      <c r="B300">
        <v>140</v>
      </c>
    </row>
    <row r="301" spans="1:2" x14ac:dyDescent="0.3">
      <c r="A301">
        <v>24.5</v>
      </c>
      <c r="B301">
        <v>151</v>
      </c>
    </row>
    <row r="302" spans="1:2" x14ac:dyDescent="0.3">
      <c r="A302">
        <v>30.5</v>
      </c>
      <c r="B302">
        <v>98</v>
      </c>
    </row>
    <row r="303" spans="1:2" x14ac:dyDescent="0.3">
      <c r="A303">
        <v>17.5</v>
      </c>
      <c r="B303">
        <v>250</v>
      </c>
    </row>
    <row r="304" spans="1:2" x14ac:dyDescent="0.3">
      <c r="A304">
        <v>20.5</v>
      </c>
      <c r="B304">
        <v>231</v>
      </c>
    </row>
    <row r="305" spans="1:2" x14ac:dyDescent="0.3">
      <c r="A305">
        <v>18.5</v>
      </c>
      <c r="B305">
        <v>250</v>
      </c>
    </row>
    <row r="306" spans="1:2" x14ac:dyDescent="0.3">
      <c r="A306">
        <v>19</v>
      </c>
      <c r="B306">
        <v>225</v>
      </c>
    </row>
    <row r="307" spans="1:2" x14ac:dyDescent="0.3">
      <c r="A307">
        <v>15.5</v>
      </c>
      <c r="B307">
        <v>400</v>
      </c>
    </row>
    <row r="308" spans="1:2" x14ac:dyDescent="0.3">
      <c r="A308">
        <v>16</v>
      </c>
      <c r="B308">
        <v>400</v>
      </c>
    </row>
    <row r="309" spans="1:2" x14ac:dyDescent="0.3">
      <c r="A309">
        <v>15.5</v>
      </c>
      <c r="B309">
        <v>350</v>
      </c>
    </row>
    <row r="310" spans="1:2" x14ac:dyDescent="0.3">
      <c r="A310">
        <v>17.5</v>
      </c>
      <c r="B310">
        <v>305</v>
      </c>
    </row>
    <row r="311" spans="1:2" x14ac:dyDescent="0.3">
      <c r="A311">
        <v>15.5</v>
      </c>
      <c r="B311">
        <v>318</v>
      </c>
    </row>
    <row r="312" spans="1:2" x14ac:dyDescent="0.3">
      <c r="A312">
        <v>16</v>
      </c>
      <c r="B312">
        <v>351</v>
      </c>
    </row>
    <row r="313" spans="1:2" x14ac:dyDescent="0.3">
      <c r="A313">
        <v>15</v>
      </c>
      <c r="B313">
        <v>302</v>
      </c>
    </row>
    <row r="314" spans="1:2" x14ac:dyDescent="0.3">
      <c r="A314">
        <v>17</v>
      </c>
      <c r="B314">
        <v>260</v>
      </c>
    </row>
    <row r="315" spans="1:2" x14ac:dyDescent="0.3">
      <c r="A315">
        <v>23.2</v>
      </c>
      <c r="B315">
        <v>156</v>
      </c>
    </row>
    <row r="316" spans="1:2" x14ac:dyDescent="0.3">
      <c r="A316">
        <v>36.1</v>
      </c>
      <c r="B316">
        <v>98</v>
      </c>
    </row>
    <row r="317" spans="1:2" x14ac:dyDescent="0.3">
      <c r="A317">
        <v>30.9</v>
      </c>
      <c r="B317">
        <v>105</v>
      </c>
    </row>
    <row r="318" spans="1:2" x14ac:dyDescent="0.3">
      <c r="A318">
        <v>25.1</v>
      </c>
      <c r="B318">
        <v>140</v>
      </c>
    </row>
    <row r="319" spans="1:2" x14ac:dyDescent="0.3">
      <c r="A319">
        <v>30</v>
      </c>
      <c r="B319">
        <v>98</v>
      </c>
    </row>
    <row r="320" spans="1:2" x14ac:dyDescent="0.3">
      <c r="A320">
        <v>23.8</v>
      </c>
      <c r="B320">
        <v>151</v>
      </c>
    </row>
    <row r="321" spans="1:2" x14ac:dyDescent="0.3">
      <c r="A321">
        <v>17.7</v>
      </c>
      <c r="B321">
        <v>231</v>
      </c>
    </row>
    <row r="322" spans="1:2" x14ac:dyDescent="0.3">
      <c r="A322">
        <v>18.100000000000001</v>
      </c>
      <c r="B322">
        <v>258</v>
      </c>
    </row>
    <row r="323" spans="1:2" x14ac:dyDescent="0.3">
      <c r="A323">
        <v>20.6</v>
      </c>
      <c r="B323">
        <v>231</v>
      </c>
    </row>
    <row r="324" spans="1:2" x14ac:dyDescent="0.3">
      <c r="A324">
        <v>18.600000000000001</v>
      </c>
      <c r="B324">
        <v>225</v>
      </c>
    </row>
    <row r="325" spans="1:2" x14ac:dyDescent="0.3">
      <c r="A325">
        <v>20.5</v>
      </c>
      <c r="B325">
        <v>200</v>
      </c>
    </row>
    <row r="326" spans="1:2" x14ac:dyDescent="0.3">
      <c r="A326">
        <v>19.2</v>
      </c>
      <c r="B326">
        <v>231</v>
      </c>
    </row>
    <row r="327" spans="1:2" x14ac:dyDescent="0.3">
      <c r="A327">
        <v>20.5</v>
      </c>
      <c r="B327">
        <v>225</v>
      </c>
    </row>
    <row r="328" spans="1:2" x14ac:dyDescent="0.3">
      <c r="A328">
        <v>20.2</v>
      </c>
      <c r="B328">
        <v>200</v>
      </c>
    </row>
    <row r="329" spans="1:2" x14ac:dyDescent="0.3">
      <c r="A329">
        <v>19.399999999999999</v>
      </c>
      <c r="B329">
        <v>232</v>
      </c>
    </row>
    <row r="330" spans="1:2" x14ac:dyDescent="0.3">
      <c r="A330">
        <v>20.8</v>
      </c>
      <c r="B330">
        <v>200</v>
      </c>
    </row>
    <row r="331" spans="1:2" x14ac:dyDescent="0.3">
      <c r="A331">
        <v>18.100000000000001</v>
      </c>
      <c r="B331">
        <v>302</v>
      </c>
    </row>
    <row r="332" spans="1:2" x14ac:dyDescent="0.3">
      <c r="A332">
        <v>19.2</v>
      </c>
      <c r="B332">
        <v>305</v>
      </c>
    </row>
    <row r="333" spans="1:2" x14ac:dyDescent="0.3">
      <c r="A333">
        <v>20.2</v>
      </c>
      <c r="B333">
        <v>302</v>
      </c>
    </row>
    <row r="334" spans="1:2" x14ac:dyDescent="0.3">
      <c r="A334">
        <v>19.399999999999999</v>
      </c>
      <c r="B334">
        <v>318</v>
      </c>
    </row>
    <row r="335" spans="1:2" x14ac:dyDescent="0.3">
      <c r="A335">
        <v>17.5</v>
      </c>
      <c r="B335">
        <v>318</v>
      </c>
    </row>
    <row r="336" spans="1:2" x14ac:dyDescent="0.3">
      <c r="A336">
        <v>19.899999999999999</v>
      </c>
      <c r="B336">
        <v>260</v>
      </c>
    </row>
    <row r="337" spans="1:2" x14ac:dyDescent="0.3">
      <c r="A337">
        <v>35.700000000000003</v>
      </c>
      <c r="B337">
        <v>98</v>
      </c>
    </row>
    <row r="338" spans="1:2" x14ac:dyDescent="0.3">
      <c r="A338">
        <v>33.5</v>
      </c>
      <c r="B338">
        <v>151</v>
      </c>
    </row>
    <row r="339" spans="1:2" x14ac:dyDescent="0.3">
      <c r="A339">
        <v>28.4</v>
      </c>
      <c r="B339">
        <v>151</v>
      </c>
    </row>
    <row r="340" spans="1:2" x14ac:dyDescent="0.3">
      <c r="A340">
        <v>34.5</v>
      </c>
      <c r="B340">
        <v>105</v>
      </c>
    </row>
    <row r="341" spans="1:2" x14ac:dyDescent="0.3">
      <c r="A341">
        <v>34.200000000000003</v>
      </c>
      <c r="B341">
        <v>105</v>
      </c>
    </row>
    <row r="342" spans="1:2" x14ac:dyDescent="0.3">
      <c r="A342">
        <v>22.3</v>
      </c>
      <c r="B342">
        <v>140</v>
      </c>
    </row>
    <row r="343" spans="1:2" x14ac:dyDescent="0.3">
      <c r="A343">
        <v>27.4</v>
      </c>
      <c r="B343">
        <v>121</v>
      </c>
    </row>
    <row r="344" spans="1:2" x14ac:dyDescent="0.3">
      <c r="A344">
        <v>28.8</v>
      </c>
      <c r="B344">
        <v>173</v>
      </c>
    </row>
    <row r="345" spans="1:2" x14ac:dyDescent="0.3">
      <c r="A345">
        <v>26.8</v>
      </c>
      <c r="B345">
        <v>173</v>
      </c>
    </row>
    <row r="346" spans="1:2" x14ac:dyDescent="0.3">
      <c r="A346">
        <v>21.5</v>
      </c>
      <c r="B346">
        <v>231</v>
      </c>
    </row>
    <row r="347" spans="1:2" x14ac:dyDescent="0.3">
      <c r="A347">
        <v>20.6</v>
      </c>
      <c r="B347">
        <v>225</v>
      </c>
    </row>
    <row r="348" spans="1:2" x14ac:dyDescent="0.3">
      <c r="A348">
        <v>19.8</v>
      </c>
      <c r="B348">
        <v>200</v>
      </c>
    </row>
    <row r="349" spans="1:2" x14ac:dyDescent="0.3">
      <c r="A349">
        <v>20.2</v>
      </c>
      <c r="B349">
        <v>232</v>
      </c>
    </row>
    <row r="350" spans="1:2" x14ac:dyDescent="0.3">
      <c r="A350">
        <v>18.5</v>
      </c>
      <c r="B350">
        <v>360</v>
      </c>
    </row>
    <row r="351" spans="1:2" x14ac:dyDescent="0.3">
      <c r="A351">
        <v>16.899999999999999</v>
      </c>
      <c r="B351">
        <v>350</v>
      </c>
    </row>
    <row r="352" spans="1:2" x14ac:dyDescent="0.3">
      <c r="A352">
        <v>18.2</v>
      </c>
      <c r="B352">
        <v>318</v>
      </c>
    </row>
    <row r="353" spans="1:2" x14ac:dyDescent="0.3">
      <c r="A353">
        <v>15.5</v>
      </c>
      <c r="B353">
        <v>351</v>
      </c>
    </row>
    <row r="354" spans="1:2" x14ac:dyDescent="0.3">
      <c r="A354">
        <v>16.5</v>
      </c>
      <c r="B354">
        <v>351</v>
      </c>
    </row>
    <row r="355" spans="1:2" x14ac:dyDescent="0.3">
      <c r="A355">
        <v>19.2</v>
      </c>
      <c r="B355">
        <v>267</v>
      </c>
    </row>
    <row r="356" spans="1:2" x14ac:dyDescent="0.3">
      <c r="A356">
        <v>17.600000000000001</v>
      </c>
      <c r="B356">
        <v>302</v>
      </c>
    </row>
    <row r="357" spans="1:2" x14ac:dyDescent="0.3">
      <c r="A357">
        <v>17</v>
      </c>
      <c r="B357">
        <v>305</v>
      </c>
    </row>
    <row r="358" spans="1:2" x14ac:dyDescent="0.3">
      <c r="A358">
        <v>23</v>
      </c>
      <c r="B358">
        <v>350</v>
      </c>
    </row>
    <row r="359" spans="1:2" x14ac:dyDescent="0.3">
      <c r="A359">
        <v>23.9</v>
      </c>
      <c r="B359">
        <v>260</v>
      </c>
    </row>
    <row r="360" spans="1:2" x14ac:dyDescent="0.3">
      <c r="A360">
        <v>27.9</v>
      </c>
      <c r="B360">
        <v>156</v>
      </c>
    </row>
    <row r="361" spans="1:2" x14ac:dyDescent="0.3">
      <c r="A361">
        <v>28</v>
      </c>
      <c r="B361">
        <v>151</v>
      </c>
    </row>
    <row r="362" spans="1:2" x14ac:dyDescent="0.3">
      <c r="A362">
        <v>32.1</v>
      </c>
      <c r="B362">
        <v>98</v>
      </c>
    </row>
    <row r="363" spans="1:2" x14ac:dyDescent="0.3">
      <c r="A363">
        <v>26.4</v>
      </c>
      <c r="B363">
        <v>140</v>
      </c>
    </row>
    <row r="364" spans="1:2" x14ac:dyDescent="0.3">
      <c r="A364">
        <v>24.3</v>
      </c>
      <c r="B364">
        <v>151</v>
      </c>
    </row>
    <row r="365" spans="1:2" x14ac:dyDescent="0.3">
      <c r="A365">
        <v>23.6</v>
      </c>
      <c r="B365">
        <v>140</v>
      </c>
    </row>
    <row r="366" spans="1:2" x14ac:dyDescent="0.3">
      <c r="A366">
        <v>19.100000000000001</v>
      </c>
      <c r="B366">
        <v>225</v>
      </c>
    </row>
    <row r="367" spans="1:2" x14ac:dyDescent="0.3">
      <c r="A367">
        <v>30</v>
      </c>
      <c r="B367">
        <v>135</v>
      </c>
    </row>
    <row r="368" spans="1:2" x14ac:dyDescent="0.3">
      <c r="A368">
        <v>25.8</v>
      </c>
      <c r="B368">
        <v>156</v>
      </c>
    </row>
    <row r="369" spans="1:2" x14ac:dyDescent="0.3">
      <c r="A369">
        <v>39</v>
      </c>
      <c r="B369">
        <v>86</v>
      </c>
    </row>
    <row r="370" spans="1:2" x14ac:dyDescent="0.3">
      <c r="A370">
        <v>27.2</v>
      </c>
      <c r="B370">
        <v>135</v>
      </c>
    </row>
    <row r="371" spans="1:2" x14ac:dyDescent="0.3">
      <c r="A371">
        <v>26.6</v>
      </c>
      <c r="B371">
        <v>151</v>
      </c>
    </row>
    <row r="372" spans="1:2" x14ac:dyDescent="0.3">
      <c r="A372">
        <v>34.4</v>
      </c>
      <c r="B372">
        <v>98</v>
      </c>
    </row>
    <row r="373" spans="1:2" x14ac:dyDescent="0.3">
      <c r="A373">
        <v>34.700000000000003</v>
      </c>
      <c r="B373">
        <v>105</v>
      </c>
    </row>
    <row r="374" spans="1:2" x14ac:dyDescent="0.3">
      <c r="A374">
        <v>29.9</v>
      </c>
      <c r="B374">
        <v>98</v>
      </c>
    </row>
    <row r="375" spans="1:2" x14ac:dyDescent="0.3">
      <c r="A375">
        <v>23.5</v>
      </c>
      <c r="B375">
        <v>173</v>
      </c>
    </row>
    <row r="376" spans="1:2" x14ac:dyDescent="0.3">
      <c r="A376">
        <v>22.4</v>
      </c>
      <c r="B376">
        <v>231</v>
      </c>
    </row>
    <row r="377" spans="1:2" x14ac:dyDescent="0.3">
      <c r="A377">
        <v>20.2</v>
      </c>
      <c r="B377">
        <v>200</v>
      </c>
    </row>
    <row r="378" spans="1:2" x14ac:dyDescent="0.3">
      <c r="A378">
        <v>17.600000000000001</v>
      </c>
      <c r="B378">
        <v>225</v>
      </c>
    </row>
    <row r="379" spans="1:2" x14ac:dyDescent="0.3">
      <c r="A379">
        <v>26.6</v>
      </c>
      <c r="B379">
        <v>350</v>
      </c>
    </row>
    <row r="380" spans="1:2" x14ac:dyDescent="0.3">
      <c r="A380">
        <v>34</v>
      </c>
      <c r="B380">
        <v>112</v>
      </c>
    </row>
    <row r="381" spans="1:2" x14ac:dyDescent="0.3">
      <c r="A381">
        <v>32</v>
      </c>
      <c r="B381">
        <v>135</v>
      </c>
    </row>
    <row r="382" spans="1:2" x14ac:dyDescent="0.3">
      <c r="A382">
        <v>26</v>
      </c>
      <c r="B382">
        <v>156</v>
      </c>
    </row>
    <row r="383" spans="1:2" x14ac:dyDescent="0.3">
      <c r="A383">
        <v>36</v>
      </c>
      <c r="B383">
        <v>135</v>
      </c>
    </row>
    <row r="384" spans="1:2" x14ac:dyDescent="0.3">
      <c r="A384">
        <v>28</v>
      </c>
      <c r="B384">
        <v>112</v>
      </c>
    </row>
    <row r="385" spans="1:2" x14ac:dyDescent="0.3">
      <c r="A385">
        <v>27</v>
      </c>
      <c r="B385">
        <v>112</v>
      </c>
    </row>
    <row r="386" spans="1:2" x14ac:dyDescent="0.3">
      <c r="A386">
        <v>29</v>
      </c>
      <c r="B386">
        <v>135</v>
      </c>
    </row>
    <row r="387" spans="1:2" x14ac:dyDescent="0.3">
      <c r="A387">
        <v>31</v>
      </c>
      <c r="B387">
        <v>112</v>
      </c>
    </row>
    <row r="388" spans="1:2" x14ac:dyDescent="0.3">
      <c r="A388">
        <v>36</v>
      </c>
      <c r="B388">
        <v>98</v>
      </c>
    </row>
    <row r="389" spans="1:2" x14ac:dyDescent="0.3">
      <c r="A389">
        <v>27</v>
      </c>
      <c r="B389">
        <v>151</v>
      </c>
    </row>
    <row r="390" spans="1:2" x14ac:dyDescent="0.3">
      <c r="A390">
        <v>24</v>
      </c>
      <c r="B390">
        <v>140</v>
      </c>
    </row>
    <row r="391" spans="1:2" x14ac:dyDescent="0.3">
      <c r="A391">
        <v>27</v>
      </c>
      <c r="B391">
        <v>140</v>
      </c>
    </row>
    <row r="392" spans="1:2" x14ac:dyDescent="0.3">
      <c r="A392">
        <v>27</v>
      </c>
      <c r="B392">
        <v>151</v>
      </c>
    </row>
    <row r="393" spans="1:2" x14ac:dyDescent="0.3">
      <c r="A393">
        <v>31</v>
      </c>
      <c r="B393">
        <v>119</v>
      </c>
    </row>
    <row r="394" spans="1:2" x14ac:dyDescent="0.3">
      <c r="A394">
        <v>28</v>
      </c>
      <c r="B394">
        <v>120</v>
      </c>
    </row>
    <row r="395" spans="1:2" x14ac:dyDescent="0.3">
      <c r="A395">
        <v>38</v>
      </c>
      <c r="B395">
        <v>105</v>
      </c>
    </row>
    <row r="396" spans="1:2" x14ac:dyDescent="0.3">
      <c r="A396">
        <v>23</v>
      </c>
      <c r="B396">
        <v>151</v>
      </c>
    </row>
    <row r="397" spans="1:2" x14ac:dyDescent="0.3">
      <c r="A397">
        <v>22</v>
      </c>
      <c r="B397">
        <v>232</v>
      </c>
    </row>
    <row r="398" spans="1:2" x14ac:dyDescent="0.3">
      <c r="A398">
        <v>25</v>
      </c>
      <c r="B398">
        <v>181</v>
      </c>
    </row>
    <row r="399" spans="1:2" x14ac:dyDescent="0.3">
      <c r="A399">
        <v>38</v>
      </c>
      <c r="B399">
        <v>262</v>
      </c>
    </row>
    <row r="403" spans="1:1" x14ac:dyDescent="0.3">
      <c r="A403" t="s">
        <v>338</v>
      </c>
    </row>
    <row r="404" spans="1:1" x14ac:dyDescent="0.3">
      <c r="A404">
        <v>7.2909915748541804E-2</v>
      </c>
    </row>
    <row r="405" spans="1:1" x14ac:dyDescent="0.3">
      <c r="A405">
        <v>5.3763440860215055E-2</v>
      </c>
    </row>
    <row r="406" spans="1:1" x14ac:dyDescent="0.3">
      <c r="A406">
        <v>5.0847457627118647E-2</v>
      </c>
    </row>
    <row r="407" spans="1:1" x14ac:dyDescent="0.3">
      <c r="A407">
        <v>5.0581915846016116E-2</v>
      </c>
    </row>
    <row r="408" spans="1:1" x14ac:dyDescent="0.3">
      <c r="A408">
        <v>5.0528249885163065E-2</v>
      </c>
    </row>
    <row r="409" spans="1:1" x14ac:dyDescent="0.3">
      <c r="A409">
        <v>4.9860853432282005E-2</v>
      </c>
    </row>
    <row r="410" spans="1:1" x14ac:dyDescent="0.3">
      <c r="A410">
        <v>4.9350649350649353E-2</v>
      </c>
    </row>
    <row r="411" spans="1:1" x14ac:dyDescent="0.3">
      <c r="A411">
        <v>4.9126637554585149E-2</v>
      </c>
    </row>
    <row r="412" spans="1:1" x14ac:dyDescent="0.3">
      <c r="A412">
        <v>4.7895500725689405E-2</v>
      </c>
    </row>
    <row r="413" spans="1:1" x14ac:dyDescent="0.3">
      <c r="A413">
        <v>4.7923322683706068E-2</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36BB8-108D-4EBA-9F53-60E8ACA94850}">
  <dimension ref="A1:N46"/>
  <sheetViews>
    <sheetView workbookViewId="0">
      <selection activeCell="C4" sqref="C4"/>
    </sheetView>
  </sheetViews>
  <sheetFormatPr defaultRowHeight="14.4" x14ac:dyDescent="0.3"/>
  <cols>
    <col min="1" max="1" width="12.5546875" bestFit="1" customWidth="1"/>
    <col min="2" max="2" width="14.44140625" bestFit="1" customWidth="1"/>
    <col min="3" max="4" width="14.44140625" customWidth="1"/>
    <col min="5" max="5" width="17.6640625" bestFit="1" customWidth="1"/>
    <col min="6" max="6" width="16" bestFit="1" customWidth="1"/>
    <col min="7" max="8" width="11.88671875" bestFit="1" customWidth="1"/>
    <col min="9" max="9" width="12.21875" bestFit="1" customWidth="1"/>
    <col min="10" max="10" width="22.21875" bestFit="1" customWidth="1"/>
    <col min="11" max="11" width="12" bestFit="1" customWidth="1"/>
    <col min="13" max="13" width="7" bestFit="1" customWidth="1"/>
    <col min="14" max="14" width="9.109375" bestFit="1" customWidth="1"/>
  </cols>
  <sheetData>
    <row r="1" spans="1:14" x14ac:dyDescent="0.3">
      <c r="H1" t="s">
        <v>374</v>
      </c>
      <c r="J1" t="s">
        <v>378</v>
      </c>
      <c r="K1" t="s">
        <v>379</v>
      </c>
      <c r="L1" t="s">
        <v>354</v>
      </c>
      <c r="M1" t="s">
        <v>380</v>
      </c>
      <c r="N1" t="s">
        <v>356</v>
      </c>
    </row>
    <row r="2" spans="1:14" x14ac:dyDescent="0.3">
      <c r="G2" t="s">
        <v>343</v>
      </c>
      <c r="H2">
        <f>ROUND(27.891428, 3)</f>
        <v>27.890999999999998</v>
      </c>
      <c r="J2">
        <f>MIN(B4:B46)</f>
        <v>15.03448275862069</v>
      </c>
      <c r="K2">
        <f>_xlfn.QUARTILE.INC(B4:B46, 1)</f>
        <v>21.886363636363637</v>
      </c>
      <c r="L2">
        <f>MEDIAN(B4:B46)</f>
        <v>25.914285714285715</v>
      </c>
      <c r="M2">
        <f>_xlfn.QUARTILE.INC(B4:B46,3)</f>
        <v>29.475000000000001</v>
      </c>
      <c r="N2">
        <f>MAX(B4:B46)</f>
        <v>40</v>
      </c>
    </row>
    <row r="3" spans="1:14" x14ac:dyDescent="0.3">
      <c r="A3" s="2" t="s">
        <v>317</v>
      </c>
      <c r="B3" t="s">
        <v>373</v>
      </c>
      <c r="C3" s="5" t="s">
        <v>366</v>
      </c>
      <c r="D3" s="5" t="s">
        <v>382</v>
      </c>
      <c r="F3" t="s">
        <v>375</v>
      </c>
      <c r="G3" t="s">
        <v>344</v>
      </c>
      <c r="H3">
        <f>ROUND(30.450632,3)</f>
        <v>30.451000000000001</v>
      </c>
    </row>
    <row r="4" spans="1:14" x14ac:dyDescent="0.3">
      <c r="A4" s="3" t="s">
        <v>31</v>
      </c>
      <c r="B4">
        <v>27.891428571428573</v>
      </c>
      <c r="C4">
        <f>IFERROR((B4-$F$10)/$G$10,"")</f>
        <v>0.73021577387402203</v>
      </c>
      <c r="G4" t="s">
        <v>376</v>
      </c>
      <c r="H4">
        <f>ROUND(20.0835341,3)</f>
        <v>20.084</v>
      </c>
      <c r="J4" t="s">
        <v>357</v>
      </c>
    </row>
    <row r="5" spans="1:14" x14ac:dyDescent="0.3">
      <c r="A5" s="4">
        <v>70</v>
      </c>
      <c r="B5">
        <v>25.2</v>
      </c>
      <c r="C5">
        <f>IFERROR((B5-$F$10)/$G$10,"")</f>
        <v>0.28118941142822457</v>
      </c>
      <c r="D5" t="str">
        <f t="shared" ref="D5:D45" si="0">IF(ABS(C5)&gt;2,"Yes","No")</f>
        <v>No</v>
      </c>
      <c r="G5" t="s">
        <v>377</v>
      </c>
      <c r="H5">
        <f>ROUND(23.514572,3)</f>
        <v>23.515000000000001</v>
      </c>
      <c r="J5">
        <f>M2-K2</f>
        <v>7.5886363636363647</v>
      </c>
    </row>
    <row r="6" spans="1:14" x14ac:dyDescent="0.3">
      <c r="A6" s="4">
        <v>71</v>
      </c>
      <c r="B6">
        <v>28.75</v>
      </c>
      <c r="C6">
        <f>IFERROR((B6-$F$10)/$G$10,"")</f>
        <v>0.87345613684107271</v>
      </c>
      <c r="D6" t="str">
        <f t="shared" si="0"/>
        <v>No</v>
      </c>
      <c r="H6" t="s">
        <v>383</v>
      </c>
    </row>
    <row r="7" spans="1:14" x14ac:dyDescent="0.3">
      <c r="A7" s="4">
        <v>72</v>
      </c>
      <c r="B7">
        <v>22</v>
      </c>
      <c r="C7">
        <f t="shared" ref="C7:C46" si="1">IFERROR((B7-$F$10)/$G$10,"")</f>
        <v>-0.25268481992983555</v>
      </c>
      <c r="D7" t="str">
        <f t="shared" si="0"/>
        <v>No</v>
      </c>
    </row>
    <row r="8" spans="1:14" x14ac:dyDescent="0.3">
      <c r="A8" s="4">
        <v>73</v>
      </c>
      <c r="B8">
        <v>24</v>
      </c>
      <c r="C8">
        <f t="shared" si="1"/>
        <v>8.098657466895208E-2</v>
      </c>
      <c r="D8" t="str">
        <f t="shared" si="0"/>
        <v>No</v>
      </c>
      <c r="F8" t="s">
        <v>361</v>
      </c>
    </row>
    <row r="9" spans="1:14" x14ac:dyDescent="0.3">
      <c r="A9" s="4">
        <v>74</v>
      </c>
      <c r="B9">
        <v>27</v>
      </c>
      <c r="C9">
        <f t="shared" si="1"/>
        <v>0.58149366656713353</v>
      </c>
      <c r="D9" t="str">
        <f t="shared" si="0"/>
        <v>No</v>
      </c>
      <c r="F9" t="s">
        <v>362</v>
      </c>
      <c r="G9" t="s">
        <v>381</v>
      </c>
    </row>
    <row r="10" spans="1:14" x14ac:dyDescent="0.3">
      <c r="A10" s="4">
        <v>75</v>
      </c>
      <c r="B10">
        <v>24.5</v>
      </c>
      <c r="C10">
        <f t="shared" si="1"/>
        <v>0.16440442331864899</v>
      </c>
      <c r="D10" t="str">
        <f t="shared" si="0"/>
        <v>No</v>
      </c>
      <c r="F10">
        <f>GETPIVOTDATA("mpg",$A$3)</f>
        <v>23.514572864321607</v>
      </c>
      <c r="G10">
        <f>_xlfn.STDEV.P(B5:B17,B19:B31,B33:B45)</f>
        <v>5.9939210623818537</v>
      </c>
    </row>
    <row r="11" spans="1:14" x14ac:dyDescent="0.3">
      <c r="A11" s="4">
        <v>76</v>
      </c>
      <c r="B11">
        <v>24.25</v>
      </c>
      <c r="C11">
        <f t="shared" si="1"/>
        <v>0.12269549899380054</v>
      </c>
      <c r="D11" t="str">
        <f t="shared" si="0"/>
        <v>No</v>
      </c>
    </row>
    <row r="12" spans="1:14" x14ac:dyDescent="0.3">
      <c r="A12" s="4">
        <v>77</v>
      </c>
      <c r="B12">
        <v>29.25</v>
      </c>
      <c r="C12">
        <f t="shared" si="1"/>
        <v>0.95687398549076963</v>
      </c>
      <c r="D12" t="str">
        <f t="shared" si="0"/>
        <v>No</v>
      </c>
    </row>
    <row r="13" spans="1:14" x14ac:dyDescent="0.3">
      <c r="A13" s="4">
        <v>78</v>
      </c>
      <c r="B13">
        <v>24.95</v>
      </c>
      <c r="C13">
        <f t="shared" si="1"/>
        <v>0.23948048710337611</v>
      </c>
      <c r="D13" t="str">
        <f t="shared" si="0"/>
        <v>No</v>
      </c>
    </row>
    <row r="14" spans="1:14" x14ac:dyDescent="0.3">
      <c r="A14" s="4">
        <v>79</v>
      </c>
      <c r="B14">
        <v>30.45</v>
      </c>
      <c r="C14">
        <f t="shared" si="1"/>
        <v>1.157076822250042</v>
      </c>
      <c r="D14" t="str">
        <f t="shared" si="0"/>
        <v>No</v>
      </c>
    </row>
    <row r="15" spans="1:14" x14ac:dyDescent="0.3">
      <c r="A15" s="4">
        <v>80</v>
      </c>
      <c r="B15">
        <v>37.288888888888891</v>
      </c>
      <c r="C15">
        <f t="shared" si="1"/>
        <v>2.2980476187808971</v>
      </c>
      <c r="D15" t="str">
        <f t="shared" si="0"/>
        <v>Yes</v>
      </c>
    </row>
    <row r="16" spans="1:14" x14ac:dyDescent="0.3">
      <c r="A16" s="4">
        <v>81</v>
      </c>
      <c r="B16">
        <v>31.574999999999999</v>
      </c>
      <c r="C16">
        <f t="shared" si="1"/>
        <v>1.3447669817118602</v>
      </c>
      <c r="D16" t="str">
        <f t="shared" si="0"/>
        <v>No</v>
      </c>
    </row>
    <row r="17" spans="1:4" x14ac:dyDescent="0.3">
      <c r="A17" s="4">
        <v>82</v>
      </c>
      <c r="B17">
        <v>40</v>
      </c>
      <c r="C17">
        <f t="shared" si="1"/>
        <v>2.7503577314592533</v>
      </c>
      <c r="D17" t="str">
        <f t="shared" si="0"/>
        <v>Yes</v>
      </c>
    </row>
    <row r="18" spans="1:4" x14ac:dyDescent="0.3">
      <c r="A18" s="3" t="s">
        <v>25</v>
      </c>
      <c r="B18">
        <v>30.450632911392397</v>
      </c>
      <c r="C18">
        <f t="shared" si="1"/>
        <v>1.1571824144635214</v>
      </c>
    </row>
    <row r="19" spans="1:4" x14ac:dyDescent="0.3">
      <c r="A19" s="4">
        <v>70</v>
      </c>
      <c r="B19">
        <v>25.5</v>
      </c>
      <c r="C19">
        <f t="shared" si="1"/>
        <v>0.33124012061804281</v>
      </c>
      <c r="D19" t="str">
        <f t="shared" si="0"/>
        <v>No</v>
      </c>
    </row>
    <row r="20" spans="1:4" x14ac:dyDescent="0.3">
      <c r="A20" s="4">
        <v>71</v>
      </c>
      <c r="B20">
        <v>29.5</v>
      </c>
      <c r="C20">
        <f t="shared" si="1"/>
        <v>0.99858290981561815</v>
      </c>
      <c r="D20" t="str">
        <f t="shared" si="0"/>
        <v>No</v>
      </c>
    </row>
    <row r="21" spans="1:4" x14ac:dyDescent="0.3">
      <c r="A21" s="4">
        <v>72</v>
      </c>
      <c r="B21">
        <v>24.2</v>
      </c>
      <c r="C21">
        <f t="shared" si="1"/>
        <v>0.11435371412883073</v>
      </c>
      <c r="D21" t="str">
        <f t="shared" si="0"/>
        <v>No</v>
      </c>
    </row>
    <row r="22" spans="1:4" x14ac:dyDescent="0.3">
      <c r="A22" s="4">
        <v>73</v>
      </c>
      <c r="B22">
        <v>20</v>
      </c>
      <c r="C22">
        <f t="shared" si="1"/>
        <v>-0.58635621452862319</v>
      </c>
      <c r="D22" t="str">
        <f t="shared" si="0"/>
        <v>No</v>
      </c>
    </row>
    <row r="23" spans="1:4" x14ac:dyDescent="0.3">
      <c r="A23" s="4">
        <v>74</v>
      </c>
      <c r="B23">
        <v>29.333333333333332</v>
      </c>
      <c r="C23">
        <f t="shared" si="1"/>
        <v>0.97077696026571891</v>
      </c>
      <c r="D23" t="str">
        <f t="shared" si="0"/>
        <v>No</v>
      </c>
    </row>
    <row r="24" spans="1:4" x14ac:dyDescent="0.3">
      <c r="A24" s="4">
        <v>75</v>
      </c>
      <c r="B24">
        <v>27.5</v>
      </c>
      <c r="C24">
        <f t="shared" si="1"/>
        <v>0.66491151521683045</v>
      </c>
      <c r="D24" t="str">
        <f t="shared" si="0"/>
        <v>No</v>
      </c>
    </row>
    <row r="25" spans="1:4" x14ac:dyDescent="0.3">
      <c r="A25" s="4">
        <v>76</v>
      </c>
      <c r="B25">
        <v>28</v>
      </c>
      <c r="C25">
        <f t="shared" si="1"/>
        <v>0.74832936386652738</v>
      </c>
      <c r="D25" t="str">
        <f t="shared" si="0"/>
        <v>No</v>
      </c>
    </row>
    <row r="26" spans="1:4" x14ac:dyDescent="0.3">
      <c r="A26" s="4">
        <v>77</v>
      </c>
      <c r="B26">
        <v>27.416666666666668</v>
      </c>
      <c r="C26">
        <f t="shared" si="1"/>
        <v>0.65100854044188117</v>
      </c>
      <c r="D26" t="str">
        <f t="shared" si="0"/>
        <v>No</v>
      </c>
    </row>
    <row r="27" spans="1:4" x14ac:dyDescent="0.3">
      <c r="A27" s="4">
        <v>78</v>
      </c>
      <c r="B27">
        <v>29.687499999999996</v>
      </c>
      <c r="C27">
        <f t="shared" si="1"/>
        <v>1.0298646030592538</v>
      </c>
      <c r="D27" t="str">
        <f t="shared" si="0"/>
        <v>No</v>
      </c>
    </row>
    <row r="28" spans="1:4" x14ac:dyDescent="0.3">
      <c r="A28" s="4">
        <v>79</v>
      </c>
      <c r="B28">
        <v>32.950000000000003</v>
      </c>
      <c r="C28">
        <f t="shared" si="1"/>
        <v>1.5741660654985272</v>
      </c>
      <c r="D28" t="str">
        <f t="shared" si="0"/>
        <v>No</v>
      </c>
    </row>
    <row r="29" spans="1:4" x14ac:dyDescent="0.3">
      <c r="A29" s="4">
        <v>80</v>
      </c>
      <c r="B29">
        <v>35.4</v>
      </c>
      <c r="C29">
        <f t="shared" si="1"/>
        <v>1.9829135238820415</v>
      </c>
      <c r="D29" t="str">
        <f t="shared" si="0"/>
        <v>No</v>
      </c>
    </row>
    <row r="30" spans="1:4" x14ac:dyDescent="0.3">
      <c r="A30" s="4">
        <v>81</v>
      </c>
      <c r="B30">
        <v>32.958333333333329</v>
      </c>
      <c r="C30">
        <f t="shared" si="1"/>
        <v>1.575556362976021</v>
      </c>
      <c r="D30" t="str">
        <f t="shared" si="0"/>
        <v>No</v>
      </c>
    </row>
    <row r="31" spans="1:4" x14ac:dyDescent="0.3">
      <c r="A31" s="4">
        <v>82</v>
      </c>
      <c r="B31">
        <v>34.888888888888886</v>
      </c>
      <c r="C31">
        <f t="shared" si="1"/>
        <v>1.897641945262351</v>
      </c>
      <c r="D31" t="str">
        <f t="shared" si="0"/>
        <v>No</v>
      </c>
    </row>
    <row r="32" spans="1:4" x14ac:dyDescent="0.3">
      <c r="A32" s="3" t="s">
        <v>10</v>
      </c>
      <c r="B32">
        <v>20.083534136546177</v>
      </c>
      <c r="C32">
        <f t="shared" si="1"/>
        <v>-0.57241973860963891</v>
      </c>
    </row>
    <row r="33" spans="1:4" x14ac:dyDescent="0.3">
      <c r="A33" s="4">
        <v>70</v>
      </c>
      <c r="B33">
        <v>15.272727272727273</v>
      </c>
      <c r="C33">
        <f t="shared" si="1"/>
        <v>-1.3750340563075758</v>
      </c>
      <c r="D33" t="str">
        <f t="shared" si="0"/>
        <v>No</v>
      </c>
    </row>
    <row r="34" spans="1:4" x14ac:dyDescent="0.3">
      <c r="A34" s="4">
        <v>71</v>
      </c>
      <c r="B34">
        <v>18.100000000000001</v>
      </c>
      <c r="C34">
        <f t="shared" si="1"/>
        <v>-0.90334403939747121</v>
      </c>
      <c r="D34" t="str">
        <f t="shared" si="0"/>
        <v>No</v>
      </c>
    </row>
    <row r="35" spans="1:4" x14ac:dyDescent="0.3">
      <c r="A35" s="4">
        <v>72</v>
      </c>
      <c r="B35">
        <v>16.277777777777779</v>
      </c>
      <c r="C35">
        <f t="shared" si="1"/>
        <v>-1.2073557544763667</v>
      </c>
      <c r="D35" t="str">
        <f t="shared" si="0"/>
        <v>No</v>
      </c>
    </row>
    <row r="36" spans="1:4" x14ac:dyDescent="0.3">
      <c r="A36" s="4">
        <v>73</v>
      </c>
      <c r="B36">
        <v>15.03448275862069</v>
      </c>
      <c r="C36">
        <f t="shared" si="1"/>
        <v>-1.4147817459463028</v>
      </c>
      <c r="D36" t="str">
        <f t="shared" si="0"/>
        <v>No</v>
      </c>
    </row>
    <row r="37" spans="1:4" x14ac:dyDescent="0.3">
      <c r="A37" s="4">
        <v>74</v>
      </c>
      <c r="B37">
        <v>18.333333333333332</v>
      </c>
      <c r="C37">
        <f t="shared" si="1"/>
        <v>-0.86441571002761308</v>
      </c>
      <c r="D37" t="str">
        <f t="shared" si="0"/>
        <v>No</v>
      </c>
    </row>
    <row r="38" spans="1:4" x14ac:dyDescent="0.3">
      <c r="A38" s="4">
        <v>75</v>
      </c>
      <c r="B38">
        <v>17.55</v>
      </c>
      <c r="C38">
        <f t="shared" si="1"/>
        <v>-0.99510367291213797</v>
      </c>
      <c r="D38" t="str">
        <f t="shared" si="0"/>
        <v>No</v>
      </c>
    </row>
    <row r="39" spans="1:4" x14ac:dyDescent="0.3">
      <c r="A39" s="4">
        <v>76</v>
      </c>
      <c r="B39">
        <v>19.431818181818183</v>
      </c>
      <c r="C39">
        <f t="shared" si="1"/>
        <v>-0.68114922435782399</v>
      </c>
      <c r="D39" t="str">
        <f t="shared" si="0"/>
        <v>No</v>
      </c>
    </row>
    <row r="40" spans="1:4" x14ac:dyDescent="0.3">
      <c r="A40" s="4">
        <v>77</v>
      </c>
      <c r="B40">
        <v>20.722222222222221</v>
      </c>
      <c r="C40">
        <f t="shared" si="1"/>
        <v>-0.46586376647906114</v>
      </c>
      <c r="D40" t="str">
        <f t="shared" si="0"/>
        <v>No</v>
      </c>
    </row>
    <row r="41" spans="1:4" x14ac:dyDescent="0.3">
      <c r="A41" s="4">
        <v>78</v>
      </c>
      <c r="B41">
        <v>21.772727272727273</v>
      </c>
      <c r="C41">
        <f t="shared" si="1"/>
        <v>-0.2906020238615159</v>
      </c>
      <c r="D41" t="str">
        <f t="shared" si="0"/>
        <v>No</v>
      </c>
    </row>
    <row r="42" spans="1:4" x14ac:dyDescent="0.3">
      <c r="A42" s="4">
        <v>79</v>
      </c>
      <c r="B42">
        <v>23.478260869565219</v>
      </c>
      <c r="C42">
        <f t="shared" si="1"/>
        <v>-6.0581369655140571E-3</v>
      </c>
      <c r="D42" t="str">
        <f t="shared" si="0"/>
        <v>No</v>
      </c>
    </row>
    <row r="43" spans="1:4" x14ac:dyDescent="0.3">
      <c r="A43" s="4">
        <v>80</v>
      </c>
      <c r="B43">
        <v>25.914285714285715</v>
      </c>
      <c r="C43">
        <f t="shared" si="1"/>
        <v>0.40035776664207745</v>
      </c>
      <c r="D43" t="str">
        <f t="shared" si="0"/>
        <v>No</v>
      </c>
    </row>
    <row r="44" spans="1:4" x14ac:dyDescent="0.3">
      <c r="A44" s="4">
        <v>81</v>
      </c>
      <c r="B44">
        <v>27.530769230769234</v>
      </c>
      <c r="C44">
        <f t="shared" si="1"/>
        <v>0.67004492128758164</v>
      </c>
      <c r="D44" t="str">
        <f t="shared" si="0"/>
        <v>No</v>
      </c>
    </row>
    <row r="45" spans="1:4" x14ac:dyDescent="0.3">
      <c r="A45" s="4">
        <v>82</v>
      </c>
      <c r="B45">
        <v>29.45</v>
      </c>
      <c r="C45">
        <f t="shared" si="1"/>
        <v>0.99024112495064831</v>
      </c>
      <c r="D45" t="str">
        <f t="shared" si="0"/>
        <v>No</v>
      </c>
    </row>
    <row r="46" spans="1:4" x14ac:dyDescent="0.3">
      <c r="A46" s="3" t="s">
        <v>318</v>
      </c>
      <c r="B46">
        <v>23.514572864321607</v>
      </c>
      <c r="C46">
        <f t="shared" si="1"/>
        <v>0</v>
      </c>
    </row>
  </sheetData>
  <conditionalFormatting sqref="H2:H5">
    <cfRule type="colorScale" priority="3">
      <colorScale>
        <cfvo type="min"/>
        <cfvo type="percentile" val="50"/>
        <cfvo type="max"/>
        <color rgb="FFF8696B"/>
        <color rgb="FFFFEB84"/>
        <color rgb="FF63BE7B"/>
      </colorScale>
    </cfRule>
  </conditionalFormatting>
  <conditionalFormatting pivot="1" sqref="B4:B46">
    <cfRule type="dataBar" priority="2">
      <dataBar>
        <cfvo type="min"/>
        <cfvo type="max"/>
        <color rgb="FF638EC6"/>
      </dataBar>
      <extLst>
        <ext xmlns:x14="http://schemas.microsoft.com/office/spreadsheetml/2009/9/main" uri="{B025F937-C7B1-47D3-B67F-A62EFF666E3E}">
          <x14:id>{F2868634-9558-4ACD-B9D6-33D99BBCE05F}</x14:id>
        </ext>
      </extLst>
    </cfRule>
  </conditionalFormatting>
  <conditionalFormatting sqref="D4:D46">
    <cfRule type="cellIs" dxfId="359" priority="1" operator="equal">
      <formula>"Yes"</formula>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F2868634-9558-4ACD-B9D6-33D99BBCE05F}">
            <x14:dataBar minLength="0" maxLength="100" border="1" negativeBarBorderColorSameAsPositive="0">
              <x14:cfvo type="autoMin"/>
              <x14:cfvo type="autoMax"/>
              <x14:borderColor rgb="FF638EC6"/>
              <x14:negativeFillColor rgb="FFFF0000"/>
              <x14:negativeBorderColor rgb="FFFF0000"/>
              <x14:axisColor rgb="FF000000"/>
            </x14:dataBar>
          </x14:cfRule>
          <xm:sqref>B4:B46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7CE41-6A76-4AB3-AD7A-F197A6D4EF1C}">
  <dimension ref="A1:L399"/>
  <sheetViews>
    <sheetView workbookViewId="0">
      <selection activeCell="G27" sqref="G27"/>
    </sheetView>
  </sheetViews>
  <sheetFormatPr defaultRowHeight="14.4" x14ac:dyDescent="0.3"/>
  <cols>
    <col min="1" max="1" width="31.88671875" bestFit="1" customWidth="1"/>
    <col min="2" max="2" width="12.6640625" customWidth="1"/>
    <col min="3" max="3" width="18" bestFit="1" customWidth="1"/>
    <col min="4" max="4" width="18" customWidth="1"/>
    <col min="5" max="5" width="21.33203125" bestFit="1" customWidth="1"/>
    <col min="6" max="6" width="11.33203125" customWidth="1"/>
    <col min="8" max="8" width="16" bestFit="1" customWidth="1"/>
    <col min="9" max="9" width="24.77734375" bestFit="1" customWidth="1"/>
    <col min="11" max="11" width="20.44140625" bestFit="1" customWidth="1"/>
  </cols>
  <sheetData>
    <row r="1" spans="1:12" x14ac:dyDescent="0.3">
      <c r="A1" s="1" t="s">
        <v>0</v>
      </c>
      <c r="B1" s="1" t="s">
        <v>6</v>
      </c>
      <c r="C1" t="s">
        <v>386</v>
      </c>
      <c r="D1" t="s">
        <v>382</v>
      </c>
      <c r="E1" t="s">
        <v>385</v>
      </c>
      <c r="H1" t="s">
        <v>384</v>
      </c>
      <c r="K1" t="s">
        <v>388</v>
      </c>
    </row>
    <row r="2" spans="1:12" x14ac:dyDescent="0.3">
      <c r="A2" t="s">
        <v>35</v>
      </c>
      <c r="B2">
        <v>12.5</v>
      </c>
      <c r="C2">
        <f>IFERROR((B2-$H$3)/$I$3,"")</f>
        <v>-1.113958896005663</v>
      </c>
      <c r="D2" t="str">
        <f>IF(ABS(C2)&gt;2,"Yes","No")</f>
        <v>No</v>
      </c>
      <c r="E2">
        <f>IFERROR((B2-$K$3) / ($L$3-$K$3),"")</f>
        <v>0.26785714285714285</v>
      </c>
      <c r="H2" t="s">
        <v>362</v>
      </c>
      <c r="I2" t="s">
        <v>387</v>
      </c>
      <c r="K2" t="s">
        <v>389</v>
      </c>
      <c r="L2" t="s">
        <v>356</v>
      </c>
    </row>
    <row r="3" spans="1:12" x14ac:dyDescent="0.3">
      <c r="A3" t="s">
        <v>34</v>
      </c>
      <c r="B3">
        <v>17.5</v>
      </c>
      <c r="C3">
        <f t="shared" ref="C3:C66" si="0">IFERROR((B3-$H$3)/$I$3,"")</f>
        <v>0.70143558687966923</v>
      </c>
      <c r="D3" t="str">
        <f t="shared" ref="D3:D66" si="1">IF(ABS(C3)&gt;2,"Yes","No")</f>
        <v>No</v>
      </c>
      <c r="E3">
        <f t="shared" ref="E3:E66" si="2">IFERROR((B3-$K$3) / ($L$3-$K$3),"")</f>
        <v>0.56547619047619047</v>
      </c>
      <c r="H3">
        <f>AVERAGE(B2:B399)</f>
        <v>15.568090452261293</v>
      </c>
      <c r="I3">
        <f>_xlfn.STDEV.P(B2:B399)</f>
        <v>2.7542223175941096</v>
      </c>
      <c r="K3">
        <f>MIN(B2:B399)</f>
        <v>8</v>
      </c>
      <c r="L3">
        <f>MAX(B2:B399)</f>
        <v>24.8</v>
      </c>
    </row>
    <row r="4" spans="1:12" x14ac:dyDescent="0.3">
      <c r="A4" t="s">
        <v>33</v>
      </c>
      <c r="B4">
        <v>14.5</v>
      </c>
      <c r="C4">
        <f t="shared" si="0"/>
        <v>-0.38780110285153013</v>
      </c>
      <c r="D4" t="str">
        <f t="shared" si="1"/>
        <v>No</v>
      </c>
      <c r="E4">
        <f t="shared" si="2"/>
        <v>0.38690476190476186</v>
      </c>
    </row>
    <row r="5" spans="1:12" x14ac:dyDescent="0.3">
      <c r="A5" t="s">
        <v>32</v>
      </c>
      <c r="B5">
        <v>17.5</v>
      </c>
      <c r="C5">
        <f t="shared" si="0"/>
        <v>0.70143558687966923</v>
      </c>
      <c r="D5" t="str">
        <f t="shared" si="1"/>
        <v>No</v>
      </c>
      <c r="E5">
        <f t="shared" si="2"/>
        <v>0.56547619047619047</v>
      </c>
    </row>
    <row r="6" spans="1:12" x14ac:dyDescent="0.3">
      <c r="A6" t="s">
        <v>30</v>
      </c>
      <c r="B6">
        <v>20.5</v>
      </c>
      <c r="C6">
        <f t="shared" si="0"/>
        <v>1.7906722766108685</v>
      </c>
      <c r="D6" t="str">
        <f t="shared" si="1"/>
        <v>No</v>
      </c>
      <c r="E6">
        <f t="shared" si="2"/>
        <v>0.74404761904761907</v>
      </c>
    </row>
    <row r="7" spans="1:12" x14ac:dyDescent="0.3">
      <c r="A7" t="s">
        <v>56</v>
      </c>
      <c r="B7">
        <v>14</v>
      </c>
      <c r="C7">
        <f t="shared" si="0"/>
        <v>-0.56934055114006343</v>
      </c>
      <c r="D7" t="str">
        <f t="shared" si="1"/>
        <v>No</v>
      </c>
      <c r="E7">
        <f t="shared" si="2"/>
        <v>0.35714285714285715</v>
      </c>
    </row>
    <row r="8" spans="1:12" x14ac:dyDescent="0.3">
      <c r="A8" t="s">
        <v>58</v>
      </c>
      <c r="B8">
        <v>14.5</v>
      </c>
      <c r="C8">
        <f t="shared" si="0"/>
        <v>-0.38780110285153013</v>
      </c>
      <c r="D8" t="str">
        <f t="shared" si="1"/>
        <v>No</v>
      </c>
      <c r="E8">
        <f t="shared" si="2"/>
        <v>0.38690476190476186</v>
      </c>
    </row>
    <row r="9" spans="1:12" x14ac:dyDescent="0.3">
      <c r="A9" t="s">
        <v>57</v>
      </c>
      <c r="B9">
        <v>19.5</v>
      </c>
      <c r="C9">
        <f t="shared" si="0"/>
        <v>1.4275933800338021</v>
      </c>
      <c r="D9" t="str">
        <f t="shared" si="1"/>
        <v>No</v>
      </c>
      <c r="E9">
        <f t="shared" si="2"/>
        <v>0.68452380952380953</v>
      </c>
    </row>
    <row r="10" spans="1:12" x14ac:dyDescent="0.3">
      <c r="A10" t="s">
        <v>61</v>
      </c>
      <c r="B10">
        <v>19</v>
      </c>
      <c r="C10">
        <f t="shared" si="0"/>
        <v>1.2460539317452688</v>
      </c>
      <c r="D10" t="str">
        <f t="shared" si="1"/>
        <v>No</v>
      </c>
      <c r="E10">
        <f t="shared" si="2"/>
        <v>0.65476190476190477</v>
      </c>
    </row>
    <row r="11" spans="1:12" x14ac:dyDescent="0.3">
      <c r="A11" t="s">
        <v>78</v>
      </c>
      <c r="B11">
        <v>14.5</v>
      </c>
      <c r="C11">
        <f t="shared" si="0"/>
        <v>-0.38780110285153013</v>
      </c>
      <c r="D11" t="str">
        <f t="shared" si="1"/>
        <v>No</v>
      </c>
      <c r="E11">
        <f t="shared" si="2"/>
        <v>0.38690476190476186</v>
      </c>
    </row>
    <row r="12" spans="1:12" x14ac:dyDescent="0.3">
      <c r="A12" t="s">
        <v>81</v>
      </c>
      <c r="B12">
        <v>18</v>
      </c>
      <c r="C12">
        <f t="shared" si="0"/>
        <v>0.88297503516820242</v>
      </c>
      <c r="D12" t="str">
        <f t="shared" si="1"/>
        <v>No</v>
      </c>
      <c r="E12">
        <f t="shared" si="2"/>
        <v>0.59523809523809523</v>
      </c>
    </row>
    <row r="13" spans="1:12" x14ac:dyDescent="0.3">
      <c r="A13" t="s">
        <v>79</v>
      </c>
      <c r="B13">
        <v>18</v>
      </c>
      <c r="C13">
        <f t="shared" si="0"/>
        <v>0.88297503516820242</v>
      </c>
      <c r="D13" t="str">
        <f t="shared" si="1"/>
        <v>No</v>
      </c>
      <c r="E13">
        <f t="shared" si="2"/>
        <v>0.59523809523809523</v>
      </c>
    </row>
    <row r="14" spans="1:12" x14ac:dyDescent="0.3">
      <c r="A14" t="s">
        <v>80</v>
      </c>
      <c r="B14">
        <v>19.5</v>
      </c>
      <c r="C14">
        <f t="shared" si="0"/>
        <v>1.4275933800338021</v>
      </c>
      <c r="D14" t="str">
        <f t="shared" si="1"/>
        <v>No</v>
      </c>
      <c r="E14">
        <f t="shared" si="2"/>
        <v>0.68452380952380953</v>
      </c>
    </row>
    <row r="15" spans="1:12" x14ac:dyDescent="0.3">
      <c r="A15" t="s">
        <v>65</v>
      </c>
      <c r="B15">
        <v>23.5</v>
      </c>
      <c r="C15">
        <f t="shared" si="0"/>
        <v>2.8799089663420681</v>
      </c>
      <c r="D15" t="str">
        <f t="shared" si="1"/>
        <v>Yes</v>
      </c>
      <c r="E15">
        <f t="shared" si="2"/>
        <v>0.92261904761904756</v>
      </c>
    </row>
    <row r="16" spans="1:12" x14ac:dyDescent="0.3">
      <c r="A16" t="s">
        <v>116</v>
      </c>
      <c r="B16">
        <v>14</v>
      </c>
      <c r="C16">
        <f t="shared" si="0"/>
        <v>-0.56934055114006343</v>
      </c>
      <c r="D16" t="str">
        <f t="shared" si="1"/>
        <v>No</v>
      </c>
      <c r="E16">
        <f t="shared" si="2"/>
        <v>0.35714285714285715</v>
      </c>
    </row>
    <row r="17" spans="1:5" x14ac:dyDescent="0.3">
      <c r="A17" t="s">
        <v>108</v>
      </c>
      <c r="B17">
        <v>15.5</v>
      </c>
      <c r="C17">
        <f t="shared" si="0"/>
        <v>-2.4722206274463705E-2</v>
      </c>
      <c r="D17" t="str">
        <f t="shared" si="1"/>
        <v>No</v>
      </c>
      <c r="E17">
        <f t="shared" si="2"/>
        <v>0.4464285714285714</v>
      </c>
    </row>
    <row r="18" spans="1:5" x14ac:dyDescent="0.3">
      <c r="A18" t="s">
        <v>114</v>
      </c>
      <c r="B18">
        <v>15.5</v>
      </c>
      <c r="C18">
        <f t="shared" si="0"/>
        <v>-2.4722206274463705E-2</v>
      </c>
      <c r="D18" t="str">
        <f t="shared" si="1"/>
        <v>No</v>
      </c>
      <c r="E18">
        <f t="shared" si="2"/>
        <v>0.4464285714285714</v>
      </c>
    </row>
    <row r="19" spans="1:5" x14ac:dyDescent="0.3">
      <c r="A19" t="s">
        <v>113</v>
      </c>
      <c r="B19">
        <v>14</v>
      </c>
      <c r="C19">
        <f t="shared" si="0"/>
        <v>-0.56934055114006343</v>
      </c>
      <c r="D19" t="str">
        <f t="shared" si="1"/>
        <v>No</v>
      </c>
      <c r="E19">
        <f t="shared" si="2"/>
        <v>0.35714285714285715</v>
      </c>
    </row>
    <row r="20" spans="1:5" x14ac:dyDescent="0.3">
      <c r="A20" t="s">
        <v>112</v>
      </c>
      <c r="B20">
        <v>15.5</v>
      </c>
      <c r="C20">
        <f t="shared" si="0"/>
        <v>-2.4722206274463705E-2</v>
      </c>
      <c r="D20" t="str">
        <f t="shared" si="1"/>
        <v>No</v>
      </c>
      <c r="E20">
        <f t="shared" si="2"/>
        <v>0.4464285714285714</v>
      </c>
    </row>
    <row r="21" spans="1:5" x14ac:dyDescent="0.3">
      <c r="A21" t="s">
        <v>111</v>
      </c>
      <c r="B21">
        <v>19.5</v>
      </c>
      <c r="C21">
        <f t="shared" si="0"/>
        <v>1.4275933800338021</v>
      </c>
      <c r="D21" t="str">
        <f t="shared" si="1"/>
        <v>No</v>
      </c>
      <c r="E21">
        <f t="shared" si="2"/>
        <v>0.68452380952380953</v>
      </c>
    </row>
    <row r="22" spans="1:5" x14ac:dyDescent="0.3">
      <c r="A22" t="s">
        <v>100</v>
      </c>
      <c r="B22">
        <v>21</v>
      </c>
      <c r="C22">
        <f t="shared" si="0"/>
        <v>1.9722117248994018</v>
      </c>
      <c r="D22" t="str">
        <f t="shared" si="1"/>
        <v>No</v>
      </c>
      <c r="E22">
        <f t="shared" si="2"/>
        <v>0.77380952380952372</v>
      </c>
    </row>
    <row r="23" spans="1:5" x14ac:dyDescent="0.3">
      <c r="A23" t="s">
        <v>125</v>
      </c>
      <c r="B23">
        <v>16.5</v>
      </c>
      <c r="C23">
        <f t="shared" si="0"/>
        <v>0.33835669030260274</v>
      </c>
      <c r="D23" t="str">
        <f t="shared" si="1"/>
        <v>No</v>
      </c>
      <c r="E23">
        <f t="shared" si="2"/>
        <v>0.50595238095238093</v>
      </c>
    </row>
    <row r="24" spans="1:5" x14ac:dyDescent="0.3">
      <c r="A24" t="s">
        <v>111</v>
      </c>
      <c r="B24">
        <v>15.5</v>
      </c>
      <c r="C24">
        <f t="shared" si="0"/>
        <v>-2.4722206274463705E-2</v>
      </c>
      <c r="D24" t="str">
        <f t="shared" si="1"/>
        <v>No</v>
      </c>
      <c r="E24">
        <f t="shared" si="2"/>
        <v>0.4464285714285714</v>
      </c>
    </row>
    <row r="25" spans="1:5" x14ac:dyDescent="0.3">
      <c r="A25" t="s">
        <v>126</v>
      </c>
      <c r="B25">
        <v>15.5</v>
      </c>
      <c r="C25">
        <f t="shared" si="0"/>
        <v>-2.4722206274463705E-2</v>
      </c>
      <c r="D25" t="str">
        <f t="shared" si="1"/>
        <v>No</v>
      </c>
      <c r="E25">
        <f t="shared" si="2"/>
        <v>0.4464285714285714</v>
      </c>
    </row>
    <row r="26" spans="1:5" x14ac:dyDescent="0.3">
      <c r="A26" t="s">
        <v>112</v>
      </c>
      <c r="B26">
        <v>14.5</v>
      </c>
      <c r="C26">
        <f t="shared" si="0"/>
        <v>-0.38780110285153013</v>
      </c>
      <c r="D26" t="str">
        <f t="shared" si="1"/>
        <v>No</v>
      </c>
      <c r="E26">
        <f t="shared" si="2"/>
        <v>0.38690476190476186</v>
      </c>
    </row>
    <row r="27" spans="1:5" x14ac:dyDescent="0.3">
      <c r="A27" t="s">
        <v>132</v>
      </c>
      <c r="B27">
        <v>16</v>
      </c>
      <c r="C27">
        <f t="shared" si="0"/>
        <v>0.15681724201406952</v>
      </c>
      <c r="D27" t="str">
        <f t="shared" si="1"/>
        <v>No</v>
      </c>
      <c r="E27">
        <f t="shared" si="2"/>
        <v>0.47619047619047616</v>
      </c>
    </row>
    <row r="28" spans="1:5" x14ac:dyDescent="0.3">
      <c r="A28" t="s">
        <v>129</v>
      </c>
      <c r="B28">
        <v>14</v>
      </c>
      <c r="C28">
        <f t="shared" si="0"/>
        <v>-0.56934055114006343</v>
      </c>
      <c r="D28" t="str">
        <f t="shared" si="1"/>
        <v>No</v>
      </c>
      <c r="E28">
        <f t="shared" si="2"/>
        <v>0.35714285714285715</v>
      </c>
    </row>
    <row r="29" spans="1:5" x14ac:dyDescent="0.3">
      <c r="A29" t="s">
        <v>116</v>
      </c>
      <c r="B29">
        <v>13.5</v>
      </c>
      <c r="C29">
        <f t="shared" si="0"/>
        <v>-0.75087999942859662</v>
      </c>
      <c r="D29" t="str">
        <f t="shared" si="1"/>
        <v>No</v>
      </c>
      <c r="E29">
        <f t="shared" si="2"/>
        <v>0.32738095238095238</v>
      </c>
    </row>
    <row r="30" spans="1:5" x14ac:dyDescent="0.3">
      <c r="A30" t="s">
        <v>145</v>
      </c>
      <c r="B30">
        <v>14</v>
      </c>
      <c r="C30">
        <f t="shared" si="0"/>
        <v>-0.56934055114006343</v>
      </c>
      <c r="D30" t="str">
        <f t="shared" si="1"/>
        <v>No</v>
      </c>
      <c r="E30">
        <f t="shared" si="2"/>
        <v>0.35714285714285715</v>
      </c>
    </row>
    <row r="31" spans="1:5" x14ac:dyDescent="0.3">
      <c r="A31" t="s">
        <v>113</v>
      </c>
      <c r="B31">
        <v>15</v>
      </c>
      <c r="C31">
        <f t="shared" si="0"/>
        <v>-0.20626165456299694</v>
      </c>
      <c r="D31" t="str">
        <f t="shared" si="1"/>
        <v>No</v>
      </c>
      <c r="E31">
        <f t="shared" si="2"/>
        <v>0.41666666666666663</v>
      </c>
    </row>
    <row r="32" spans="1:5" x14ac:dyDescent="0.3">
      <c r="A32" t="s">
        <v>147</v>
      </c>
      <c r="B32">
        <v>14.5</v>
      </c>
      <c r="C32">
        <f t="shared" si="0"/>
        <v>-0.38780110285153013</v>
      </c>
      <c r="D32" t="str">
        <f t="shared" si="1"/>
        <v>No</v>
      </c>
      <c r="E32">
        <f t="shared" si="2"/>
        <v>0.38690476190476186</v>
      </c>
    </row>
    <row r="33" spans="1:5" x14ac:dyDescent="0.3">
      <c r="A33" t="s">
        <v>126</v>
      </c>
      <c r="B33">
        <v>16.5</v>
      </c>
      <c r="C33">
        <f t="shared" si="0"/>
        <v>0.33835669030260274</v>
      </c>
      <c r="D33" t="str">
        <f t="shared" si="1"/>
        <v>No</v>
      </c>
      <c r="E33">
        <f t="shared" si="2"/>
        <v>0.50595238095238093</v>
      </c>
    </row>
    <row r="34" spans="1:5" x14ac:dyDescent="0.3">
      <c r="A34" t="s">
        <v>32</v>
      </c>
      <c r="B34">
        <v>17</v>
      </c>
      <c r="C34">
        <f t="shared" si="0"/>
        <v>0.51989613859113593</v>
      </c>
      <c r="D34" t="str">
        <f t="shared" si="1"/>
        <v>No</v>
      </c>
      <c r="E34">
        <f t="shared" si="2"/>
        <v>0.5357142857142857</v>
      </c>
    </row>
    <row r="35" spans="1:5" x14ac:dyDescent="0.3">
      <c r="A35" t="s">
        <v>145</v>
      </c>
      <c r="B35">
        <v>12.2</v>
      </c>
      <c r="C35">
        <f t="shared" si="0"/>
        <v>-1.2228825649787833</v>
      </c>
      <c r="D35" t="str">
        <f t="shared" si="1"/>
        <v>No</v>
      </c>
      <c r="E35">
        <f t="shared" si="2"/>
        <v>0.24999999999999994</v>
      </c>
    </row>
    <row r="36" spans="1:5" x14ac:dyDescent="0.3">
      <c r="A36" t="s">
        <v>151</v>
      </c>
      <c r="B36">
        <v>15.3</v>
      </c>
      <c r="C36">
        <f t="shared" si="0"/>
        <v>-9.7337985589876733E-2</v>
      </c>
      <c r="D36" t="str">
        <f t="shared" si="1"/>
        <v>No</v>
      </c>
      <c r="E36">
        <f t="shared" si="2"/>
        <v>0.43452380952380953</v>
      </c>
    </row>
    <row r="37" spans="1:5" x14ac:dyDescent="0.3">
      <c r="A37" t="s">
        <v>56</v>
      </c>
      <c r="B37">
        <v>16.899999999999999</v>
      </c>
      <c r="C37">
        <f t="shared" si="0"/>
        <v>0.48358824893342883</v>
      </c>
      <c r="D37" t="str">
        <f t="shared" si="1"/>
        <v>No</v>
      </c>
      <c r="E37">
        <f t="shared" si="2"/>
        <v>0.52976190476190466</v>
      </c>
    </row>
    <row r="38" spans="1:5" x14ac:dyDescent="0.3">
      <c r="A38" t="s">
        <v>155</v>
      </c>
      <c r="B38">
        <v>14.2</v>
      </c>
      <c r="C38">
        <f t="shared" si="0"/>
        <v>-0.49672477182465036</v>
      </c>
      <c r="D38" t="str">
        <f t="shared" si="1"/>
        <v>No</v>
      </c>
      <c r="E38">
        <f t="shared" si="2"/>
        <v>0.36904761904761901</v>
      </c>
    </row>
    <row r="39" spans="1:5" x14ac:dyDescent="0.3">
      <c r="A39" t="s">
        <v>149</v>
      </c>
      <c r="B39">
        <v>15.5</v>
      </c>
      <c r="C39">
        <f t="shared" si="0"/>
        <v>-2.4722206274463705E-2</v>
      </c>
      <c r="D39" t="str">
        <f t="shared" si="1"/>
        <v>No</v>
      </c>
      <c r="E39">
        <f t="shared" si="2"/>
        <v>0.4464285714285714</v>
      </c>
    </row>
    <row r="40" spans="1:5" x14ac:dyDescent="0.3">
      <c r="A40" t="s">
        <v>161</v>
      </c>
      <c r="B40">
        <v>15.7</v>
      </c>
      <c r="C40">
        <f t="shared" si="0"/>
        <v>4.7893573040949329E-2</v>
      </c>
      <c r="D40" t="str">
        <f t="shared" si="1"/>
        <v>No</v>
      </c>
      <c r="E40">
        <f t="shared" si="2"/>
        <v>0.45833333333333326</v>
      </c>
    </row>
    <row r="41" spans="1:5" x14ac:dyDescent="0.3">
      <c r="A41" t="s">
        <v>32</v>
      </c>
      <c r="B41">
        <v>21.9</v>
      </c>
      <c r="C41">
        <f t="shared" si="0"/>
        <v>2.2989827318187612</v>
      </c>
      <c r="D41" t="str">
        <f t="shared" si="1"/>
        <v>Yes</v>
      </c>
      <c r="E41">
        <f t="shared" si="2"/>
        <v>0.82738095238095222</v>
      </c>
    </row>
    <row r="42" spans="1:5" x14ac:dyDescent="0.3">
      <c r="A42" t="s">
        <v>163</v>
      </c>
      <c r="B42">
        <v>16.7</v>
      </c>
      <c r="C42">
        <f t="shared" si="0"/>
        <v>0.41097246961801576</v>
      </c>
      <c r="D42" t="str">
        <f t="shared" si="1"/>
        <v>No</v>
      </c>
      <c r="E42">
        <f t="shared" si="2"/>
        <v>0.51785714285714279</v>
      </c>
    </row>
    <row r="43" spans="1:5" x14ac:dyDescent="0.3">
      <c r="A43" t="s">
        <v>191</v>
      </c>
      <c r="B43">
        <v>12.8</v>
      </c>
      <c r="C43">
        <f t="shared" si="0"/>
        <v>-1.0050352270325429</v>
      </c>
      <c r="D43" t="str">
        <f t="shared" si="1"/>
        <v>No</v>
      </c>
      <c r="E43">
        <f t="shared" si="2"/>
        <v>0.28571428571428575</v>
      </c>
    </row>
    <row r="44" spans="1:5" x14ac:dyDescent="0.3">
      <c r="A44" t="s">
        <v>184</v>
      </c>
      <c r="B44">
        <v>14.5</v>
      </c>
      <c r="C44">
        <f t="shared" si="0"/>
        <v>-0.38780110285153013</v>
      </c>
      <c r="D44" t="str">
        <f t="shared" si="1"/>
        <v>No</v>
      </c>
      <c r="E44">
        <f t="shared" si="2"/>
        <v>0.38690476190476186</v>
      </c>
    </row>
    <row r="45" spans="1:5" x14ac:dyDescent="0.3">
      <c r="A45" t="s">
        <v>126</v>
      </c>
      <c r="B45">
        <v>14.1</v>
      </c>
      <c r="C45">
        <f t="shared" si="0"/>
        <v>-0.53303266148235684</v>
      </c>
      <c r="D45" t="str">
        <f t="shared" si="1"/>
        <v>No</v>
      </c>
      <c r="E45">
        <f t="shared" si="2"/>
        <v>0.36309523809523808</v>
      </c>
    </row>
    <row r="46" spans="1:5" x14ac:dyDescent="0.3">
      <c r="A46" t="s">
        <v>170</v>
      </c>
      <c r="B46">
        <v>18.600000000000001</v>
      </c>
      <c r="C46">
        <f t="shared" si="0"/>
        <v>1.1008223731144429</v>
      </c>
      <c r="D46" t="str">
        <f t="shared" si="1"/>
        <v>No</v>
      </c>
      <c r="E46">
        <f t="shared" si="2"/>
        <v>0.63095238095238104</v>
      </c>
    </row>
    <row r="47" spans="1:5" x14ac:dyDescent="0.3">
      <c r="A47" t="s">
        <v>220</v>
      </c>
      <c r="B47">
        <v>15.7</v>
      </c>
      <c r="C47">
        <f t="shared" si="0"/>
        <v>4.7893573040949329E-2</v>
      </c>
      <c r="D47" t="str">
        <f t="shared" si="1"/>
        <v>No</v>
      </c>
      <c r="E47">
        <f t="shared" si="2"/>
        <v>0.45833333333333326</v>
      </c>
    </row>
    <row r="48" spans="1:5" x14ac:dyDescent="0.3">
      <c r="A48" t="s">
        <v>222</v>
      </c>
      <c r="B48">
        <v>14.9</v>
      </c>
      <c r="C48">
        <f t="shared" si="0"/>
        <v>-0.24256954422070345</v>
      </c>
      <c r="D48" t="str">
        <f t="shared" si="1"/>
        <v>No</v>
      </c>
      <c r="E48">
        <f t="shared" si="2"/>
        <v>0.4107142857142857</v>
      </c>
    </row>
    <row r="49" spans="1:5" x14ac:dyDescent="0.3">
      <c r="A49" t="s">
        <v>193</v>
      </c>
      <c r="B49">
        <v>21.5</v>
      </c>
      <c r="C49">
        <f t="shared" si="0"/>
        <v>2.1537511731879349</v>
      </c>
      <c r="D49" t="str">
        <f t="shared" si="1"/>
        <v>Yes</v>
      </c>
      <c r="E49">
        <f t="shared" si="2"/>
        <v>0.80357142857142849</v>
      </c>
    </row>
    <row r="50" spans="1:5" x14ac:dyDescent="0.3">
      <c r="A50" t="s">
        <v>218</v>
      </c>
      <c r="B50">
        <v>15.9</v>
      </c>
      <c r="C50">
        <f t="shared" si="0"/>
        <v>0.12050935235636301</v>
      </c>
      <c r="D50" t="str">
        <f t="shared" si="1"/>
        <v>No</v>
      </c>
      <c r="E50">
        <f t="shared" si="2"/>
        <v>0.47023809523809523</v>
      </c>
    </row>
    <row r="51" spans="1:5" x14ac:dyDescent="0.3">
      <c r="A51" t="s">
        <v>219</v>
      </c>
      <c r="B51">
        <v>13.6</v>
      </c>
      <c r="C51">
        <f t="shared" si="0"/>
        <v>-0.71457210977089014</v>
      </c>
      <c r="D51" t="str">
        <f t="shared" si="1"/>
        <v>No</v>
      </c>
      <c r="E51">
        <f t="shared" si="2"/>
        <v>0.33333333333333331</v>
      </c>
    </row>
    <row r="52" spans="1:5" x14ac:dyDescent="0.3">
      <c r="A52" t="s">
        <v>221</v>
      </c>
      <c r="B52">
        <v>15.8</v>
      </c>
      <c r="C52">
        <f t="shared" si="0"/>
        <v>8.4201462698656485E-2</v>
      </c>
      <c r="D52" t="str">
        <f t="shared" si="1"/>
        <v>No</v>
      </c>
      <c r="E52">
        <f t="shared" si="2"/>
        <v>0.4642857142857143</v>
      </c>
    </row>
    <row r="53" spans="1:5" x14ac:dyDescent="0.3">
      <c r="A53" t="s">
        <v>234</v>
      </c>
      <c r="B53">
        <v>14</v>
      </c>
      <c r="C53">
        <f t="shared" si="0"/>
        <v>-0.56934055114006343</v>
      </c>
      <c r="D53" t="str">
        <f t="shared" si="1"/>
        <v>No</v>
      </c>
      <c r="E53">
        <f t="shared" si="2"/>
        <v>0.35714285714285715</v>
      </c>
    </row>
    <row r="54" spans="1:5" x14ac:dyDescent="0.3">
      <c r="A54" t="s">
        <v>243</v>
      </c>
      <c r="B54">
        <v>14.7</v>
      </c>
      <c r="C54">
        <f t="shared" si="0"/>
        <v>-0.31518532353611711</v>
      </c>
      <c r="D54" t="str">
        <f t="shared" si="1"/>
        <v>No</v>
      </c>
      <c r="E54">
        <f t="shared" si="2"/>
        <v>0.39880952380952372</v>
      </c>
    </row>
    <row r="55" spans="1:5" x14ac:dyDescent="0.3">
      <c r="A55" t="s">
        <v>32</v>
      </c>
      <c r="B55">
        <v>24.8</v>
      </c>
      <c r="C55">
        <f t="shared" si="0"/>
        <v>3.3519115318922545</v>
      </c>
      <c r="D55" t="str">
        <f t="shared" si="1"/>
        <v>Yes</v>
      </c>
      <c r="E55">
        <f t="shared" si="2"/>
        <v>1</v>
      </c>
    </row>
    <row r="56" spans="1:5" x14ac:dyDescent="0.3">
      <c r="A56" t="s">
        <v>238</v>
      </c>
      <c r="B56">
        <v>20.100000000000001</v>
      </c>
      <c r="C56">
        <f t="shared" si="0"/>
        <v>1.6454407179800425</v>
      </c>
      <c r="D56" t="str">
        <f t="shared" si="1"/>
        <v>No</v>
      </c>
      <c r="E56">
        <f t="shared" si="2"/>
        <v>0.72023809523809534</v>
      </c>
    </row>
    <row r="57" spans="1:5" x14ac:dyDescent="0.3">
      <c r="A57" t="s">
        <v>251</v>
      </c>
      <c r="B57">
        <v>15.8</v>
      </c>
      <c r="C57">
        <f t="shared" si="0"/>
        <v>8.4201462698656485E-2</v>
      </c>
      <c r="D57" t="str">
        <f t="shared" si="1"/>
        <v>No</v>
      </c>
      <c r="E57">
        <f t="shared" si="2"/>
        <v>0.4642857142857143</v>
      </c>
    </row>
    <row r="58" spans="1:5" x14ac:dyDescent="0.3">
      <c r="A58" t="s">
        <v>155</v>
      </c>
      <c r="B58">
        <v>14.7</v>
      </c>
      <c r="C58">
        <f t="shared" si="0"/>
        <v>-0.31518532353611711</v>
      </c>
      <c r="D58" t="str">
        <f t="shared" si="1"/>
        <v>No</v>
      </c>
      <c r="E58">
        <f t="shared" si="2"/>
        <v>0.39880952380952372</v>
      </c>
    </row>
    <row r="59" spans="1:5" x14ac:dyDescent="0.3">
      <c r="A59" t="s">
        <v>265</v>
      </c>
      <c r="B59">
        <v>15.1</v>
      </c>
      <c r="C59">
        <f t="shared" si="0"/>
        <v>-0.16995376490529041</v>
      </c>
      <c r="D59" t="str">
        <f t="shared" si="1"/>
        <v>No</v>
      </c>
      <c r="E59">
        <f t="shared" si="2"/>
        <v>0.42261904761904756</v>
      </c>
    </row>
    <row r="60" spans="1:5" x14ac:dyDescent="0.3">
      <c r="A60" t="s">
        <v>262</v>
      </c>
      <c r="B60">
        <v>15.3</v>
      </c>
      <c r="C60">
        <f t="shared" si="0"/>
        <v>-9.7337985589876733E-2</v>
      </c>
      <c r="D60" t="str">
        <f t="shared" si="1"/>
        <v>No</v>
      </c>
      <c r="E60">
        <f t="shared" si="2"/>
        <v>0.43452380952380953</v>
      </c>
    </row>
    <row r="61" spans="1:5" x14ac:dyDescent="0.3">
      <c r="A61" t="s">
        <v>256</v>
      </c>
      <c r="B61">
        <v>21.7</v>
      </c>
      <c r="C61">
        <f t="shared" si="0"/>
        <v>2.2263669525033478</v>
      </c>
      <c r="D61" t="str">
        <f t="shared" si="1"/>
        <v>Yes</v>
      </c>
      <c r="E61">
        <f t="shared" si="2"/>
        <v>0.81547619047619035</v>
      </c>
    </row>
    <row r="62" spans="1:5" x14ac:dyDescent="0.3">
      <c r="A62" t="s">
        <v>259</v>
      </c>
      <c r="B62">
        <v>21.8</v>
      </c>
      <c r="C62">
        <f t="shared" si="0"/>
        <v>2.2626748421610552</v>
      </c>
      <c r="D62" t="str">
        <f t="shared" si="1"/>
        <v>Yes</v>
      </c>
      <c r="E62">
        <f t="shared" si="2"/>
        <v>0.8214285714285714</v>
      </c>
    </row>
    <row r="63" spans="1:5" x14ac:dyDescent="0.3">
      <c r="A63" t="s">
        <v>257</v>
      </c>
      <c r="B63">
        <v>23.7</v>
      </c>
      <c r="C63">
        <f t="shared" si="0"/>
        <v>2.952524745657481</v>
      </c>
      <c r="D63" t="str">
        <f t="shared" si="1"/>
        <v>Yes</v>
      </c>
      <c r="E63">
        <f t="shared" si="2"/>
        <v>0.93452380952380942</v>
      </c>
    </row>
    <row r="64" spans="1:5" x14ac:dyDescent="0.3">
      <c r="A64" t="s">
        <v>261</v>
      </c>
      <c r="B64">
        <v>17.3</v>
      </c>
      <c r="C64">
        <f t="shared" si="0"/>
        <v>0.62881980756425615</v>
      </c>
      <c r="D64" t="str">
        <f t="shared" si="1"/>
        <v>No</v>
      </c>
      <c r="E64">
        <f t="shared" si="2"/>
        <v>0.5535714285714286</v>
      </c>
    </row>
    <row r="65" spans="1:5" x14ac:dyDescent="0.3">
      <c r="A65" t="s">
        <v>258</v>
      </c>
      <c r="B65">
        <v>19.899999999999999</v>
      </c>
      <c r="C65">
        <f t="shared" si="0"/>
        <v>1.5728249386646282</v>
      </c>
      <c r="D65" t="str">
        <f t="shared" si="1"/>
        <v>No</v>
      </c>
      <c r="E65">
        <f t="shared" si="2"/>
        <v>0.70833333333333326</v>
      </c>
    </row>
    <row r="66" spans="1:5" x14ac:dyDescent="0.3">
      <c r="A66" t="s">
        <v>279</v>
      </c>
      <c r="B66">
        <v>14.2</v>
      </c>
      <c r="C66">
        <f t="shared" si="0"/>
        <v>-0.49672477182465036</v>
      </c>
      <c r="D66" t="str">
        <f t="shared" si="1"/>
        <v>No</v>
      </c>
      <c r="E66">
        <f t="shared" si="2"/>
        <v>0.36904761904761901</v>
      </c>
    </row>
    <row r="67" spans="1:5" x14ac:dyDescent="0.3">
      <c r="A67" t="s">
        <v>283</v>
      </c>
      <c r="B67">
        <v>20.399999999999999</v>
      </c>
      <c r="C67">
        <f t="shared" ref="C67:C130" si="3">IFERROR((B67-$H$3)/$I$3,"")</f>
        <v>1.7543643869531613</v>
      </c>
      <c r="D67" t="str">
        <f t="shared" ref="D67:D130" si="4">IF(ABS(C67)&gt;2,"Yes","No")</f>
        <v>No</v>
      </c>
      <c r="E67">
        <f t="shared" ref="E67:E130" si="5">IFERROR((B67-$K$3) / ($L$3-$K$3),"")</f>
        <v>0.73809523809523803</v>
      </c>
    </row>
    <row r="68" spans="1:5" x14ac:dyDescent="0.3">
      <c r="A68" t="s">
        <v>280</v>
      </c>
      <c r="B68">
        <v>15.8</v>
      </c>
      <c r="C68">
        <f t="shared" si="3"/>
        <v>8.4201462698656485E-2</v>
      </c>
      <c r="D68" t="str">
        <f t="shared" si="4"/>
        <v>No</v>
      </c>
      <c r="E68">
        <f t="shared" si="5"/>
        <v>0.4642857142857143</v>
      </c>
    </row>
    <row r="69" spans="1:5" x14ac:dyDescent="0.3">
      <c r="A69" t="s">
        <v>284</v>
      </c>
      <c r="B69">
        <v>19.600000000000001</v>
      </c>
      <c r="C69">
        <f t="shared" si="3"/>
        <v>1.4639012696915092</v>
      </c>
      <c r="D69" t="str">
        <f t="shared" si="4"/>
        <v>No</v>
      </c>
      <c r="E69">
        <f t="shared" si="5"/>
        <v>0.69047619047619058</v>
      </c>
    </row>
    <row r="70" spans="1:5" x14ac:dyDescent="0.3">
      <c r="A70" t="s">
        <v>297</v>
      </c>
      <c r="B70">
        <v>15.3</v>
      </c>
      <c r="C70">
        <f t="shared" si="3"/>
        <v>-9.7337985589876733E-2</v>
      </c>
      <c r="D70" t="str">
        <f t="shared" si="4"/>
        <v>No</v>
      </c>
      <c r="E70">
        <f t="shared" si="5"/>
        <v>0.43452380952380953</v>
      </c>
    </row>
    <row r="71" spans="1:5" x14ac:dyDescent="0.3">
      <c r="A71" t="s">
        <v>313</v>
      </c>
      <c r="B71">
        <v>24.6</v>
      </c>
      <c r="C71">
        <f t="shared" si="3"/>
        <v>3.2792957525768416</v>
      </c>
      <c r="D71" t="str">
        <f t="shared" si="4"/>
        <v>Yes</v>
      </c>
      <c r="E71">
        <f t="shared" si="5"/>
        <v>0.98809523809523814</v>
      </c>
    </row>
    <row r="72" spans="1:5" x14ac:dyDescent="0.3">
      <c r="A72" t="s">
        <v>29</v>
      </c>
      <c r="B72">
        <v>14.5</v>
      </c>
      <c r="C72">
        <f t="shared" si="3"/>
        <v>-0.38780110285153013</v>
      </c>
      <c r="D72" t="str">
        <f t="shared" si="4"/>
        <v>No</v>
      </c>
      <c r="E72">
        <f t="shared" si="5"/>
        <v>0.38690476190476186</v>
      </c>
    </row>
    <row r="73" spans="1:5" x14ac:dyDescent="0.3">
      <c r="A73" t="s">
        <v>24</v>
      </c>
      <c r="B73">
        <v>15</v>
      </c>
      <c r="C73">
        <f t="shared" si="3"/>
        <v>-0.20626165456299694</v>
      </c>
      <c r="D73" t="str">
        <f t="shared" si="4"/>
        <v>No</v>
      </c>
      <c r="E73">
        <f t="shared" si="5"/>
        <v>0.41666666666666663</v>
      </c>
    </row>
    <row r="74" spans="1:5" x14ac:dyDescent="0.3">
      <c r="A74" t="s">
        <v>60</v>
      </c>
      <c r="B74">
        <v>18</v>
      </c>
      <c r="C74">
        <f t="shared" si="3"/>
        <v>0.88297503516820242</v>
      </c>
      <c r="D74" t="str">
        <f t="shared" si="4"/>
        <v>No</v>
      </c>
      <c r="E74">
        <f t="shared" si="5"/>
        <v>0.59523809523809523</v>
      </c>
    </row>
    <row r="75" spans="1:5" x14ac:dyDescent="0.3">
      <c r="A75" t="s">
        <v>42</v>
      </c>
      <c r="B75">
        <v>14</v>
      </c>
      <c r="C75">
        <f t="shared" si="3"/>
        <v>-0.56934055114006343</v>
      </c>
      <c r="D75" t="str">
        <f t="shared" si="4"/>
        <v>No</v>
      </c>
      <c r="E75">
        <f t="shared" si="5"/>
        <v>0.35714285714285715</v>
      </c>
    </row>
    <row r="76" spans="1:5" x14ac:dyDescent="0.3">
      <c r="A76" t="s">
        <v>29</v>
      </c>
      <c r="B76">
        <v>14.5</v>
      </c>
      <c r="C76">
        <f t="shared" si="3"/>
        <v>-0.38780110285153013</v>
      </c>
      <c r="D76" t="str">
        <f t="shared" si="4"/>
        <v>No</v>
      </c>
      <c r="E76">
        <f t="shared" si="5"/>
        <v>0.38690476190476186</v>
      </c>
    </row>
    <row r="77" spans="1:5" x14ac:dyDescent="0.3">
      <c r="A77" t="s">
        <v>59</v>
      </c>
      <c r="B77">
        <v>19</v>
      </c>
      <c r="C77">
        <f t="shared" si="3"/>
        <v>1.2460539317452688</v>
      </c>
      <c r="D77" t="str">
        <f t="shared" si="4"/>
        <v>No</v>
      </c>
      <c r="E77">
        <f t="shared" si="5"/>
        <v>0.65476190476190477</v>
      </c>
    </row>
    <row r="78" spans="1:5" x14ac:dyDescent="0.3">
      <c r="A78" t="s">
        <v>73</v>
      </c>
      <c r="B78">
        <v>13.5</v>
      </c>
      <c r="C78">
        <f t="shared" si="3"/>
        <v>-0.75087999942859662</v>
      </c>
      <c r="D78" t="str">
        <f t="shared" si="4"/>
        <v>No</v>
      </c>
      <c r="E78">
        <f t="shared" si="5"/>
        <v>0.32738095238095238</v>
      </c>
    </row>
    <row r="79" spans="1:5" x14ac:dyDescent="0.3">
      <c r="A79" t="s">
        <v>86</v>
      </c>
      <c r="B79">
        <v>16.5</v>
      </c>
      <c r="C79">
        <f t="shared" si="3"/>
        <v>0.33835669030260274</v>
      </c>
      <c r="D79" t="str">
        <f t="shared" si="4"/>
        <v>No</v>
      </c>
      <c r="E79">
        <f t="shared" si="5"/>
        <v>0.50595238095238093</v>
      </c>
    </row>
    <row r="80" spans="1:5" x14ac:dyDescent="0.3">
      <c r="A80" t="s">
        <v>63</v>
      </c>
      <c r="B80">
        <v>15.5</v>
      </c>
      <c r="C80">
        <f t="shared" si="3"/>
        <v>-2.4722206274463705E-2</v>
      </c>
      <c r="D80" t="str">
        <f t="shared" si="4"/>
        <v>No</v>
      </c>
      <c r="E80">
        <f t="shared" si="5"/>
        <v>0.4464285714285714</v>
      </c>
    </row>
    <row r="81" spans="1:5" x14ac:dyDescent="0.3">
      <c r="A81" t="s">
        <v>83</v>
      </c>
      <c r="B81">
        <v>17</v>
      </c>
      <c r="C81">
        <f t="shared" si="3"/>
        <v>0.51989613859113593</v>
      </c>
      <c r="D81" t="str">
        <f t="shared" si="4"/>
        <v>No</v>
      </c>
      <c r="E81">
        <f t="shared" si="5"/>
        <v>0.5357142857142857</v>
      </c>
    </row>
    <row r="82" spans="1:5" x14ac:dyDescent="0.3">
      <c r="A82" t="s">
        <v>84</v>
      </c>
      <c r="B82">
        <v>14.5</v>
      </c>
      <c r="C82">
        <f t="shared" si="3"/>
        <v>-0.38780110285153013</v>
      </c>
      <c r="D82" t="str">
        <f t="shared" si="4"/>
        <v>No</v>
      </c>
      <c r="E82">
        <f t="shared" si="5"/>
        <v>0.38690476190476186</v>
      </c>
    </row>
    <row r="83" spans="1:5" x14ac:dyDescent="0.3">
      <c r="A83" t="s">
        <v>106</v>
      </c>
      <c r="B83">
        <v>13.5</v>
      </c>
      <c r="C83">
        <f t="shared" si="3"/>
        <v>-0.75087999942859662</v>
      </c>
      <c r="D83" t="str">
        <f t="shared" si="4"/>
        <v>No</v>
      </c>
      <c r="E83">
        <f t="shared" si="5"/>
        <v>0.32738095238095238</v>
      </c>
    </row>
    <row r="84" spans="1:5" x14ac:dyDescent="0.3">
      <c r="A84" t="s">
        <v>105</v>
      </c>
      <c r="B84">
        <v>16.5</v>
      </c>
      <c r="C84">
        <f t="shared" si="3"/>
        <v>0.33835669030260274</v>
      </c>
      <c r="D84" t="str">
        <f t="shared" si="4"/>
        <v>No</v>
      </c>
      <c r="E84">
        <f t="shared" si="5"/>
        <v>0.50595238095238093</v>
      </c>
    </row>
    <row r="85" spans="1:5" x14ac:dyDescent="0.3">
      <c r="A85" t="s">
        <v>104</v>
      </c>
      <c r="B85">
        <v>19</v>
      </c>
      <c r="C85">
        <f t="shared" si="3"/>
        <v>1.2460539317452688</v>
      </c>
      <c r="D85" t="str">
        <f t="shared" si="4"/>
        <v>No</v>
      </c>
      <c r="E85">
        <f t="shared" si="5"/>
        <v>0.65476190476190477</v>
      </c>
    </row>
    <row r="86" spans="1:5" x14ac:dyDescent="0.3">
      <c r="A86" t="s">
        <v>117</v>
      </c>
      <c r="B86">
        <v>13.5</v>
      </c>
      <c r="C86">
        <f t="shared" si="3"/>
        <v>-0.75087999942859662</v>
      </c>
      <c r="D86" t="str">
        <f t="shared" si="4"/>
        <v>No</v>
      </c>
      <c r="E86">
        <f t="shared" si="5"/>
        <v>0.32738095238095238</v>
      </c>
    </row>
    <row r="87" spans="1:5" x14ac:dyDescent="0.3">
      <c r="A87" t="s">
        <v>130</v>
      </c>
      <c r="B87">
        <v>15</v>
      </c>
      <c r="C87">
        <f t="shared" si="3"/>
        <v>-0.20626165456299694</v>
      </c>
      <c r="D87" t="str">
        <f t="shared" si="4"/>
        <v>No</v>
      </c>
      <c r="E87">
        <f t="shared" si="5"/>
        <v>0.41666666666666663</v>
      </c>
    </row>
    <row r="88" spans="1:5" x14ac:dyDescent="0.3">
      <c r="A88" t="s">
        <v>131</v>
      </c>
      <c r="B88">
        <v>15.5</v>
      </c>
      <c r="C88">
        <f t="shared" si="3"/>
        <v>-2.4722206274463705E-2</v>
      </c>
      <c r="D88" t="str">
        <f t="shared" si="4"/>
        <v>No</v>
      </c>
      <c r="E88">
        <f t="shared" si="5"/>
        <v>0.4464285714285714</v>
      </c>
    </row>
    <row r="89" spans="1:5" x14ac:dyDescent="0.3">
      <c r="A89" t="s">
        <v>59</v>
      </c>
      <c r="B89">
        <v>21</v>
      </c>
      <c r="C89">
        <f t="shared" si="3"/>
        <v>1.9722117248994018</v>
      </c>
      <c r="D89" t="str">
        <f t="shared" si="4"/>
        <v>No</v>
      </c>
      <c r="E89">
        <f t="shared" si="5"/>
        <v>0.77380952380952372</v>
      </c>
    </row>
    <row r="90" spans="1:5" x14ac:dyDescent="0.3">
      <c r="A90" t="s">
        <v>120</v>
      </c>
      <c r="B90">
        <v>19</v>
      </c>
      <c r="C90">
        <f t="shared" si="3"/>
        <v>1.2460539317452688</v>
      </c>
      <c r="D90" t="str">
        <f t="shared" si="4"/>
        <v>No</v>
      </c>
      <c r="E90">
        <f t="shared" si="5"/>
        <v>0.65476190476190477</v>
      </c>
    </row>
    <row r="91" spans="1:5" x14ac:dyDescent="0.3">
      <c r="A91" t="s">
        <v>42</v>
      </c>
      <c r="B91">
        <v>16.5</v>
      </c>
      <c r="C91">
        <f t="shared" si="3"/>
        <v>0.33835669030260274</v>
      </c>
      <c r="D91" t="str">
        <f t="shared" si="4"/>
        <v>No</v>
      </c>
      <c r="E91">
        <f t="shared" si="5"/>
        <v>0.50595238095238093</v>
      </c>
    </row>
    <row r="92" spans="1:5" x14ac:dyDescent="0.3">
      <c r="A92" t="s">
        <v>127</v>
      </c>
      <c r="B92">
        <v>19</v>
      </c>
      <c r="C92">
        <f t="shared" si="3"/>
        <v>1.2460539317452688</v>
      </c>
      <c r="D92" t="str">
        <f t="shared" si="4"/>
        <v>No</v>
      </c>
      <c r="E92">
        <f t="shared" si="5"/>
        <v>0.65476190476190477</v>
      </c>
    </row>
    <row r="93" spans="1:5" x14ac:dyDescent="0.3">
      <c r="A93" t="s">
        <v>127</v>
      </c>
      <c r="B93">
        <v>17</v>
      </c>
      <c r="C93">
        <f t="shared" si="3"/>
        <v>0.51989613859113593</v>
      </c>
      <c r="D93" t="str">
        <f t="shared" si="4"/>
        <v>No</v>
      </c>
      <c r="E93">
        <f t="shared" si="5"/>
        <v>0.5357142857142857</v>
      </c>
    </row>
    <row r="94" spans="1:5" x14ac:dyDescent="0.3">
      <c r="A94" t="s">
        <v>42</v>
      </c>
      <c r="B94">
        <v>13.5</v>
      </c>
      <c r="C94">
        <f t="shared" si="3"/>
        <v>-0.75087999942859662</v>
      </c>
      <c r="D94" t="str">
        <f t="shared" si="4"/>
        <v>No</v>
      </c>
      <c r="E94">
        <f t="shared" si="5"/>
        <v>0.32738095238095238</v>
      </c>
    </row>
    <row r="95" spans="1:5" x14ac:dyDescent="0.3">
      <c r="A95" t="s">
        <v>143</v>
      </c>
      <c r="B95">
        <v>16</v>
      </c>
      <c r="C95">
        <f t="shared" si="3"/>
        <v>0.15681724201406952</v>
      </c>
      <c r="D95" t="str">
        <f t="shared" si="4"/>
        <v>No</v>
      </c>
      <c r="E95">
        <f t="shared" si="5"/>
        <v>0.47619047619047616</v>
      </c>
    </row>
    <row r="96" spans="1:5" x14ac:dyDescent="0.3">
      <c r="A96" t="s">
        <v>148</v>
      </c>
      <c r="B96">
        <v>17.5</v>
      </c>
      <c r="C96">
        <f t="shared" si="3"/>
        <v>0.70143558687966923</v>
      </c>
      <c r="D96" t="str">
        <f t="shared" si="4"/>
        <v>No</v>
      </c>
      <c r="E96">
        <f t="shared" si="5"/>
        <v>0.56547619047619047</v>
      </c>
    </row>
    <row r="97" spans="1:5" x14ac:dyDescent="0.3">
      <c r="A97" t="s">
        <v>160</v>
      </c>
      <c r="B97">
        <v>17</v>
      </c>
      <c r="C97">
        <f t="shared" si="3"/>
        <v>0.51989613859113593</v>
      </c>
      <c r="D97" t="str">
        <f t="shared" si="4"/>
        <v>No</v>
      </c>
      <c r="E97">
        <f t="shared" si="5"/>
        <v>0.5357142857142857</v>
      </c>
    </row>
    <row r="98" spans="1:5" x14ac:dyDescent="0.3">
      <c r="A98" t="s">
        <v>143</v>
      </c>
      <c r="B98">
        <v>16.399999999999999</v>
      </c>
      <c r="C98">
        <f t="shared" si="3"/>
        <v>0.30204880064489559</v>
      </c>
      <c r="D98" t="str">
        <f t="shared" si="4"/>
        <v>No</v>
      </c>
      <c r="E98">
        <f t="shared" si="5"/>
        <v>0.49999999999999989</v>
      </c>
    </row>
    <row r="99" spans="1:5" x14ac:dyDescent="0.3">
      <c r="A99" t="s">
        <v>130</v>
      </c>
      <c r="B99">
        <v>17.399999999999999</v>
      </c>
      <c r="C99">
        <f t="shared" si="3"/>
        <v>0.66512769722196208</v>
      </c>
      <c r="D99" t="str">
        <f t="shared" si="4"/>
        <v>No</v>
      </c>
      <c r="E99">
        <f t="shared" si="5"/>
        <v>0.55952380952380942</v>
      </c>
    </row>
    <row r="100" spans="1:5" x14ac:dyDescent="0.3">
      <c r="A100" t="s">
        <v>117</v>
      </c>
      <c r="B100">
        <v>15.5</v>
      </c>
      <c r="C100">
        <f t="shared" si="3"/>
        <v>-2.4722206274463705E-2</v>
      </c>
      <c r="D100" t="str">
        <f t="shared" si="4"/>
        <v>No</v>
      </c>
      <c r="E100">
        <f t="shared" si="5"/>
        <v>0.4464285714285714</v>
      </c>
    </row>
    <row r="101" spans="1:5" x14ac:dyDescent="0.3">
      <c r="A101" t="s">
        <v>192</v>
      </c>
      <c r="B101">
        <v>13.5</v>
      </c>
      <c r="C101">
        <f t="shared" si="3"/>
        <v>-0.75087999942859662</v>
      </c>
      <c r="D101" t="str">
        <f t="shared" si="4"/>
        <v>No</v>
      </c>
      <c r="E101">
        <f t="shared" si="5"/>
        <v>0.32738095238095238</v>
      </c>
    </row>
    <row r="102" spans="1:5" x14ac:dyDescent="0.3">
      <c r="A102" t="s">
        <v>172</v>
      </c>
      <c r="B102">
        <v>16.8</v>
      </c>
      <c r="C102">
        <f t="shared" si="3"/>
        <v>0.44728035927572296</v>
      </c>
      <c r="D102" t="str">
        <f t="shared" si="4"/>
        <v>No</v>
      </c>
      <c r="E102">
        <f t="shared" si="5"/>
        <v>0.52380952380952384</v>
      </c>
    </row>
    <row r="103" spans="1:5" x14ac:dyDescent="0.3">
      <c r="A103" t="s">
        <v>189</v>
      </c>
      <c r="B103">
        <v>16.399999999999999</v>
      </c>
      <c r="C103">
        <f t="shared" si="3"/>
        <v>0.30204880064489559</v>
      </c>
      <c r="D103" t="str">
        <f t="shared" si="4"/>
        <v>No</v>
      </c>
      <c r="E103">
        <f t="shared" si="5"/>
        <v>0.49999999999999989</v>
      </c>
    </row>
    <row r="104" spans="1:5" x14ac:dyDescent="0.3">
      <c r="A104" t="s">
        <v>168</v>
      </c>
      <c r="B104">
        <v>18.5</v>
      </c>
      <c r="C104">
        <f t="shared" si="3"/>
        <v>1.0645144834567357</v>
      </c>
      <c r="D104" t="str">
        <f t="shared" si="4"/>
        <v>No</v>
      </c>
      <c r="E104">
        <f t="shared" si="5"/>
        <v>0.625</v>
      </c>
    </row>
    <row r="105" spans="1:5" x14ac:dyDescent="0.3">
      <c r="A105" t="s">
        <v>186</v>
      </c>
      <c r="B105">
        <v>18.2</v>
      </c>
      <c r="C105">
        <f t="shared" si="3"/>
        <v>0.95559081448361549</v>
      </c>
      <c r="D105" t="str">
        <f t="shared" si="4"/>
        <v>No</v>
      </c>
      <c r="E105">
        <f t="shared" si="5"/>
        <v>0.6071428571428571</v>
      </c>
    </row>
    <row r="106" spans="1:5" x14ac:dyDescent="0.3">
      <c r="A106" t="s">
        <v>190</v>
      </c>
      <c r="B106">
        <v>14.5</v>
      </c>
      <c r="C106">
        <f t="shared" si="3"/>
        <v>-0.38780110285153013</v>
      </c>
      <c r="D106" t="str">
        <f t="shared" si="4"/>
        <v>No</v>
      </c>
      <c r="E106">
        <f t="shared" si="5"/>
        <v>0.38690476190476186</v>
      </c>
    </row>
    <row r="107" spans="1:5" x14ac:dyDescent="0.3">
      <c r="A107" t="s">
        <v>212</v>
      </c>
      <c r="B107">
        <v>14.7</v>
      </c>
      <c r="C107">
        <f t="shared" si="3"/>
        <v>-0.31518532353611711</v>
      </c>
      <c r="D107" t="str">
        <f t="shared" si="4"/>
        <v>No</v>
      </c>
      <c r="E107">
        <f t="shared" si="5"/>
        <v>0.39880952380952372</v>
      </c>
    </row>
    <row r="108" spans="1:5" x14ac:dyDescent="0.3">
      <c r="A108" t="s">
        <v>217</v>
      </c>
      <c r="B108">
        <v>14.9</v>
      </c>
      <c r="C108">
        <f t="shared" si="3"/>
        <v>-0.24256954422070345</v>
      </c>
      <c r="D108" t="str">
        <f t="shared" si="4"/>
        <v>No</v>
      </c>
      <c r="E108">
        <f t="shared" si="5"/>
        <v>0.4107142857142857</v>
      </c>
    </row>
    <row r="109" spans="1:5" x14ac:dyDescent="0.3">
      <c r="A109" t="s">
        <v>214</v>
      </c>
      <c r="B109">
        <v>14.8</v>
      </c>
      <c r="C109">
        <f t="shared" si="3"/>
        <v>-0.27887743387840996</v>
      </c>
      <c r="D109" t="str">
        <f t="shared" si="4"/>
        <v>No</v>
      </c>
      <c r="E109">
        <f t="shared" si="5"/>
        <v>0.40476190476190477</v>
      </c>
    </row>
    <row r="110" spans="1:5" x14ac:dyDescent="0.3">
      <c r="A110" t="s">
        <v>42</v>
      </c>
      <c r="B110">
        <v>14.2</v>
      </c>
      <c r="C110">
        <f t="shared" si="3"/>
        <v>-0.49672477182465036</v>
      </c>
      <c r="D110" t="str">
        <f t="shared" si="4"/>
        <v>No</v>
      </c>
      <c r="E110">
        <f t="shared" si="5"/>
        <v>0.36904761904761901</v>
      </c>
    </row>
    <row r="111" spans="1:5" x14ac:dyDescent="0.3">
      <c r="A111" t="s">
        <v>196</v>
      </c>
      <c r="B111">
        <v>18.600000000000001</v>
      </c>
      <c r="C111">
        <f t="shared" si="3"/>
        <v>1.1008223731144429</v>
      </c>
      <c r="D111" t="str">
        <f t="shared" si="4"/>
        <v>No</v>
      </c>
      <c r="E111">
        <f t="shared" si="5"/>
        <v>0.63095238095238104</v>
      </c>
    </row>
    <row r="112" spans="1:5" x14ac:dyDescent="0.3">
      <c r="A112" t="s">
        <v>148</v>
      </c>
      <c r="B112">
        <v>16.399999999999999</v>
      </c>
      <c r="C112">
        <f t="shared" si="3"/>
        <v>0.30204880064489559</v>
      </c>
      <c r="D112" t="str">
        <f t="shared" si="4"/>
        <v>No</v>
      </c>
      <c r="E112">
        <f t="shared" si="5"/>
        <v>0.49999999999999989</v>
      </c>
    </row>
    <row r="113" spans="1:5" x14ac:dyDescent="0.3">
      <c r="A113" t="s">
        <v>223</v>
      </c>
      <c r="B113">
        <v>16.600000000000001</v>
      </c>
      <c r="C113">
        <f t="shared" si="3"/>
        <v>0.37466457996030988</v>
      </c>
      <c r="D113" t="str">
        <f t="shared" si="4"/>
        <v>No</v>
      </c>
      <c r="E113">
        <f t="shared" si="5"/>
        <v>0.51190476190476197</v>
      </c>
    </row>
    <row r="114" spans="1:5" x14ac:dyDescent="0.3">
      <c r="A114" t="s">
        <v>195</v>
      </c>
      <c r="B114">
        <v>19.399999999999999</v>
      </c>
      <c r="C114">
        <f t="shared" si="3"/>
        <v>1.3912854903760949</v>
      </c>
      <c r="D114" t="str">
        <f t="shared" si="4"/>
        <v>No</v>
      </c>
      <c r="E114">
        <f t="shared" si="5"/>
        <v>0.67857142857142849</v>
      </c>
    </row>
    <row r="115" spans="1:5" x14ac:dyDescent="0.3">
      <c r="A115" t="s">
        <v>235</v>
      </c>
      <c r="B115">
        <v>15.2</v>
      </c>
      <c r="C115">
        <f t="shared" si="3"/>
        <v>-0.1336458752475839</v>
      </c>
      <c r="D115" t="str">
        <f t="shared" si="4"/>
        <v>No</v>
      </c>
      <c r="E115">
        <f t="shared" si="5"/>
        <v>0.42857142857142849</v>
      </c>
    </row>
    <row r="116" spans="1:5" x14ac:dyDescent="0.3">
      <c r="A116" t="s">
        <v>242</v>
      </c>
      <c r="B116">
        <v>19.2</v>
      </c>
      <c r="C116">
        <f t="shared" si="3"/>
        <v>1.318669711060682</v>
      </c>
      <c r="D116" t="str">
        <f t="shared" si="4"/>
        <v>No</v>
      </c>
      <c r="E116">
        <f t="shared" si="5"/>
        <v>0.66666666666666663</v>
      </c>
    </row>
    <row r="117" spans="1:5" x14ac:dyDescent="0.3">
      <c r="A117" t="s">
        <v>264</v>
      </c>
      <c r="B117">
        <v>12.5</v>
      </c>
      <c r="C117">
        <f t="shared" si="3"/>
        <v>-1.113958896005663</v>
      </c>
      <c r="D117" t="str">
        <f t="shared" si="4"/>
        <v>No</v>
      </c>
      <c r="E117">
        <f t="shared" si="5"/>
        <v>0.26785714285714285</v>
      </c>
    </row>
    <row r="118" spans="1:5" x14ac:dyDescent="0.3">
      <c r="A118" t="s">
        <v>254</v>
      </c>
      <c r="B118">
        <v>15</v>
      </c>
      <c r="C118">
        <f t="shared" si="3"/>
        <v>-0.20626165456299694</v>
      </c>
      <c r="D118" t="str">
        <f t="shared" si="4"/>
        <v>No</v>
      </c>
      <c r="E118">
        <f t="shared" si="5"/>
        <v>0.41666666666666663</v>
      </c>
    </row>
    <row r="119" spans="1:5" x14ac:dyDescent="0.3">
      <c r="A119" t="s">
        <v>260</v>
      </c>
      <c r="B119">
        <v>13.8</v>
      </c>
      <c r="C119">
        <f t="shared" si="3"/>
        <v>-0.6419563304554764</v>
      </c>
      <c r="D119" t="str">
        <f t="shared" si="4"/>
        <v>No</v>
      </c>
      <c r="E119">
        <f t="shared" si="5"/>
        <v>0.34523809523809529</v>
      </c>
    </row>
    <row r="120" spans="1:5" x14ac:dyDescent="0.3">
      <c r="A120" t="s">
        <v>252</v>
      </c>
      <c r="B120">
        <v>15.5</v>
      </c>
      <c r="C120">
        <f t="shared" si="3"/>
        <v>-2.4722206274463705E-2</v>
      </c>
      <c r="D120" t="str">
        <f t="shared" si="4"/>
        <v>No</v>
      </c>
      <c r="E120">
        <f t="shared" si="5"/>
        <v>0.4464285714285714</v>
      </c>
    </row>
    <row r="121" spans="1:5" x14ac:dyDescent="0.3">
      <c r="A121" t="s">
        <v>143</v>
      </c>
      <c r="B121">
        <v>15.2</v>
      </c>
      <c r="C121">
        <f t="shared" si="3"/>
        <v>-0.1336458752475839</v>
      </c>
      <c r="D121" t="str">
        <f t="shared" si="4"/>
        <v>No</v>
      </c>
      <c r="E121">
        <f t="shared" si="5"/>
        <v>0.42857142857142849</v>
      </c>
    </row>
    <row r="122" spans="1:5" x14ac:dyDescent="0.3">
      <c r="A122" t="s">
        <v>249</v>
      </c>
      <c r="B122">
        <v>16.399999999999999</v>
      </c>
      <c r="C122">
        <f t="shared" si="3"/>
        <v>0.30204880064489559</v>
      </c>
      <c r="D122" t="str">
        <f t="shared" si="4"/>
        <v>No</v>
      </c>
      <c r="E122">
        <f t="shared" si="5"/>
        <v>0.49999999999999989</v>
      </c>
    </row>
    <row r="123" spans="1:5" x14ac:dyDescent="0.3">
      <c r="A123" t="s">
        <v>267</v>
      </c>
      <c r="B123">
        <v>17</v>
      </c>
      <c r="C123">
        <f t="shared" si="3"/>
        <v>0.51989613859113593</v>
      </c>
      <c r="D123" t="str">
        <f t="shared" si="4"/>
        <v>No</v>
      </c>
      <c r="E123">
        <f t="shared" si="5"/>
        <v>0.5357142857142857</v>
      </c>
    </row>
    <row r="124" spans="1:5" x14ac:dyDescent="0.3">
      <c r="A124" t="s">
        <v>189</v>
      </c>
      <c r="B124">
        <v>18</v>
      </c>
      <c r="C124">
        <f t="shared" si="3"/>
        <v>0.88297503516820242</v>
      </c>
      <c r="D124" t="str">
        <f t="shared" si="4"/>
        <v>No</v>
      </c>
      <c r="E124">
        <f t="shared" si="5"/>
        <v>0.59523809523809523</v>
      </c>
    </row>
    <row r="125" spans="1:5" x14ac:dyDescent="0.3">
      <c r="A125" t="s">
        <v>242</v>
      </c>
      <c r="B125">
        <v>19.2</v>
      </c>
      <c r="C125">
        <f t="shared" si="3"/>
        <v>1.318669711060682</v>
      </c>
      <c r="D125" t="str">
        <f t="shared" si="4"/>
        <v>No</v>
      </c>
      <c r="E125">
        <f t="shared" si="5"/>
        <v>0.66666666666666663</v>
      </c>
    </row>
    <row r="126" spans="1:5" x14ac:dyDescent="0.3">
      <c r="A126" t="s">
        <v>255</v>
      </c>
      <c r="B126">
        <v>17.899999999999999</v>
      </c>
      <c r="C126">
        <f t="shared" si="3"/>
        <v>0.84666714551049527</v>
      </c>
      <c r="D126" t="str">
        <f t="shared" si="4"/>
        <v>No</v>
      </c>
      <c r="E126">
        <f t="shared" si="5"/>
        <v>0.58928571428571419</v>
      </c>
    </row>
    <row r="127" spans="1:5" x14ac:dyDescent="0.3">
      <c r="A127" t="s">
        <v>248</v>
      </c>
      <c r="B127">
        <v>18.8</v>
      </c>
      <c r="C127">
        <f t="shared" si="3"/>
        <v>1.1734381524298558</v>
      </c>
      <c r="D127" t="str">
        <f t="shared" si="4"/>
        <v>No</v>
      </c>
      <c r="E127">
        <f t="shared" si="5"/>
        <v>0.6428571428571429</v>
      </c>
    </row>
    <row r="128" spans="1:5" x14ac:dyDescent="0.3">
      <c r="A128" t="s">
        <v>253</v>
      </c>
      <c r="B128">
        <v>17.5</v>
      </c>
      <c r="C128">
        <f t="shared" si="3"/>
        <v>0.70143558687966923</v>
      </c>
      <c r="D128" t="str">
        <f t="shared" si="4"/>
        <v>No</v>
      </c>
      <c r="E128">
        <f t="shared" si="5"/>
        <v>0.56547619047619047</v>
      </c>
    </row>
    <row r="129" spans="1:5" x14ac:dyDescent="0.3">
      <c r="A129" t="s">
        <v>263</v>
      </c>
      <c r="B129">
        <v>11.4</v>
      </c>
      <c r="C129">
        <f t="shared" si="3"/>
        <v>-1.5133456822404361</v>
      </c>
      <c r="D129" t="str">
        <f t="shared" si="4"/>
        <v>No</v>
      </c>
      <c r="E129">
        <f t="shared" si="5"/>
        <v>0.20238095238095238</v>
      </c>
    </row>
    <row r="130" spans="1:5" x14ac:dyDescent="0.3">
      <c r="A130" t="s">
        <v>282</v>
      </c>
      <c r="B130">
        <v>14.8</v>
      </c>
      <c r="C130">
        <f t="shared" si="3"/>
        <v>-0.27887743387840996</v>
      </c>
      <c r="D130" t="str">
        <f t="shared" si="4"/>
        <v>No</v>
      </c>
      <c r="E130">
        <f t="shared" si="5"/>
        <v>0.40476190476190477</v>
      </c>
    </row>
    <row r="131" spans="1:5" x14ac:dyDescent="0.3">
      <c r="A131" t="s">
        <v>275</v>
      </c>
      <c r="B131">
        <v>16</v>
      </c>
      <c r="C131">
        <f t="shared" ref="C131:C194" si="6">IFERROR((B131-$H$3)/$I$3,"")</f>
        <v>0.15681724201406952</v>
      </c>
      <c r="D131" t="str">
        <f t="shared" ref="D131:D194" si="7">IF(ABS(C131)&gt;2,"Yes","No")</f>
        <v>No</v>
      </c>
      <c r="E131">
        <f t="shared" ref="E131:E194" si="8">IFERROR((B131-$K$3) / ($L$3-$K$3),"")</f>
        <v>0.47619047619047616</v>
      </c>
    </row>
    <row r="132" spans="1:5" x14ac:dyDescent="0.3">
      <c r="A132" t="s">
        <v>272</v>
      </c>
      <c r="B132">
        <v>16.100000000000001</v>
      </c>
      <c r="C132">
        <f t="shared" si="6"/>
        <v>0.1931251316717767</v>
      </c>
      <c r="D132" t="str">
        <f t="shared" si="7"/>
        <v>No</v>
      </c>
      <c r="E132">
        <f t="shared" si="8"/>
        <v>0.48214285714285721</v>
      </c>
    </row>
    <row r="133" spans="1:5" x14ac:dyDescent="0.3">
      <c r="A133" t="s">
        <v>281</v>
      </c>
      <c r="B133">
        <v>14.4</v>
      </c>
      <c r="C133">
        <f t="shared" si="6"/>
        <v>-0.42410899250923667</v>
      </c>
      <c r="D133" t="str">
        <f t="shared" si="7"/>
        <v>No</v>
      </c>
      <c r="E133">
        <f t="shared" si="8"/>
        <v>0.38095238095238093</v>
      </c>
    </row>
    <row r="134" spans="1:5" x14ac:dyDescent="0.3">
      <c r="A134" t="s">
        <v>270</v>
      </c>
      <c r="B134">
        <v>16.899999999999999</v>
      </c>
      <c r="C134">
        <f t="shared" si="6"/>
        <v>0.48358824893342883</v>
      </c>
      <c r="D134" t="str">
        <f t="shared" si="7"/>
        <v>No</v>
      </c>
      <c r="E134">
        <f t="shared" si="8"/>
        <v>0.52976190476190466</v>
      </c>
    </row>
    <row r="135" spans="1:5" x14ac:dyDescent="0.3">
      <c r="A135" t="s">
        <v>273</v>
      </c>
      <c r="B135">
        <v>19.399999999999999</v>
      </c>
      <c r="C135">
        <f t="shared" si="6"/>
        <v>1.3912854903760949</v>
      </c>
      <c r="D135" t="str">
        <f t="shared" si="7"/>
        <v>No</v>
      </c>
      <c r="E135">
        <f t="shared" si="8"/>
        <v>0.67857142857142849</v>
      </c>
    </row>
    <row r="136" spans="1:5" x14ac:dyDescent="0.3">
      <c r="A136" t="s">
        <v>131</v>
      </c>
      <c r="B136">
        <v>17.8</v>
      </c>
      <c r="C136">
        <f t="shared" si="6"/>
        <v>0.81035925585278934</v>
      </c>
      <c r="D136" t="str">
        <f t="shared" si="7"/>
        <v>No</v>
      </c>
      <c r="E136">
        <f t="shared" si="8"/>
        <v>0.58333333333333337</v>
      </c>
    </row>
    <row r="137" spans="1:5" x14ac:dyDescent="0.3">
      <c r="A137" t="s">
        <v>143</v>
      </c>
      <c r="B137">
        <v>16.8</v>
      </c>
      <c r="C137">
        <f t="shared" si="6"/>
        <v>0.44728035927572296</v>
      </c>
      <c r="D137" t="str">
        <f t="shared" si="7"/>
        <v>No</v>
      </c>
      <c r="E137">
        <f t="shared" si="8"/>
        <v>0.52380952380952384</v>
      </c>
    </row>
    <row r="138" spans="1:5" x14ac:dyDescent="0.3">
      <c r="A138" t="s">
        <v>274</v>
      </c>
      <c r="B138">
        <v>17.3</v>
      </c>
      <c r="C138">
        <f t="shared" si="6"/>
        <v>0.62881980756425615</v>
      </c>
      <c r="D138" t="str">
        <f t="shared" si="7"/>
        <v>No</v>
      </c>
      <c r="E138">
        <f t="shared" si="8"/>
        <v>0.5535714285714286</v>
      </c>
    </row>
    <row r="139" spans="1:5" x14ac:dyDescent="0.3">
      <c r="A139" t="s">
        <v>253</v>
      </c>
      <c r="B139">
        <v>18.3</v>
      </c>
      <c r="C139">
        <f t="shared" si="6"/>
        <v>0.99189870414132264</v>
      </c>
      <c r="D139" t="str">
        <f t="shared" si="7"/>
        <v>No</v>
      </c>
      <c r="E139">
        <f t="shared" si="8"/>
        <v>0.61309523809523814</v>
      </c>
    </row>
    <row r="140" spans="1:5" x14ac:dyDescent="0.3">
      <c r="A140" t="s">
        <v>286</v>
      </c>
      <c r="B140">
        <v>13.8</v>
      </c>
      <c r="C140">
        <f t="shared" si="6"/>
        <v>-0.6419563304554764</v>
      </c>
      <c r="D140" t="str">
        <f t="shared" si="7"/>
        <v>No</v>
      </c>
      <c r="E140">
        <f t="shared" si="8"/>
        <v>0.34523809523809529</v>
      </c>
    </row>
    <row r="141" spans="1:5" x14ac:dyDescent="0.3">
      <c r="A141" t="s">
        <v>285</v>
      </c>
      <c r="B141">
        <v>12.6</v>
      </c>
      <c r="C141">
        <f t="shared" si="6"/>
        <v>-1.0776510063479565</v>
      </c>
      <c r="D141" t="str">
        <f t="shared" si="7"/>
        <v>No</v>
      </c>
      <c r="E141">
        <f t="shared" si="8"/>
        <v>0.27380952380952378</v>
      </c>
    </row>
    <row r="142" spans="1:5" x14ac:dyDescent="0.3">
      <c r="A142" t="s">
        <v>302</v>
      </c>
      <c r="B142">
        <v>14.5</v>
      </c>
      <c r="C142">
        <f t="shared" si="6"/>
        <v>-0.38780110285153013</v>
      </c>
      <c r="D142" t="str">
        <f t="shared" si="7"/>
        <v>No</v>
      </c>
      <c r="E142">
        <f t="shared" si="8"/>
        <v>0.38690476190476186</v>
      </c>
    </row>
    <row r="143" spans="1:5" x14ac:dyDescent="0.3">
      <c r="A143" t="s">
        <v>309</v>
      </c>
      <c r="B143">
        <v>13.9</v>
      </c>
      <c r="C143">
        <f t="shared" si="6"/>
        <v>-0.60564844079776992</v>
      </c>
      <c r="D143" t="str">
        <f t="shared" si="7"/>
        <v>No</v>
      </c>
      <c r="E143">
        <f t="shared" si="8"/>
        <v>0.35119047619047622</v>
      </c>
    </row>
    <row r="144" spans="1:5" x14ac:dyDescent="0.3">
      <c r="A144" t="s">
        <v>299</v>
      </c>
      <c r="B144">
        <v>17.600000000000001</v>
      </c>
      <c r="C144">
        <f t="shared" si="6"/>
        <v>0.73774347653737637</v>
      </c>
      <c r="D144" t="str">
        <f t="shared" si="7"/>
        <v>No</v>
      </c>
      <c r="E144">
        <f t="shared" si="8"/>
        <v>0.57142857142857151</v>
      </c>
    </row>
    <row r="145" spans="1:5" x14ac:dyDescent="0.3">
      <c r="A145" t="s">
        <v>130</v>
      </c>
      <c r="B145">
        <v>15</v>
      </c>
      <c r="C145">
        <f t="shared" si="6"/>
        <v>-0.20626165456299694</v>
      </c>
      <c r="D145" t="str">
        <f t="shared" si="7"/>
        <v>No</v>
      </c>
      <c r="E145">
        <f t="shared" si="8"/>
        <v>0.41666666666666663</v>
      </c>
    </row>
    <row r="146" spans="1:5" x14ac:dyDescent="0.3">
      <c r="A146" t="s">
        <v>303</v>
      </c>
      <c r="B146">
        <v>15.7</v>
      </c>
      <c r="C146">
        <f t="shared" si="6"/>
        <v>4.7893573040949329E-2</v>
      </c>
      <c r="D146" t="str">
        <f t="shared" si="7"/>
        <v>No</v>
      </c>
      <c r="E146">
        <f t="shared" si="8"/>
        <v>0.45833333333333326</v>
      </c>
    </row>
    <row r="147" spans="1:5" x14ac:dyDescent="0.3">
      <c r="A147" t="s">
        <v>267</v>
      </c>
      <c r="B147">
        <v>14.5</v>
      </c>
      <c r="C147">
        <f t="shared" si="6"/>
        <v>-0.38780110285153013</v>
      </c>
      <c r="D147" t="str">
        <f t="shared" si="7"/>
        <v>No</v>
      </c>
      <c r="E147">
        <f t="shared" si="8"/>
        <v>0.38690476190476186</v>
      </c>
    </row>
    <row r="148" spans="1:5" x14ac:dyDescent="0.3">
      <c r="A148" t="s">
        <v>304</v>
      </c>
      <c r="B148">
        <v>16.2</v>
      </c>
      <c r="C148">
        <f t="shared" si="6"/>
        <v>0.22943302132948254</v>
      </c>
      <c r="D148" t="str">
        <f t="shared" si="7"/>
        <v>No</v>
      </c>
      <c r="E148">
        <f t="shared" si="8"/>
        <v>0.48809523809523803</v>
      </c>
    </row>
    <row r="149" spans="1:5" x14ac:dyDescent="0.3">
      <c r="A149" t="s">
        <v>298</v>
      </c>
      <c r="B149">
        <v>18.2</v>
      </c>
      <c r="C149">
        <f t="shared" si="6"/>
        <v>0.95559081448361549</v>
      </c>
      <c r="D149" t="str">
        <f t="shared" si="7"/>
        <v>No</v>
      </c>
      <c r="E149">
        <f t="shared" si="8"/>
        <v>0.6071428571428571</v>
      </c>
    </row>
    <row r="150" spans="1:5" x14ac:dyDescent="0.3">
      <c r="A150" t="s">
        <v>143</v>
      </c>
      <c r="B150">
        <v>16.899999999999999</v>
      </c>
      <c r="C150">
        <f t="shared" si="6"/>
        <v>0.48358824893342883</v>
      </c>
      <c r="D150" t="str">
        <f t="shared" si="7"/>
        <v>No</v>
      </c>
      <c r="E150">
        <f t="shared" si="8"/>
        <v>0.52976190476190466</v>
      </c>
    </row>
    <row r="151" spans="1:5" x14ac:dyDescent="0.3">
      <c r="A151" t="s">
        <v>27</v>
      </c>
      <c r="B151">
        <v>15.5</v>
      </c>
      <c r="C151">
        <f t="shared" si="6"/>
        <v>-2.4722206274463705E-2</v>
      </c>
      <c r="D151" t="str">
        <f t="shared" si="7"/>
        <v>No</v>
      </c>
      <c r="E151">
        <f t="shared" si="8"/>
        <v>0.4464285714285714</v>
      </c>
    </row>
    <row r="152" spans="1:5" x14ac:dyDescent="0.3">
      <c r="A152" t="s">
        <v>36</v>
      </c>
      <c r="B152">
        <v>15</v>
      </c>
      <c r="C152">
        <f t="shared" si="6"/>
        <v>-0.20626165456299694</v>
      </c>
      <c r="D152" t="str">
        <f t="shared" si="7"/>
        <v>No</v>
      </c>
      <c r="E152">
        <f t="shared" si="8"/>
        <v>0.41666666666666663</v>
      </c>
    </row>
    <row r="153" spans="1:5" x14ac:dyDescent="0.3">
      <c r="A153" t="s">
        <v>26</v>
      </c>
      <c r="B153">
        <v>15.5</v>
      </c>
      <c r="C153">
        <f t="shared" si="6"/>
        <v>-2.4722206274463705E-2</v>
      </c>
      <c r="D153" t="str">
        <f t="shared" si="7"/>
        <v>No</v>
      </c>
      <c r="E153">
        <f t="shared" si="8"/>
        <v>0.4464285714285714</v>
      </c>
    </row>
    <row r="154" spans="1:5" x14ac:dyDescent="0.3">
      <c r="A154" t="s">
        <v>28</v>
      </c>
      <c r="B154">
        <v>16</v>
      </c>
      <c r="C154">
        <f t="shared" si="6"/>
        <v>0.15681724201406952</v>
      </c>
      <c r="D154" t="str">
        <f t="shared" si="7"/>
        <v>No</v>
      </c>
      <c r="E154">
        <f t="shared" si="8"/>
        <v>0.47619047619047616</v>
      </c>
    </row>
    <row r="155" spans="1:5" x14ac:dyDescent="0.3">
      <c r="A155" t="s">
        <v>23</v>
      </c>
      <c r="B155">
        <v>10</v>
      </c>
      <c r="C155">
        <f t="shared" si="6"/>
        <v>-2.0216561374483293</v>
      </c>
      <c r="D155" t="str">
        <f t="shared" si="7"/>
        <v>Yes</v>
      </c>
      <c r="E155">
        <f t="shared" si="8"/>
        <v>0.11904761904761904</v>
      </c>
    </row>
    <row r="156" spans="1:5" x14ac:dyDescent="0.3">
      <c r="A156" t="s">
        <v>18</v>
      </c>
      <c r="B156">
        <v>10</v>
      </c>
      <c r="C156">
        <f t="shared" si="6"/>
        <v>-2.0216561374483293</v>
      </c>
      <c r="D156" t="str">
        <f t="shared" si="7"/>
        <v>Yes</v>
      </c>
      <c r="E156">
        <f t="shared" si="8"/>
        <v>0.11904761904761904</v>
      </c>
    </row>
    <row r="157" spans="1:5" x14ac:dyDescent="0.3">
      <c r="A157" t="s">
        <v>16</v>
      </c>
      <c r="B157">
        <v>9</v>
      </c>
      <c r="C157">
        <f t="shared" si="6"/>
        <v>-2.3847350340253954</v>
      </c>
      <c r="D157" t="str">
        <f t="shared" si="7"/>
        <v>Yes</v>
      </c>
      <c r="E157">
        <f t="shared" si="8"/>
        <v>5.9523809523809521E-2</v>
      </c>
    </row>
    <row r="158" spans="1:5" x14ac:dyDescent="0.3">
      <c r="A158" t="s">
        <v>17</v>
      </c>
      <c r="B158">
        <v>8.5</v>
      </c>
      <c r="C158">
        <f t="shared" si="6"/>
        <v>-2.5662744823139287</v>
      </c>
      <c r="D158" t="str">
        <f t="shared" si="7"/>
        <v>Yes</v>
      </c>
      <c r="E158">
        <f t="shared" si="8"/>
        <v>2.976190476190476E-2</v>
      </c>
    </row>
    <row r="159" spans="1:5" x14ac:dyDescent="0.3">
      <c r="A159" t="s">
        <v>19</v>
      </c>
      <c r="B159">
        <v>8.5</v>
      </c>
      <c r="C159">
        <f t="shared" si="6"/>
        <v>-2.5662744823139287</v>
      </c>
      <c r="D159" t="str">
        <f t="shared" si="7"/>
        <v>Yes</v>
      </c>
      <c r="E159">
        <f t="shared" si="8"/>
        <v>2.976190476190476E-2</v>
      </c>
    </row>
    <row r="160" spans="1:5" x14ac:dyDescent="0.3">
      <c r="A160" t="s">
        <v>39</v>
      </c>
      <c r="B160">
        <v>13.5</v>
      </c>
      <c r="C160">
        <f t="shared" si="6"/>
        <v>-0.75087999942859662</v>
      </c>
      <c r="D160" t="str">
        <f t="shared" si="7"/>
        <v>No</v>
      </c>
      <c r="E160">
        <f t="shared" si="8"/>
        <v>0.32738095238095238</v>
      </c>
    </row>
    <row r="161" spans="1:5" x14ac:dyDescent="0.3">
      <c r="A161" t="s">
        <v>20</v>
      </c>
      <c r="B161">
        <v>10</v>
      </c>
      <c r="C161">
        <f t="shared" si="6"/>
        <v>-2.0216561374483293</v>
      </c>
      <c r="D161" t="str">
        <f t="shared" si="7"/>
        <v>Yes</v>
      </c>
      <c r="E161">
        <f t="shared" si="8"/>
        <v>0.11904761904761904</v>
      </c>
    </row>
    <row r="162" spans="1:5" x14ac:dyDescent="0.3">
      <c r="A162" t="s">
        <v>37</v>
      </c>
      <c r="B162">
        <v>14</v>
      </c>
      <c r="C162">
        <f t="shared" si="6"/>
        <v>-0.56934055114006343</v>
      </c>
      <c r="D162" t="str">
        <f t="shared" si="7"/>
        <v>No</v>
      </c>
      <c r="E162">
        <f t="shared" si="8"/>
        <v>0.35714285714285715</v>
      </c>
    </row>
    <row r="163" spans="1:5" x14ac:dyDescent="0.3">
      <c r="A163" t="s">
        <v>38</v>
      </c>
      <c r="B163">
        <v>15</v>
      </c>
      <c r="C163">
        <f t="shared" si="6"/>
        <v>-0.20626165456299694</v>
      </c>
      <c r="D163" t="str">
        <f t="shared" si="7"/>
        <v>No</v>
      </c>
      <c r="E163">
        <f t="shared" si="8"/>
        <v>0.41666666666666663</v>
      </c>
    </row>
    <row r="164" spans="1:5" x14ac:dyDescent="0.3">
      <c r="A164" t="s">
        <v>15</v>
      </c>
      <c r="B164">
        <v>10</v>
      </c>
      <c r="C164">
        <f t="shared" si="6"/>
        <v>-2.0216561374483293</v>
      </c>
      <c r="D164" t="str">
        <f t="shared" si="7"/>
        <v>Yes</v>
      </c>
      <c r="E164">
        <f t="shared" si="8"/>
        <v>0.11904761904761904</v>
      </c>
    </row>
    <row r="165" spans="1:5" x14ac:dyDescent="0.3">
      <c r="A165" t="s">
        <v>11</v>
      </c>
      <c r="B165">
        <v>11.5</v>
      </c>
      <c r="C165">
        <f t="shared" si="6"/>
        <v>-1.4770377925827296</v>
      </c>
      <c r="D165" t="str">
        <f t="shared" si="7"/>
        <v>No</v>
      </c>
      <c r="E165">
        <f t="shared" si="8"/>
        <v>0.20833333333333331</v>
      </c>
    </row>
    <row r="166" spans="1:5" x14ac:dyDescent="0.3">
      <c r="A166" t="s">
        <v>21</v>
      </c>
      <c r="B166">
        <v>8</v>
      </c>
      <c r="C166">
        <f t="shared" si="6"/>
        <v>-2.747813930602462</v>
      </c>
      <c r="D166" t="str">
        <f t="shared" si="7"/>
        <v>Yes</v>
      </c>
      <c r="E166">
        <f t="shared" si="8"/>
        <v>0</v>
      </c>
    </row>
    <row r="167" spans="1:5" x14ac:dyDescent="0.3">
      <c r="A167" t="s">
        <v>13</v>
      </c>
      <c r="B167">
        <v>12</v>
      </c>
      <c r="C167">
        <f t="shared" si="6"/>
        <v>-1.2954983442941963</v>
      </c>
      <c r="D167" t="str">
        <f t="shared" si="7"/>
        <v>No</v>
      </c>
      <c r="E167">
        <f t="shared" si="8"/>
        <v>0.23809523809523808</v>
      </c>
    </row>
    <row r="168" spans="1:5" x14ac:dyDescent="0.3">
      <c r="A168" t="s">
        <v>12</v>
      </c>
      <c r="B168">
        <v>11</v>
      </c>
      <c r="C168">
        <f t="shared" si="6"/>
        <v>-1.6585772408712627</v>
      </c>
      <c r="D168" t="str">
        <f t="shared" si="7"/>
        <v>No</v>
      </c>
      <c r="E168">
        <f t="shared" si="8"/>
        <v>0.17857142857142858</v>
      </c>
    </row>
    <row r="169" spans="1:5" x14ac:dyDescent="0.3">
      <c r="A169" t="s">
        <v>40</v>
      </c>
      <c r="B169">
        <v>18.5</v>
      </c>
      <c r="C169">
        <f t="shared" si="6"/>
        <v>1.0645144834567357</v>
      </c>
      <c r="D169" t="str">
        <f t="shared" si="7"/>
        <v>No</v>
      </c>
      <c r="E169">
        <f t="shared" si="8"/>
        <v>0.625</v>
      </c>
    </row>
    <row r="170" spans="1:5" x14ac:dyDescent="0.3">
      <c r="A170" t="s">
        <v>14</v>
      </c>
      <c r="B170">
        <v>10.5</v>
      </c>
      <c r="C170">
        <f t="shared" si="6"/>
        <v>-1.840116689159796</v>
      </c>
      <c r="D170" t="str">
        <f t="shared" si="7"/>
        <v>No</v>
      </c>
      <c r="E170">
        <f t="shared" si="8"/>
        <v>0.14880952380952381</v>
      </c>
    </row>
    <row r="171" spans="1:5" x14ac:dyDescent="0.3">
      <c r="A171" t="s">
        <v>22</v>
      </c>
      <c r="B171">
        <v>9.5</v>
      </c>
      <c r="C171">
        <f t="shared" si="6"/>
        <v>-2.2031955857368626</v>
      </c>
      <c r="D171" t="str">
        <f t="shared" si="7"/>
        <v>Yes</v>
      </c>
      <c r="E171">
        <f t="shared" si="8"/>
        <v>8.9285714285714288E-2</v>
      </c>
    </row>
    <row r="172" spans="1:5" x14ac:dyDescent="0.3">
      <c r="A172" t="s">
        <v>9</v>
      </c>
      <c r="B172">
        <v>12</v>
      </c>
      <c r="C172">
        <f t="shared" si="6"/>
        <v>-1.2954983442941963</v>
      </c>
      <c r="D172" t="str">
        <f t="shared" si="7"/>
        <v>No</v>
      </c>
      <c r="E172">
        <f t="shared" si="8"/>
        <v>0.23809523809523808</v>
      </c>
    </row>
    <row r="173" spans="1:5" x14ac:dyDescent="0.3">
      <c r="A173" t="s">
        <v>41</v>
      </c>
      <c r="B173">
        <v>15.5</v>
      </c>
      <c r="C173">
        <f t="shared" si="6"/>
        <v>-2.4722206274463705E-2</v>
      </c>
      <c r="D173" t="str">
        <f t="shared" si="7"/>
        <v>No</v>
      </c>
      <c r="E173">
        <f t="shared" si="8"/>
        <v>0.4464285714285714</v>
      </c>
    </row>
    <row r="174" spans="1:5" x14ac:dyDescent="0.3">
      <c r="A174" t="s">
        <v>55</v>
      </c>
      <c r="B174">
        <v>14</v>
      </c>
      <c r="C174">
        <f t="shared" si="6"/>
        <v>-0.56934055114006343</v>
      </c>
      <c r="D174" t="str">
        <f t="shared" si="7"/>
        <v>No</v>
      </c>
      <c r="E174">
        <f t="shared" si="8"/>
        <v>0.35714285714285715</v>
      </c>
    </row>
    <row r="175" spans="1:5" x14ac:dyDescent="0.3">
      <c r="A175" t="s">
        <v>62</v>
      </c>
      <c r="B175">
        <v>20.5</v>
      </c>
      <c r="C175">
        <f t="shared" si="6"/>
        <v>1.7906722766108685</v>
      </c>
      <c r="D175" t="str">
        <f t="shared" si="7"/>
        <v>No</v>
      </c>
      <c r="E175">
        <f t="shared" si="8"/>
        <v>0.74404761904761907</v>
      </c>
    </row>
    <row r="176" spans="1:5" x14ac:dyDescent="0.3">
      <c r="A176" t="s">
        <v>52</v>
      </c>
      <c r="B176">
        <v>19</v>
      </c>
      <c r="C176">
        <f t="shared" si="6"/>
        <v>1.2460539317452688</v>
      </c>
      <c r="D176" t="str">
        <f t="shared" si="7"/>
        <v>No</v>
      </c>
      <c r="E176">
        <f t="shared" si="8"/>
        <v>0.65476190476190477</v>
      </c>
    </row>
    <row r="177" spans="1:5" x14ac:dyDescent="0.3">
      <c r="A177" t="s">
        <v>43</v>
      </c>
      <c r="B177">
        <v>19</v>
      </c>
      <c r="C177">
        <f t="shared" si="6"/>
        <v>1.2460539317452688</v>
      </c>
      <c r="D177" t="str">
        <f t="shared" si="7"/>
        <v>No</v>
      </c>
      <c r="E177">
        <f t="shared" si="8"/>
        <v>0.65476190476190477</v>
      </c>
    </row>
    <row r="178" spans="1:5" x14ac:dyDescent="0.3">
      <c r="A178" t="s">
        <v>36</v>
      </c>
      <c r="B178">
        <v>13</v>
      </c>
      <c r="C178">
        <f t="shared" si="6"/>
        <v>-0.93241944771712981</v>
      </c>
      <c r="D178" t="str">
        <f t="shared" si="7"/>
        <v>No</v>
      </c>
      <c r="E178">
        <f t="shared" si="8"/>
        <v>0.29761904761904762</v>
      </c>
    </row>
    <row r="179" spans="1:5" x14ac:dyDescent="0.3">
      <c r="A179" t="s">
        <v>51</v>
      </c>
      <c r="B179">
        <v>13.5</v>
      </c>
      <c r="C179">
        <f t="shared" si="6"/>
        <v>-0.75087999942859662</v>
      </c>
      <c r="D179" t="str">
        <f t="shared" si="7"/>
        <v>No</v>
      </c>
      <c r="E179">
        <f t="shared" si="8"/>
        <v>0.32738095238095238</v>
      </c>
    </row>
    <row r="180" spans="1:5" x14ac:dyDescent="0.3">
      <c r="A180" t="s">
        <v>44</v>
      </c>
      <c r="B180">
        <v>15.5</v>
      </c>
      <c r="C180">
        <f t="shared" si="6"/>
        <v>-2.4722206274463705E-2</v>
      </c>
      <c r="D180" t="str">
        <f t="shared" si="7"/>
        <v>No</v>
      </c>
      <c r="E180">
        <f t="shared" si="8"/>
        <v>0.4464285714285714</v>
      </c>
    </row>
    <row r="181" spans="1:5" x14ac:dyDescent="0.3">
      <c r="A181" t="s">
        <v>53</v>
      </c>
      <c r="B181">
        <v>15</v>
      </c>
      <c r="C181">
        <f t="shared" si="6"/>
        <v>-0.20626165456299694</v>
      </c>
      <c r="D181" t="str">
        <f t="shared" si="7"/>
        <v>No</v>
      </c>
      <c r="E181">
        <f t="shared" si="8"/>
        <v>0.41666666666666663</v>
      </c>
    </row>
    <row r="182" spans="1:5" x14ac:dyDescent="0.3">
      <c r="A182" t="s">
        <v>46</v>
      </c>
      <c r="B182">
        <v>15.5</v>
      </c>
      <c r="C182">
        <f t="shared" si="6"/>
        <v>-2.4722206274463705E-2</v>
      </c>
      <c r="D182" t="str">
        <f t="shared" si="7"/>
        <v>No</v>
      </c>
      <c r="E182">
        <f t="shared" si="8"/>
        <v>0.4464285714285714</v>
      </c>
    </row>
    <row r="183" spans="1:5" x14ac:dyDescent="0.3">
      <c r="A183" t="s">
        <v>9</v>
      </c>
      <c r="B183">
        <v>15.5</v>
      </c>
      <c r="C183">
        <f t="shared" si="6"/>
        <v>-2.4722206274463705E-2</v>
      </c>
      <c r="D183" t="str">
        <f t="shared" si="7"/>
        <v>No</v>
      </c>
      <c r="E183">
        <f t="shared" si="8"/>
        <v>0.4464285714285714</v>
      </c>
    </row>
    <row r="184" spans="1:5" x14ac:dyDescent="0.3">
      <c r="A184" t="s">
        <v>54</v>
      </c>
      <c r="B184">
        <v>14.5</v>
      </c>
      <c r="C184">
        <f t="shared" si="6"/>
        <v>-0.38780110285153013</v>
      </c>
      <c r="D184" t="str">
        <f t="shared" si="7"/>
        <v>No</v>
      </c>
      <c r="E184">
        <f t="shared" si="8"/>
        <v>0.38690476190476186</v>
      </c>
    </row>
    <row r="185" spans="1:5" x14ac:dyDescent="0.3">
      <c r="A185" t="s">
        <v>45</v>
      </c>
      <c r="B185">
        <v>15.5</v>
      </c>
      <c r="C185">
        <f t="shared" si="6"/>
        <v>-2.4722206274463705E-2</v>
      </c>
      <c r="D185" t="str">
        <f t="shared" si="7"/>
        <v>No</v>
      </c>
      <c r="E185">
        <f t="shared" si="8"/>
        <v>0.4464285714285714</v>
      </c>
    </row>
    <row r="186" spans="1:5" x14ac:dyDescent="0.3">
      <c r="A186" t="s">
        <v>16</v>
      </c>
      <c r="B186">
        <v>12</v>
      </c>
      <c r="C186">
        <f t="shared" si="6"/>
        <v>-1.2954983442941963</v>
      </c>
      <c r="D186" t="str">
        <f t="shared" si="7"/>
        <v>No</v>
      </c>
      <c r="E186">
        <f t="shared" si="8"/>
        <v>0.23809523809523808</v>
      </c>
    </row>
    <row r="187" spans="1:5" x14ac:dyDescent="0.3">
      <c r="A187" t="s">
        <v>47</v>
      </c>
      <c r="B187">
        <v>11.5</v>
      </c>
      <c r="C187">
        <f t="shared" si="6"/>
        <v>-1.4770377925827296</v>
      </c>
      <c r="D187" t="str">
        <f t="shared" si="7"/>
        <v>No</v>
      </c>
      <c r="E187">
        <f t="shared" si="8"/>
        <v>0.20833333333333331</v>
      </c>
    </row>
    <row r="188" spans="1:5" x14ac:dyDescent="0.3">
      <c r="A188" t="s">
        <v>15</v>
      </c>
      <c r="B188">
        <v>13.5</v>
      </c>
      <c r="C188">
        <f t="shared" si="6"/>
        <v>-0.75087999942859662</v>
      </c>
      <c r="D188" t="str">
        <f t="shared" si="7"/>
        <v>No</v>
      </c>
      <c r="E188">
        <f t="shared" si="8"/>
        <v>0.32738095238095238</v>
      </c>
    </row>
    <row r="189" spans="1:5" x14ac:dyDescent="0.3">
      <c r="A189" t="s">
        <v>17</v>
      </c>
      <c r="B189">
        <v>13</v>
      </c>
      <c r="C189">
        <f t="shared" si="6"/>
        <v>-0.93241944771712981</v>
      </c>
      <c r="D189" t="str">
        <f t="shared" si="7"/>
        <v>No</v>
      </c>
      <c r="E189">
        <f t="shared" si="8"/>
        <v>0.29761904761904762</v>
      </c>
    </row>
    <row r="190" spans="1:5" x14ac:dyDescent="0.3">
      <c r="A190" t="s">
        <v>48</v>
      </c>
      <c r="B190">
        <v>11.5</v>
      </c>
      <c r="C190">
        <f t="shared" si="6"/>
        <v>-1.4770377925827296</v>
      </c>
      <c r="D190" t="str">
        <f t="shared" si="7"/>
        <v>No</v>
      </c>
      <c r="E190">
        <f t="shared" si="8"/>
        <v>0.20833333333333331</v>
      </c>
    </row>
    <row r="191" spans="1:5" x14ac:dyDescent="0.3">
      <c r="A191" t="s">
        <v>49</v>
      </c>
      <c r="B191">
        <v>12</v>
      </c>
      <c r="C191">
        <f t="shared" si="6"/>
        <v>-1.2954983442941963</v>
      </c>
      <c r="D191" t="str">
        <f t="shared" si="7"/>
        <v>No</v>
      </c>
      <c r="E191">
        <f t="shared" si="8"/>
        <v>0.23809523809523808</v>
      </c>
    </row>
    <row r="192" spans="1:5" x14ac:dyDescent="0.3">
      <c r="A192" t="s">
        <v>50</v>
      </c>
      <c r="B192">
        <v>12</v>
      </c>
      <c r="C192">
        <f t="shared" si="6"/>
        <v>-1.2954983442941963</v>
      </c>
      <c r="D192" t="str">
        <f t="shared" si="7"/>
        <v>No</v>
      </c>
      <c r="E192">
        <f t="shared" si="8"/>
        <v>0.23809523809523808</v>
      </c>
    </row>
    <row r="193" spans="1:5" x14ac:dyDescent="0.3">
      <c r="A193" t="s">
        <v>67</v>
      </c>
      <c r="B193">
        <v>16.5</v>
      </c>
      <c r="C193">
        <f t="shared" si="6"/>
        <v>0.33835669030260274</v>
      </c>
      <c r="D193" t="str">
        <f t="shared" si="7"/>
        <v>No</v>
      </c>
      <c r="E193">
        <f t="shared" si="8"/>
        <v>0.50595238095238093</v>
      </c>
    </row>
    <row r="194" spans="1:5" x14ac:dyDescent="0.3">
      <c r="A194" t="s">
        <v>64</v>
      </c>
      <c r="B194">
        <v>17</v>
      </c>
      <c r="C194">
        <f t="shared" si="6"/>
        <v>0.51989613859113593</v>
      </c>
      <c r="D194" t="str">
        <f t="shared" si="7"/>
        <v>No</v>
      </c>
      <c r="E194">
        <f t="shared" si="8"/>
        <v>0.5357142857142857</v>
      </c>
    </row>
    <row r="195" spans="1:5" x14ac:dyDescent="0.3">
      <c r="A195" t="s">
        <v>66</v>
      </c>
      <c r="B195">
        <v>19.5</v>
      </c>
      <c r="C195">
        <f t="shared" ref="C195:C258" si="9">IFERROR((B195-$H$3)/$I$3,"")</f>
        <v>1.4275933800338021</v>
      </c>
      <c r="D195" t="str">
        <f t="shared" ref="D195:D258" si="10">IF(ABS(C195)&gt;2,"Yes","No")</f>
        <v>No</v>
      </c>
      <c r="E195">
        <f t="shared" ref="E195:E258" si="11">IFERROR((B195-$K$3) / ($L$3-$K$3),"")</f>
        <v>0.68452380952380953</v>
      </c>
    </row>
    <row r="196" spans="1:5" x14ac:dyDescent="0.3">
      <c r="A196" t="s">
        <v>85</v>
      </c>
      <c r="B196">
        <v>15</v>
      </c>
      <c r="C196">
        <f t="shared" si="9"/>
        <v>-0.20626165456299694</v>
      </c>
      <c r="D196" t="str">
        <f t="shared" si="10"/>
        <v>No</v>
      </c>
      <c r="E196">
        <f t="shared" si="11"/>
        <v>0.41666666666666663</v>
      </c>
    </row>
    <row r="197" spans="1:5" x14ac:dyDescent="0.3">
      <c r="A197" t="s">
        <v>82</v>
      </c>
      <c r="B197">
        <v>16</v>
      </c>
      <c r="C197">
        <f t="shared" si="9"/>
        <v>0.15681724201406952</v>
      </c>
      <c r="D197" t="str">
        <f t="shared" si="10"/>
        <v>No</v>
      </c>
      <c r="E197">
        <f t="shared" si="11"/>
        <v>0.47619047619047616</v>
      </c>
    </row>
    <row r="198" spans="1:5" x14ac:dyDescent="0.3">
      <c r="A198" t="s">
        <v>69</v>
      </c>
      <c r="B198">
        <v>11</v>
      </c>
      <c r="C198">
        <f t="shared" si="9"/>
        <v>-1.6585772408712627</v>
      </c>
      <c r="D198" t="str">
        <f t="shared" si="10"/>
        <v>No</v>
      </c>
      <c r="E198">
        <f t="shared" si="11"/>
        <v>0.17857142857142858</v>
      </c>
    </row>
    <row r="199" spans="1:5" x14ac:dyDescent="0.3">
      <c r="A199" t="s">
        <v>72</v>
      </c>
      <c r="B199">
        <v>12.5</v>
      </c>
      <c r="C199">
        <f t="shared" si="9"/>
        <v>-1.113958896005663</v>
      </c>
      <c r="D199" t="str">
        <f t="shared" si="10"/>
        <v>No</v>
      </c>
      <c r="E199">
        <f t="shared" si="11"/>
        <v>0.26785714285714285</v>
      </c>
    </row>
    <row r="200" spans="1:5" x14ac:dyDescent="0.3">
      <c r="A200" t="s">
        <v>68</v>
      </c>
      <c r="B200">
        <v>11.5</v>
      </c>
      <c r="C200">
        <f t="shared" si="9"/>
        <v>-1.4770377925827296</v>
      </c>
      <c r="D200" t="str">
        <f t="shared" si="10"/>
        <v>No</v>
      </c>
      <c r="E200">
        <f t="shared" si="11"/>
        <v>0.20833333333333331</v>
      </c>
    </row>
    <row r="201" spans="1:5" x14ac:dyDescent="0.3">
      <c r="A201" t="s">
        <v>18</v>
      </c>
      <c r="B201">
        <v>12</v>
      </c>
      <c r="C201">
        <f t="shared" si="9"/>
        <v>-1.2954983442941963</v>
      </c>
      <c r="D201" t="str">
        <f t="shared" si="10"/>
        <v>No</v>
      </c>
      <c r="E201">
        <f t="shared" si="11"/>
        <v>0.23809523809523808</v>
      </c>
    </row>
    <row r="202" spans="1:5" x14ac:dyDescent="0.3">
      <c r="A202" t="s">
        <v>16</v>
      </c>
      <c r="B202">
        <v>12</v>
      </c>
      <c r="C202">
        <f t="shared" si="9"/>
        <v>-1.2954983442941963</v>
      </c>
      <c r="D202" t="str">
        <f t="shared" si="10"/>
        <v>No</v>
      </c>
      <c r="E202">
        <f t="shared" si="11"/>
        <v>0.23809523809523808</v>
      </c>
    </row>
    <row r="203" spans="1:5" x14ac:dyDescent="0.3">
      <c r="A203" t="s">
        <v>74</v>
      </c>
      <c r="B203">
        <v>12.5</v>
      </c>
      <c r="C203">
        <f t="shared" si="9"/>
        <v>-1.113958896005663</v>
      </c>
      <c r="D203" t="str">
        <f t="shared" si="10"/>
        <v>No</v>
      </c>
      <c r="E203">
        <f t="shared" si="11"/>
        <v>0.26785714285714285</v>
      </c>
    </row>
    <row r="204" spans="1:5" x14ac:dyDescent="0.3">
      <c r="A204" t="s">
        <v>15</v>
      </c>
      <c r="B204">
        <v>13</v>
      </c>
      <c r="C204">
        <f t="shared" si="9"/>
        <v>-0.93241944771712981</v>
      </c>
      <c r="D204" t="str">
        <f t="shared" si="10"/>
        <v>No</v>
      </c>
      <c r="E204">
        <f t="shared" si="11"/>
        <v>0.29761904761904762</v>
      </c>
    </row>
    <row r="205" spans="1:5" x14ac:dyDescent="0.3">
      <c r="A205" t="s">
        <v>77</v>
      </c>
      <c r="B205">
        <v>14</v>
      </c>
      <c r="C205">
        <f t="shared" si="9"/>
        <v>-0.56934055114006343</v>
      </c>
      <c r="D205" t="str">
        <f t="shared" si="10"/>
        <v>No</v>
      </c>
      <c r="E205">
        <f t="shared" si="11"/>
        <v>0.35714285714285715</v>
      </c>
    </row>
    <row r="206" spans="1:5" x14ac:dyDescent="0.3">
      <c r="A206" t="s">
        <v>17</v>
      </c>
      <c r="B206">
        <v>13.5</v>
      </c>
      <c r="C206">
        <f t="shared" si="9"/>
        <v>-0.75087999942859662</v>
      </c>
      <c r="D206" t="str">
        <f t="shared" si="10"/>
        <v>No</v>
      </c>
      <c r="E206">
        <f t="shared" si="11"/>
        <v>0.32738095238095238</v>
      </c>
    </row>
    <row r="207" spans="1:5" x14ac:dyDescent="0.3">
      <c r="A207" t="s">
        <v>71</v>
      </c>
      <c r="B207">
        <v>13.5</v>
      </c>
      <c r="C207">
        <f t="shared" si="9"/>
        <v>-0.75087999942859662</v>
      </c>
      <c r="D207" t="str">
        <f t="shared" si="10"/>
        <v>No</v>
      </c>
      <c r="E207">
        <f t="shared" si="11"/>
        <v>0.32738095238095238</v>
      </c>
    </row>
    <row r="208" spans="1:5" x14ac:dyDescent="0.3">
      <c r="A208" t="s">
        <v>70</v>
      </c>
      <c r="B208">
        <v>13.5</v>
      </c>
      <c r="C208">
        <f t="shared" si="9"/>
        <v>-0.75087999942859662</v>
      </c>
      <c r="D208" t="str">
        <f t="shared" si="10"/>
        <v>No</v>
      </c>
      <c r="E208">
        <f t="shared" si="11"/>
        <v>0.32738095238095238</v>
      </c>
    </row>
    <row r="209" spans="1:5" x14ac:dyDescent="0.3">
      <c r="A209" t="s">
        <v>76</v>
      </c>
      <c r="B209">
        <v>16</v>
      </c>
      <c r="C209">
        <f t="shared" si="9"/>
        <v>0.15681724201406952</v>
      </c>
      <c r="D209" t="str">
        <f t="shared" si="10"/>
        <v>No</v>
      </c>
      <c r="E209">
        <f t="shared" si="11"/>
        <v>0.47619047619047616</v>
      </c>
    </row>
    <row r="210" spans="1:5" x14ac:dyDescent="0.3">
      <c r="A210" t="s">
        <v>75</v>
      </c>
      <c r="B210">
        <v>14</v>
      </c>
      <c r="C210">
        <f t="shared" si="9"/>
        <v>-0.56934055114006343</v>
      </c>
      <c r="D210" t="str">
        <f t="shared" si="10"/>
        <v>No</v>
      </c>
      <c r="E210">
        <f t="shared" si="11"/>
        <v>0.35714285714285715</v>
      </c>
    </row>
    <row r="211" spans="1:5" x14ac:dyDescent="0.3">
      <c r="A211" t="s">
        <v>43</v>
      </c>
      <c r="B211">
        <v>18.5</v>
      </c>
      <c r="C211">
        <f t="shared" si="9"/>
        <v>1.0645144834567357</v>
      </c>
      <c r="D211" t="str">
        <f t="shared" si="10"/>
        <v>No</v>
      </c>
      <c r="E211">
        <f t="shared" si="11"/>
        <v>0.625</v>
      </c>
    </row>
    <row r="212" spans="1:5" x14ac:dyDescent="0.3">
      <c r="A212" t="s">
        <v>66</v>
      </c>
      <c r="B212">
        <v>19.5</v>
      </c>
      <c r="C212">
        <f t="shared" si="9"/>
        <v>1.4275933800338021</v>
      </c>
      <c r="D212" t="str">
        <f t="shared" si="10"/>
        <v>No</v>
      </c>
      <c r="E212">
        <f t="shared" si="11"/>
        <v>0.68452380952380953</v>
      </c>
    </row>
    <row r="213" spans="1:5" x14ac:dyDescent="0.3">
      <c r="A213" t="s">
        <v>107</v>
      </c>
      <c r="B213">
        <v>14</v>
      </c>
      <c r="C213">
        <f t="shared" si="9"/>
        <v>-0.56934055114006343</v>
      </c>
      <c r="D213" t="str">
        <f t="shared" si="10"/>
        <v>No</v>
      </c>
      <c r="E213">
        <f t="shared" si="11"/>
        <v>0.35714285714285715</v>
      </c>
    </row>
    <row r="214" spans="1:5" x14ac:dyDescent="0.3">
      <c r="A214" t="s">
        <v>36</v>
      </c>
      <c r="B214">
        <v>15</v>
      </c>
      <c r="C214">
        <f t="shared" si="9"/>
        <v>-0.20626165456299694</v>
      </c>
      <c r="D214" t="str">
        <f t="shared" si="10"/>
        <v>No</v>
      </c>
      <c r="E214">
        <f t="shared" si="11"/>
        <v>0.41666666666666663</v>
      </c>
    </row>
    <row r="215" spans="1:5" x14ac:dyDescent="0.3">
      <c r="A215" t="s">
        <v>27</v>
      </c>
      <c r="B215">
        <v>16</v>
      </c>
      <c r="C215">
        <f t="shared" si="9"/>
        <v>0.15681724201406952</v>
      </c>
      <c r="D215" t="str">
        <f t="shared" si="10"/>
        <v>No</v>
      </c>
      <c r="E215">
        <f t="shared" si="11"/>
        <v>0.47619047619047616</v>
      </c>
    </row>
    <row r="216" spans="1:5" x14ac:dyDescent="0.3">
      <c r="A216" t="s">
        <v>98</v>
      </c>
      <c r="B216">
        <v>16.5</v>
      </c>
      <c r="C216">
        <f t="shared" si="9"/>
        <v>0.33835669030260274</v>
      </c>
      <c r="D216" t="str">
        <f t="shared" si="10"/>
        <v>No</v>
      </c>
      <c r="E216">
        <f t="shared" si="11"/>
        <v>0.50595238095238093</v>
      </c>
    </row>
    <row r="217" spans="1:5" x14ac:dyDescent="0.3">
      <c r="A217" t="s">
        <v>26</v>
      </c>
      <c r="B217">
        <v>16</v>
      </c>
      <c r="C217">
        <f t="shared" si="9"/>
        <v>0.15681724201406952</v>
      </c>
      <c r="D217" t="str">
        <f t="shared" si="10"/>
        <v>No</v>
      </c>
      <c r="E217">
        <f t="shared" si="11"/>
        <v>0.47619047619047616</v>
      </c>
    </row>
    <row r="218" spans="1:5" x14ac:dyDescent="0.3">
      <c r="A218" t="s">
        <v>99</v>
      </c>
      <c r="B218">
        <v>18</v>
      </c>
      <c r="C218">
        <f t="shared" si="9"/>
        <v>0.88297503516820242</v>
      </c>
      <c r="D218" t="str">
        <f t="shared" si="10"/>
        <v>No</v>
      </c>
      <c r="E218">
        <f t="shared" si="11"/>
        <v>0.59523809523809523</v>
      </c>
    </row>
    <row r="219" spans="1:5" x14ac:dyDescent="0.3">
      <c r="A219" t="s">
        <v>28</v>
      </c>
      <c r="B219">
        <v>16.5</v>
      </c>
      <c r="C219">
        <f t="shared" si="9"/>
        <v>0.33835669030260274</v>
      </c>
      <c r="D219" t="str">
        <f t="shared" si="10"/>
        <v>No</v>
      </c>
      <c r="E219">
        <f t="shared" si="11"/>
        <v>0.50595238095238093</v>
      </c>
    </row>
    <row r="220" spans="1:5" x14ac:dyDescent="0.3">
      <c r="A220" t="s">
        <v>110</v>
      </c>
      <c r="B220">
        <v>9.5</v>
      </c>
      <c r="C220">
        <f t="shared" si="9"/>
        <v>-2.2031955857368626</v>
      </c>
      <c r="D220" t="str">
        <f t="shared" si="10"/>
        <v>Yes</v>
      </c>
      <c r="E220">
        <f t="shared" si="11"/>
        <v>8.9285714285714288E-2</v>
      </c>
    </row>
    <row r="221" spans="1:5" x14ac:dyDescent="0.3">
      <c r="A221" t="s">
        <v>118</v>
      </c>
      <c r="B221">
        <v>11</v>
      </c>
      <c r="C221">
        <f t="shared" si="9"/>
        <v>-1.6585772408712627</v>
      </c>
      <c r="D221" t="str">
        <f t="shared" si="10"/>
        <v>No</v>
      </c>
      <c r="E221">
        <f t="shared" si="11"/>
        <v>0.17857142857142858</v>
      </c>
    </row>
    <row r="222" spans="1:5" x14ac:dyDescent="0.3">
      <c r="A222" t="s">
        <v>97</v>
      </c>
      <c r="B222">
        <v>11</v>
      </c>
      <c r="C222">
        <f t="shared" si="9"/>
        <v>-1.6585772408712627</v>
      </c>
      <c r="D222" t="str">
        <f t="shared" si="10"/>
        <v>No</v>
      </c>
      <c r="E222">
        <f t="shared" si="11"/>
        <v>0.17857142857142858</v>
      </c>
    </row>
    <row r="223" spans="1:5" x14ac:dyDescent="0.3">
      <c r="A223" t="s">
        <v>96</v>
      </c>
      <c r="B223">
        <v>11</v>
      </c>
      <c r="C223">
        <f t="shared" si="9"/>
        <v>-1.6585772408712627</v>
      </c>
      <c r="D223" t="str">
        <f t="shared" si="10"/>
        <v>No</v>
      </c>
      <c r="E223">
        <f t="shared" si="11"/>
        <v>0.17857142857142858</v>
      </c>
    </row>
    <row r="224" spans="1:5" x14ac:dyDescent="0.3">
      <c r="A224" t="s">
        <v>95</v>
      </c>
      <c r="B224">
        <v>11</v>
      </c>
      <c r="C224">
        <f t="shared" si="9"/>
        <v>-1.6585772408712627</v>
      </c>
      <c r="D224" t="str">
        <f t="shared" si="10"/>
        <v>No</v>
      </c>
      <c r="E224">
        <f t="shared" si="11"/>
        <v>0.17857142857142858</v>
      </c>
    </row>
    <row r="225" spans="1:5" x14ac:dyDescent="0.3">
      <c r="A225" t="s">
        <v>115</v>
      </c>
      <c r="B225">
        <v>11</v>
      </c>
      <c r="C225">
        <f t="shared" si="9"/>
        <v>-1.6585772408712627</v>
      </c>
      <c r="D225" t="str">
        <f t="shared" si="10"/>
        <v>No</v>
      </c>
      <c r="E225">
        <f t="shared" si="11"/>
        <v>0.17857142857142858</v>
      </c>
    </row>
    <row r="226" spans="1:5" x14ac:dyDescent="0.3">
      <c r="A226" t="s">
        <v>87</v>
      </c>
      <c r="B226">
        <v>13</v>
      </c>
      <c r="C226">
        <f t="shared" si="9"/>
        <v>-0.93241944771712981</v>
      </c>
      <c r="D226" t="str">
        <f t="shared" si="10"/>
        <v>No</v>
      </c>
      <c r="E226">
        <f t="shared" si="11"/>
        <v>0.29761904761904762</v>
      </c>
    </row>
    <row r="227" spans="1:5" x14ac:dyDescent="0.3">
      <c r="A227" t="s">
        <v>46</v>
      </c>
      <c r="B227">
        <v>11.5</v>
      </c>
      <c r="C227">
        <f t="shared" si="9"/>
        <v>-1.4770377925827296</v>
      </c>
      <c r="D227" t="str">
        <f t="shared" si="10"/>
        <v>No</v>
      </c>
      <c r="E227">
        <f t="shared" si="11"/>
        <v>0.20833333333333331</v>
      </c>
    </row>
    <row r="228" spans="1:5" x14ac:dyDescent="0.3">
      <c r="A228" t="s">
        <v>91</v>
      </c>
      <c r="B228">
        <v>11.5</v>
      </c>
      <c r="C228">
        <f t="shared" si="9"/>
        <v>-1.4770377925827296</v>
      </c>
      <c r="D228" t="str">
        <f t="shared" si="10"/>
        <v>No</v>
      </c>
      <c r="E228">
        <f t="shared" si="11"/>
        <v>0.20833333333333331</v>
      </c>
    </row>
    <row r="229" spans="1:5" x14ac:dyDescent="0.3">
      <c r="A229" t="s">
        <v>103</v>
      </c>
      <c r="B229">
        <v>12.5</v>
      </c>
      <c r="C229">
        <f t="shared" si="9"/>
        <v>-1.113958896005663</v>
      </c>
      <c r="D229" t="str">
        <f t="shared" si="10"/>
        <v>No</v>
      </c>
      <c r="E229">
        <f t="shared" si="11"/>
        <v>0.26785714285714285</v>
      </c>
    </row>
    <row r="230" spans="1:5" x14ac:dyDescent="0.3">
      <c r="A230" t="s">
        <v>90</v>
      </c>
      <c r="B230">
        <v>12.5</v>
      </c>
      <c r="C230">
        <f t="shared" si="9"/>
        <v>-1.113958896005663</v>
      </c>
      <c r="D230" t="str">
        <f t="shared" si="10"/>
        <v>No</v>
      </c>
      <c r="E230">
        <f t="shared" si="11"/>
        <v>0.26785714285714285</v>
      </c>
    </row>
    <row r="231" spans="1:5" x14ac:dyDescent="0.3">
      <c r="A231" t="s">
        <v>102</v>
      </c>
      <c r="B231">
        <v>13</v>
      </c>
      <c r="C231">
        <f t="shared" si="9"/>
        <v>-0.93241944771712981</v>
      </c>
      <c r="D231" t="str">
        <f t="shared" si="10"/>
        <v>No</v>
      </c>
      <c r="E231">
        <f t="shared" si="11"/>
        <v>0.29761904761904762</v>
      </c>
    </row>
    <row r="232" spans="1:5" x14ac:dyDescent="0.3">
      <c r="A232" t="s">
        <v>88</v>
      </c>
      <c r="B232">
        <v>13</v>
      </c>
      <c r="C232">
        <f t="shared" si="9"/>
        <v>-0.93241944771712981</v>
      </c>
      <c r="D232" t="str">
        <f t="shared" si="10"/>
        <v>No</v>
      </c>
      <c r="E232">
        <f t="shared" si="11"/>
        <v>0.29761904761904762</v>
      </c>
    </row>
    <row r="233" spans="1:5" x14ac:dyDescent="0.3">
      <c r="A233" t="s">
        <v>93</v>
      </c>
      <c r="B233">
        <v>13</v>
      </c>
      <c r="C233">
        <f t="shared" si="9"/>
        <v>-0.93241944771712981</v>
      </c>
      <c r="D233" t="str">
        <f t="shared" si="10"/>
        <v>No</v>
      </c>
      <c r="E233">
        <f t="shared" si="11"/>
        <v>0.29761904761904762</v>
      </c>
    </row>
    <row r="234" spans="1:5" x14ac:dyDescent="0.3">
      <c r="A234" t="s">
        <v>109</v>
      </c>
      <c r="B234">
        <v>13</v>
      </c>
      <c r="C234">
        <f t="shared" si="9"/>
        <v>-0.93241944771712981</v>
      </c>
      <c r="D234" t="str">
        <f t="shared" si="10"/>
        <v>No</v>
      </c>
      <c r="E234">
        <f t="shared" si="11"/>
        <v>0.29761904761904762</v>
      </c>
    </row>
    <row r="235" spans="1:5" x14ac:dyDescent="0.3">
      <c r="A235" t="s">
        <v>94</v>
      </c>
      <c r="B235">
        <v>14.5</v>
      </c>
      <c r="C235">
        <f t="shared" si="9"/>
        <v>-0.38780110285153013</v>
      </c>
      <c r="D235" t="str">
        <f t="shared" si="10"/>
        <v>No</v>
      </c>
      <c r="E235">
        <f t="shared" si="11"/>
        <v>0.38690476190476186</v>
      </c>
    </row>
    <row r="236" spans="1:5" x14ac:dyDescent="0.3">
      <c r="A236" t="s">
        <v>101</v>
      </c>
      <c r="B236">
        <v>12.5</v>
      </c>
      <c r="C236">
        <f t="shared" si="9"/>
        <v>-1.113958896005663</v>
      </c>
      <c r="D236" t="str">
        <f t="shared" si="10"/>
        <v>No</v>
      </c>
      <c r="E236">
        <f t="shared" si="11"/>
        <v>0.26785714285714285</v>
      </c>
    </row>
    <row r="237" spans="1:5" x14ac:dyDescent="0.3">
      <c r="A237" t="s">
        <v>89</v>
      </c>
      <c r="B237">
        <v>14.5</v>
      </c>
      <c r="C237">
        <f t="shared" si="9"/>
        <v>-0.38780110285153013</v>
      </c>
      <c r="D237" t="str">
        <f t="shared" si="10"/>
        <v>No</v>
      </c>
      <c r="E237">
        <f t="shared" si="11"/>
        <v>0.38690476190476186</v>
      </c>
    </row>
    <row r="238" spans="1:5" x14ac:dyDescent="0.3">
      <c r="A238" t="s">
        <v>92</v>
      </c>
      <c r="B238">
        <v>12</v>
      </c>
      <c r="C238">
        <f t="shared" si="9"/>
        <v>-1.2954983442941963</v>
      </c>
      <c r="D238" t="str">
        <f t="shared" si="10"/>
        <v>No</v>
      </c>
      <c r="E238">
        <f t="shared" si="11"/>
        <v>0.23809523809523808</v>
      </c>
    </row>
    <row r="239" spans="1:5" x14ac:dyDescent="0.3">
      <c r="A239" t="s">
        <v>16</v>
      </c>
      <c r="B239">
        <v>14</v>
      </c>
      <c r="C239">
        <f t="shared" si="9"/>
        <v>-0.56934055114006343</v>
      </c>
      <c r="D239" t="str">
        <f t="shared" si="10"/>
        <v>No</v>
      </c>
      <c r="E239">
        <f t="shared" si="11"/>
        <v>0.35714285714285715</v>
      </c>
    </row>
    <row r="240" spans="1:5" x14ac:dyDescent="0.3">
      <c r="A240" t="s">
        <v>128</v>
      </c>
      <c r="B240">
        <v>14.5</v>
      </c>
      <c r="C240">
        <f t="shared" si="9"/>
        <v>-0.38780110285153013</v>
      </c>
      <c r="D240" t="str">
        <f t="shared" si="10"/>
        <v>No</v>
      </c>
      <c r="E240">
        <f t="shared" si="11"/>
        <v>0.38690476190476186</v>
      </c>
    </row>
    <row r="241" spans="1:5" x14ac:dyDescent="0.3">
      <c r="A241" t="s">
        <v>43</v>
      </c>
      <c r="B241">
        <v>16.5</v>
      </c>
      <c r="C241">
        <f t="shared" si="9"/>
        <v>0.33835669030260274</v>
      </c>
      <c r="D241" t="str">
        <f t="shared" si="10"/>
        <v>No</v>
      </c>
      <c r="E241">
        <f t="shared" si="11"/>
        <v>0.50595238095238093</v>
      </c>
    </row>
    <row r="242" spans="1:5" x14ac:dyDescent="0.3">
      <c r="A242" t="s">
        <v>66</v>
      </c>
      <c r="B242">
        <v>17</v>
      </c>
      <c r="C242">
        <f t="shared" si="9"/>
        <v>0.51989613859113593</v>
      </c>
      <c r="D242" t="str">
        <f t="shared" si="10"/>
        <v>No</v>
      </c>
      <c r="E242">
        <f t="shared" si="11"/>
        <v>0.5357142857142857</v>
      </c>
    </row>
    <row r="243" spans="1:5" x14ac:dyDescent="0.3">
      <c r="A243" t="s">
        <v>27</v>
      </c>
      <c r="B243">
        <v>16</v>
      </c>
      <c r="C243">
        <f t="shared" si="9"/>
        <v>0.15681724201406952</v>
      </c>
      <c r="D243" t="str">
        <f t="shared" si="10"/>
        <v>No</v>
      </c>
      <c r="E243">
        <f t="shared" si="11"/>
        <v>0.47619047619047616</v>
      </c>
    </row>
    <row r="244" spans="1:5" x14ac:dyDescent="0.3">
      <c r="A244" t="s">
        <v>26</v>
      </c>
      <c r="B244">
        <v>16.5</v>
      </c>
      <c r="C244">
        <f t="shared" si="9"/>
        <v>0.33835669030260274</v>
      </c>
      <c r="D244" t="str">
        <f t="shared" si="10"/>
        <v>No</v>
      </c>
      <c r="E244">
        <f t="shared" si="11"/>
        <v>0.50595238095238093</v>
      </c>
    </row>
    <row r="245" spans="1:5" x14ac:dyDescent="0.3">
      <c r="A245" t="s">
        <v>46</v>
      </c>
      <c r="B245">
        <v>18</v>
      </c>
      <c r="C245">
        <f t="shared" si="9"/>
        <v>0.88297503516820242</v>
      </c>
      <c r="D245" t="str">
        <f t="shared" si="10"/>
        <v>No</v>
      </c>
      <c r="E245">
        <f t="shared" si="11"/>
        <v>0.59523809523809523</v>
      </c>
    </row>
    <row r="246" spans="1:5" x14ac:dyDescent="0.3">
      <c r="A246" t="s">
        <v>119</v>
      </c>
      <c r="B246">
        <v>17</v>
      </c>
      <c r="C246">
        <f t="shared" si="9"/>
        <v>0.51989613859113593</v>
      </c>
      <c r="D246" t="str">
        <f t="shared" si="10"/>
        <v>No</v>
      </c>
      <c r="E246">
        <f t="shared" si="11"/>
        <v>0.5357142857142857</v>
      </c>
    </row>
    <row r="247" spans="1:5" x14ac:dyDescent="0.3">
      <c r="A247" t="s">
        <v>122</v>
      </c>
      <c r="B247">
        <v>16.5</v>
      </c>
      <c r="C247">
        <f t="shared" si="9"/>
        <v>0.33835669030260274</v>
      </c>
      <c r="D247" t="str">
        <f t="shared" si="10"/>
        <v>No</v>
      </c>
      <c r="E247">
        <f t="shared" si="11"/>
        <v>0.50595238095238093</v>
      </c>
    </row>
    <row r="248" spans="1:5" x14ac:dyDescent="0.3">
      <c r="A248" t="s">
        <v>121</v>
      </c>
      <c r="B248">
        <v>17</v>
      </c>
      <c r="C248">
        <f t="shared" si="9"/>
        <v>0.51989613859113593</v>
      </c>
      <c r="D248" t="str">
        <f t="shared" si="10"/>
        <v>No</v>
      </c>
      <c r="E248">
        <f t="shared" si="11"/>
        <v>0.5357142857142857</v>
      </c>
    </row>
    <row r="249" spans="1:5" x14ac:dyDescent="0.3">
      <c r="A249" t="s">
        <v>28</v>
      </c>
      <c r="B249">
        <v>17</v>
      </c>
      <c r="C249">
        <f t="shared" si="9"/>
        <v>0.51989613859113593</v>
      </c>
      <c r="D249" t="str">
        <f t="shared" si="10"/>
        <v>No</v>
      </c>
      <c r="E249">
        <f t="shared" si="11"/>
        <v>0.5357142857142857</v>
      </c>
    </row>
    <row r="250" spans="1:5" x14ac:dyDescent="0.3">
      <c r="A250" t="s">
        <v>74</v>
      </c>
      <c r="B250">
        <v>15.5</v>
      </c>
      <c r="C250">
        <f t="shared" si="9"/>
        <v>-2.4722206274463705E-2</v>
      </c>
      <c r="D250" t="str">
        <f t="shared" si="10"/>
        <v>No</v>
      </c>
      <c r="E250">
        <f t="shared" si="11"/>
        <v>0.4464285714285714</v>
      </c>
    </row>
    <row r="251" spans="1:5" x14ac:dyDescent="0.3">
      <c r="A251" t="s">
        <v>89</v>
      </c>
      <c r="B251">
        <v>14</v>
      </c>
      <c r="C251">
        <f t="shared" si="9"/>
        <v>-0.56934055114006343</v>
      </c>
      <c r="D251" t="str">
        <f t="shared" si="10"/>
        <v>No</v>
      </c>
      <c r="E251">
        <f t="shared" si="11"/>
        <v>0.35714285714285715</v>
      </c>
    </row>
    <row r="252" spans="1:5" x14ac:dyDescent="0.3">
      <c r="A252" t="s">
        <v>124</v>
      </c>
      <c r="B252">
        <v>13.5</v>
      </c>
      <c r="C252">
        <f t="shared" si="9"/>
        <v>-0.75087999942859662</v>
      </c>
      <c r="D252" t="str">
        <f t="shared" si="10"/>
        <v>No</v>
      </c>
      <c r="E252">
        <f t="shared" si="11"/>
        <v>0.32738095238095238</v>
      </c>
    </row>
    <row r="253" spans="1:5" x14ac:dyDescent="0.3">
      <c r="A253" t="s">
        <v>123</v>
      </c>
      <c r="B253">
        <v>14.5</v>
      </c>
      <c r="C253">
        <f t="shared" si="9"/>
        <v>-0.38780110285153013</v>
      </c>
      <c r="D253" t="str">
        <f t="shared" si="10"/>
        <v>No</v>
      </c>
      <c r="E253">
        <f t="shared" si="11"/>
        <v>0.38690476190476186</v>
      </c>
    </row>
    <row r="254" spans="1:5" x14ac:dyDescent="0.3">
      <c r="A254" t="s">
        <v>76</v>
      </c>
      <c r="B254">
        <v>16</v>
      </c>
      <c r="C254">
        <f t="shared" si="9"/>
        <v>0.15681724201406952</v>
      </c>
      <c r="D254" t="str">
        <f t="shared" si="10"/>
        <v>No</v>
      </c>
      <c r="E254">
        <f t="shared" si="11"/>
        <v>0.47619047619047616</v>
      </c>
    </row>
    <row r="255" spans="1:5" x14ac:dyDescent="0.3">
      <c r="A255" t="s">
        <v>43</v>
      </c>
      <c r="B255">
        <v>17</v>
      </c>
      <c r="C255">
        <f t="shared" si="9"/>
        <v>0.51989613859113593</v>
      </c>
      <c r="D255" t="str">
        <f t="shared" si="10"/>
        <v>No</v>
      </c>
      <c r="E255">
        <f t="shared" si="11"/>
        <v>0.5357142857142857</v>
      </c>
    </row>
    <row r="256" spans="1:5" x14ac:dyDescent="0.3">
      <c r="A256" t="s">
        <v>144</v>
      </c>
      <c r="B256">
        <v>18.5</v>
      </c>
      <c r="C256">
        <f t="shared" si="9"/>
        <v>1.0645144834567357</v>
      </c>
      <c r="D256" t="str">
        <f t="shared" si="10"/>
        <v>No</v>
      </c>
      <c r="E256">
        <f t="shared" si="11"/>
        <v>0.625</v>
      </c>
    </row>
    <row r="257" spans="1:5" x14ac:dyDescent="0.3">
      <c r="A257" t="s">
        <v>140</v>
      </c>
      <c r="B257">
        <v>15</v>
      </c>
      <c r="C257">
        <f t="shared" si="9"/>
        <v>-0.20626165456299694</v>
      </c>
      <c r="D257" t="str">
        <f t="shared" si="10"/>
        <v>No</v>
      </c>
      <c r="E257">
        <f t="shared" si="11"/>
        <v>0.41666666666666663</v>
      </c>
    </row>
    <row r="258" spans="1:5" x14ac:dyDescent="0.3">
      <c r="A258" t="s">
        <v>36</v>
      </c>
      <c r="B258">
        <v>16</v>
      </c>
      <c r="C258">
        <f t="shared" si="9"/>
        <v>0.15681724201406952</v>
      </c>
      <c r="D258" t="str">
        <f t="shared" si="10"/>
        <v>No</v>
      </c>
      <c r="E258">
        <f t="shared" si="11"/>
        <v>0.47619047619047616</v>
      </c>
    </row>
    <row r="259" spans="1:5" x14ac:dyDescent="0.3">
      <c r="A259" t="s">
        <v>43</v>
      </c>
      <c r="B259">
        <v>14.5</v>
      </c>
      <c r="C259">
        <f t="shared" ref="C259:C322" si="12">IFERROR((B259-$H$3)/$I$3,"")</f>
        <v>-0.38780110285153013</v>
      </c>
      <c r="D259" t="str">
        <f t="shared" ref="D259:D322" si="13">IF(ABS(C259)&gt;2,"Yes","No")</f>
        <v>No</v>
      </c>
      <c r="E259">
        <f t="shared" ref="E259:E322" si="14">IFERROR((B259-$K$3) / ($L$3-$K$3),"")</f>
        <v>0.38690476190476186</v>
      </c>
    </row>
    <row r="260" spans="1:5" x14ac:dyDescent="0.3">
      <c r="A260" t="s">
        <v>119</v>
      </c>
      <c r="B260">
        <v>16</v>
      </c>
      <c r="C260">
        <f t="shared" si="12"/>
        <v>0.15681724201406952</v>
      </c>
      <c r="D260" t="str">
        <f t="shared" si="13"/>
        <v>No</v>
      </c>
      <c r="E260">
        <f t="shared" si="14"/>
        <v>0.47619047619047616</v>
      </c>
    </row>
    <row r="261" spans="1:5" x14ac:dyDescent="0.3">
      <c r="A261" t="s">
        <v>46</v>
      </c>
      <c r="B261">
        <v>19</v>
      </c>
      <c r="C261">
        <f t="shared" si="12"/>
        <v>1.2460539317452688</v>
      </c>
      <c r="D261" t="str">
        <f t="shared" si="13"/>
        <v>No</v>
      </c>
      <c r="E261">
        <f t="shared" si="14"/>
        <v>0.65476190476190477</v>
      </c>
    </row>
    <row r="262" spans="1:5" x14ac:dyDescent="0.3">
      <c r="A262" t="s">
        <v>133</v>
      </c>
      <c r="B262">
        <v>16</v>
      </c>
      <c r="C262">
        <f t="shared" si="12"/>
        <v>0.15681724201406952</v>
      </c>
      <c r="D262" t="str">
        <f t="shared" si="13"/>
        <v>No</v>
      </c>
      <c r="E262">
        <f t="shared" si="14"/>
        <v>0.47619047619047616</v>
      </c>
    </row>
    <row r="263" spans="1:5" x14ac:dyDescent="0.3">
      <c r="A263" t="s">
        <v>137</v>
      </c>
      <c r="B263">
        <v>21</v>
      </c>
      <c r="C263">
        <f t="shared" si="12"/>
        <v>1.9722117248994018</v>
      </c>
      <c r="D263" t="str">
        <f t="shared" si="13"/>
        <v>No</v>
      </c>
      <c r="E263">
        <f t="shared" si="14"/>
        <v>0.77380952380952372</v>
      </c>
    </row>
    <row r="264" spans="1:5" x14ac:dyDescent="0.3">
      <c r="A264" t="s">
        <v>146</v>
      </c>
      <c r="B264">
        <v>17</v>
      </c>
      <c r="C264">
        <f t="shared" si="12"/>
        <v>0.51989613859113593</v>
      </c>
      <c r="D264" t="str">
        <f t="shared" si="13"/>
        <v>No</v>
      </c>
      <c r="E264">
        <f t="shared" si="14"/>
        <v>0.5357142857142857</v>
      </c>
    </row>
    <row r="265" spans="1:5" x14ac:dyDescent="0.3">
      <c r="A265" t="s">
        <v>138</v>
      </c>
      <c r="B265">
        <v>18.5</v>
      </c>
      <c r="C265">
        <f t="shared" si="12"/>
        <v>1.0645144834567357</v>
      </c>
      <c r="D265" t="str">
        <f t="shared" si="13"/>
        <v>No</v>
      </c>
      <c r="E265">
        <f t="shared" si="14"/>
        <v>0.625</v>
      </c>
    </row>
    <row r="266" spans="1:5" x14ac:dyDescent="0.3">
      <c r="A266" t="s">
        <v>139</v>
      </c>
      <c r="B266">
        <v>19</v>
      </c>
      <c r="C266">
        <f t="shared" si="12"/>
        <v>1.2460539317452688</v>
      </c>
      <c r="D266" t="str">
        <f t="shared" si="13"/>
        <v>No</v>
      </c>
      <c r="E266">
        <f t="shared" si="14"/>
        <v>0.65476190476190477</v>
      </c>
    </row>
    <row r="267" spans="1:5" x14ac:dyDescent="0.3">
      <c r="A267" t="s">
        <v>28</v>
      </c>
      <c r="B267">
        <v>19.5</v>
      </c>
      <c r="C267">
        <f t="shared" si="12"/>
        <v>1.4275933800338021</v>
      </c>
      <c r="D267" t="str">
        <f t="shared" si="13"/>
        <v>No</v>
      </c>
      <c r="E267">
        <f t="shared" si="14"/>
        <v>0.68452380952380953</v>
      </c>
    </row>
    <row r="268" spans="1:5" x14ac:dyDescent="0.3">
      <c r="A268" t="s">
        <v>134</v>
      </c>
      <c r="B268">
        <v>21</v>
      </c>
      <c r="C268">
        <f t="shared" si="12"/>
        <v>1.9722117248994018</v>
      </c>
      <c r="D268" t="str">
        <f t="shared" si="13"/>
        <v>No</v>
      </c>
      <c r="E268">
        <f t="shared" si="14"/>
        <v>0.77380952380952372</v>
      </c>
    </row>
    <row r="269" spans="1:5" x14ac:dyDescent="0.3">
      <c r="A269" t="s">
        <v>142</v>
      </c>
      <c r="B269">
        <v>12</v>
      </c>
      <c r="C269">
        <f t="shared" si="12"/>
        <v>-1.2954983442941963</v>
      </c>
      <c r="D269" t="str">
        <f t="shared" si="13"/>
        <v>No</v>
      </c>
      <c r="E269">
        <f t="shared" si="14"/>
        <v>0.23809523809523808</v>
      </c>
    </row>
    <row r="270" spans="1:5" x14ac:dyDescent="0.3">
      <c r="A270" t="s">
        <v>18</v>
      </c>
      <c r="B270">
        <v>11.5</v>
      </c>
      <c r="C270">
        <f t="shared" si="12"/>
        <v>-1.4770377925827296</v>
      </c>
      <c r="D270" t="str">
        <f t="shared" si="13"/>
        <v>No</v>
      </c>
      <c r="E270">
        <f t="shared" si="14"/>
        <v>0.20833333333333331</v>
      </c>
    </row>
    <row r="271" spans="1:5" x14ac:dyDescent="0.3">
      <c r="A271" t="s">
        <v>141</v>
      </c>
      <c r="B271">
        <v>13.5</v>
      </c>
      <c r="C271">
        <f t="shared" si="12"/>
        <v>-0.75087999942859662</v>
      </c>
      <c r="D271" t="str">
        <f t="shared" si="13"/>
        <v>No</v>
      </c>
      <c r="E271">
        <f t="shared" si="14"/>
        <v>0.32738095238095238</v>
      </c>
    </row>
    <row r="272" spans="1:5" x14ac:dyDescent="0.3">
      <c r="A272" t="s">
        <v>136</v>
      </c>
      <c r="B272">
        <v>14.5</v>
      </c>
      <c r="C272">
        <f t="shared" si="12"/>
        <v>-0.38780110285153013</v>
      </c>
      <c r="D272" t="str">
        <f t="shared" si="13"/>
        <v>No</v>
      </c>
      <c r="E272">
        <f t="shared" si="14"/>
        <v>0.38690476190476186</v>
      </c>
    </row>
    <row r="273" spans="1:5" x14ac:dyDescent="0.3">
      <c r="A273" t="s">
        <v>135</v>
      </c>
      <c r="B273">
        <v>14</v>
      </c>
      <c r="C273">
        <f t="shared" si="12"/>
        <v>-0.56934055114006343</v>
      </c>
      <c r="D273" t="str">
        <f t="shared" si="13"/>
        <v>No</v>
      </c>
      <c r="E273">
        <f t="shared" si="14"/>
        <v>0.35714285714285715</v>
      </c>
    </row>
    <row r="274" spans="1:5" x14ac:dyDescent="0.3">
      <c r="A274" t="s">
        <v>93</v>
      </c>
      <c r="B274">
        <v>13.5</v>
      </c>
      <c r="C274">
        <f t="shared" si="12"/>
        <v>-0.75087999942859662</v>
      </c>
      <c r="D274" t="str">
        <f t="shared" si="13"/>
        <v>No</v>
      </c>
      <c r="E274">
        <f t="shared" si="14"/>
        <v>0.32738095238095238</v>
      </c>
    </row>
    <row r="275" spans="1:5" x14ac:dyDescent="0.3">
      <c r="A275" t="s">
        <v>150</v>
      </c>
      <c r="B275">
        <v>14.9</v>
      </c>
      <c r="C275">
        <f t="shared" si="12"/>
        <v>-0.24256954422070345</v>
      </c>
      <c r="D275" t="str">
        <f t="shared" si="13"/>
        <v>No</v>
      </c>
      <c r="E275">
        <f t="shared" si="14"/>
        <v>0.4107142857142857</v>
      </c>
    </row>
    <row r="276" spans="1:5" x14ac:dyDescent="0.3">
      <c r="A276" t="s">
        <v>128</v>
      </c>
      <c r="B276">
        <v>17.7</v>
      </c>
      <c r="C276">
        <f t="shared" si="12"/>
        <v>0.77405136619508219</v>
      </c>
      <c r="D276" t="str">
        <f t="shared" si="13"/>
        <v>No</v>
      </c>
      <c r="E276">
        <f t="shared" si="14"/>
        <v>0.57738095238095233</v>
      </c>
    </row>
    <row r="277" spans="1:5" x14ac:dyDescent="0.3">
      <c r="A277" t="s">
        <v>43</v>
      </c>
      <c r="B277">
        <v>13.6</v>
      </c>
      <c r="C277">
        <f t="shared" si="12"/>
        <v>-0.71457210977089014</v>
      </c>
      <c r="D277" t="str">
        <f t="shared" si="13"/>
        <v>No</v>
      </c>
      <c r="E277">
        <f t="shared" si="14"/>
        <v>0.33333333333333331</v>
      </c>
    </row>
    <row r="278" spans="1:5" x14ac:dyDescent="0.3">
      <c r="A278" t="s">
        <v>154</v>
      </c>
      <c r="B278">
        <v>22.1</v>
      </c>
      <c r="C278">
        <f t="shared" si="12"/>
        <v>2.3715985111341755</v>
      </c>
      <c r="D278" t="str">
        <f t="shared" si="13"/>
        <v>Yes</v>
      </c>
      <c r="E278">
        <f t="shared" si="14"/>
        <v>0.8392857142857143</v>
      </c>
    </row>
    <row r="279" spans="1:5" x14ac:dyDescent="0.3">
      <c r="A279" t="s">
        <v>153</v>
      </c>
      <c r="B279">
        <v>22.2</v>
      </c>
      <c r="C279">
        <f t="shared" si="12"/>
        <v>2.4079064007918811</v>
      </c>
      <c r="D279" t="str">
        <f t="shared" si="13"/>
        <v>Yes</v>
      </c>
      <c r="E279">
        <f t="shared" si="14"/>
        <v>0.84523809523809512</v>
      </c>
    </row>
    <row r="280" spans="1:5" x14ac:dyDescent="0.3">
      <c r="A280" t="s">
        <v>119</v>
      </c>
      <c r="B280">
        <v>14.5</v>
      </c>
      <c r="C280">
        <f t="shared" si="12"/>
        <v>-0.38780110285153013</v>
      </c>
      <c r="D280" t="str">
        <f t="shared" si="13"/>
        <v>No</v>
      </c>
      <c r="E280">
        <f t="shared" si="14"/>
        <v>0.38690476190476186</v>
      </c>
    </row>
    <row r="281" spans="1:5" x14ac:dyDescent="0.3">
      <c r="A281" t="s">
        <v>98</v>
      </c>
      <c r="B281">
        <v>15.4</v>
      </c>
      <c r="C281">
        <f t="shared" si="12"/>
        <v>-6.1030095932170222E-2</v>
      </c>
      <c r="D281" t="str">
        <f t="shared" si="13"/>
        <v>No</v>
      </c>
      <c r="E281">
        <f t="shared" si="14"/>
        <v>0.44047619047619047</v>
      </c>
    </row>
    <row r="282" spans="1:5" x14ac:dyDescent="0.3">
      <c r="A282" t="s">
        <v>158</v>
      </c>
      <c r="B282">
        <v>16.2</v>
      </c>
      <c r="C282">
        <f t="shared" si="12"/>
        <v>0.22943302132948254</v>
      </c>
      <c r="D282" t="str">
        <f t="shared" si="13"/>
        <v>No</v>
      </c>
      <c r="E282">
        <f t="shared" si="14"/>
        <v>0.48809523809523803</v>
      </c>
    </row>
    <row r="283" spans="1:5" x14ac:dyDescent="0.3">
      <c r="A283" t="s">
        <v>159</v>
      </c>
      <c r="B283">
        <v>17.8</v>
      </c>
      <c r="C283">
        <f t="shared" si="12"/>
        <v>0.81035925585278934</v>
      </c>
      <c r="D283" t="str">
        <f t="shared" si="13"/>
        <v>No</v>
      </c>
      <c r="E283">
        <f t="shared" si="14"/>
        <v>0.58333333333333337</v>
      </c>
    </row>
    <row r="284" spans="1:5" x14ac:dyDescent="0.3">
      <c r="A284" t="s">
        <v>27</v>
      </c>
      <c r="B284">
        <v>17.600000000000001</v>
      </c>
      <c r="C284">
        <f t="shared" si="12"/>
        <v>0.73774347653737637</v>
      </c>
      <c r="D284" t="str">
        <f t="shared" si="13"/>
        <v>No</v>
      </c>
      <c r="E284">
        <f t="shared" si="14"/>
        <v>0.57142857142857151</v>
      </c>
    </row>
    <row r="285" spans="1:5" x14ac:dyDescent="0.3">
      <c r="A285" t="s">
        <v>156</v>
      </c>
      <c r="B285">
        <v>17.7</v>
      </c>
      <c r="C285">
        <f t="shared" si="12"/>
        <v>0.77405136619508219</v>
      </c>
      <c r="D285" t="str">
        <f t="shared" si="13"/>
        <v>No</v>
      </c>
      <c r="E285">
        <f t="shared" si="14"/>
        <v>0.57738095238095233</v>
      </c>
    </row>
    <row r="286" spans="1:5" x14ac:dyDescent="0.3">
      <c r="A286" t="s">
        <v>28</v>
      </c>
      <c r="B286">
        <v>17.600000000000001</v>
      </c>
      <c r="C286">
        <f t="shared" si="12"/>
        <v>0.73774347653737637</v>
      </c>
      <c r="D286" t="str">
        <f t="shared" si="13"/>
        <v>No</v>
      </c>
      <c r="E286">
        <f t="shared" si="14"/>
        <v>0.57142857142857151</v>
      </c>
    </row>
    <row r="287" spans="1:5" x14ac:dyDescent="0.3">
      <c r="A287" t="s">
        <v>157</v>
      </c>
      <c r="B287">
        <v>21</v>
      </c>
      <c r="C287">
        <f t="shared" si="12"/>
        <v>1.9722117248994018</v>
      </c>
      <c r="D287" t="str">
        <f t="shared" si="13"/>
        <v>No</v>
      </c>
      <c r="E287">
        <f t="shared" si="14"/>
        <v>0.77380952380952372</v>
      </c>
    </row>
    <row r="288" spans="1:5" x14ac:dyDescent="0.3">
      <c r="A288" t="s">
        <v>164</v>
      </c>
      <c r="B288">
        <v>12.1</v>
      </c>
      <c r="C288">
        <f t="shared" si="12"/>
        <v>-1.2591904546364898</v>
      </c>
      <c r="D288" t="str">
        <f t="shared" si="13"/>
        <v>No</v>
      </c>
      <c r="E288">
        <f t="shared" si="14"/>
        <v>0.24404761904761901</v>
      </c>
    </row>
    <row r="289" spans="1:5" x14ac:dyDescent="0.3">
      <c r="A289" t="s">
        <v>167</v>
      </c>
      <c r="B289">
        <v>14</v>
      </c>
      <c r="C289">
        <f t="shared" si="12"/>
        <v>-0.56934055114006343</v>
      </c>
      <c r="D289" t="str">
        <f t="shared" si="13"/>
        <v>No</v>
      </c>
      <c r="E289">
        <f t="shared" si="14"/>
        <v>0.35714285714285715</v>
      </c>
    </row>
    <row r="290" spans="1:5" x14ac:dyDescent="0.3">
      <c r="A290" t="s">
        <v>162</v>
      </c>
      <c r="B290">
        <v>13.2</v>
      </c>
      <c r="C290">
        <f t="shared" si="12"/>
        <v>-0.85980366840171685</v>
      </c>
      <c r="D290" t="str">
        <f t="shared" si="13"/>
        <v>No</v>
      </c>
      <c r="E290">
        <f t="shared" si="14"/>
        <v>0.30952380952380948</v>
      </c>
    </row>
    <row r="291" spans="1:5" x14ac:dyDescent="0.3">
      <c r="A291" t="s">
        <v>89</v>
      </c>
      <c r="B291">
        <v>12.8</v>
      </c>
      <c r="C291">
        <f t="shared" si="12"/>
        <v>-1.0050352270325429</v>
      </c>
      <c r="D291" t="str">
        <f t="shared" si="13"/>
        <v>No</v>
      </c>
      <c r="E291">
        <f t="shared" si="14"/>
        <v>0.28571428571428575</v>
      </c>
    </row>
    <row r="292" spans="1:5" x14ac:dyDescent="0.3">
      <c r="A292" t="s">
        <v>165</v>
      </c>
      <c r="B292">
        <v>12</v>
      </c>
      <c r="C292">
        <f t="shared" si="12"/>
        <v>-1.2954983442941963</v>
      </c>
      <c r="D292" t="str">
        <f t="shared" si="13"/>
        <v>No</v>
      </c>
      <c r="E292">
        <f t="shared" si="14"/>
        <v>0.23809523809523808</v>
      </c>
    </row>
    <row r="293" spans="1:5" x14ac:dyDescent="0.3">
      <c r="A293" t="s">
        <v>152</v>
      </c>
      <c r="B293">
        <v>13</v>
      </c>
      <c r="C293">
        <f t="shared" si="12"/>
        <v>-0.93241944771712981</v>
      </c>
      <c r="D293" t="str">
        <f t="shared" si="13"/>
        <v>No</v>
      </c>
      <c r="E293">
        <f t="shared" si="14"/>
        <v>0.29761904761904762</v>
      </c>
    </row>
    <row r="294" spans="1:5" x14ac:dyDescent="0.3">
      <c r="A294" t="s">
        <v>166</v>
      </c>
      <c r="B294">
        <v>15</v>
      </c>
      <c r="C294">
        <f t="shared" si="12"/>
        <v>-0.20626165456299694</v>
      </c>
      <c r="D294" t="str">
        <f t="shared" si="13"/>
        <v>No</v>
      </c>
      <c r="E294">
        <f t="shared" si="14"/>
        <v>0.41666666666666663</v>
      </c>
    </row>
    <row r="295" spans="1:5" x14ac:dyDescent="0.3">
      <c r="A295" t="s">
        <v>121</v>
      </c>
      <c r="B295">
        <v>13</v>
      </c>
      <c r="C295">
        <f t="shared" si="12"/>
        <v>-0.93241944771712981</v>
      </c>
      <c r="D295" t="str">
        <f t="shared" si="13"/>
        <v>No</v>
      </c>
      <c r="E295">
        <f t="shared" si="14"/>
        <v>0.29761904761904762</v>
      </c>
    </row>
    <row r="296" spans="1:5" x14ac:dyDescent="0.3">
      <c r="A296" t="s">
        <v>46</v>
      </c>
      <c r="B296">
        <v>13.9</v>
      </c>
      <c r="C296">
        <f t="shared" si="12"/>
        <v>-0.60564844079776992</v>
      </c>
      <c r="D296" t="str">
        <f t="shared" si="13"/>
        <v>No</v>
      </c>
      <c r="E296">
        <f t="shared" si="14"/>
        <v>0.35119047619047622</v>
      </c>
    </row>
    <row r="297" spans="1:5" x14ac:dyDescent="0.3">
      <c r="A297" t="s">
        <v>171</v>
      </c>
      <c r="B297">
        <v>15.5</v>
      </c>
      <c r="C297">
        <f t="shared" si="12"/>
        <v>-2.4722206274463705E-2</v>
      </c>
      <c r="D297" t="str">
        <f t="shared" si="13"/>
        <v>No</v>
      </c>
      <c r="E297">
        <f t="shared" si="14"/>
        <v>0.4464285714285714</v>
      </c>
    </row>
    <row r="298" spans="1:5" x14ac:dyDescent="0.3">
      <c r="A298" t="s">
        <v>188</v>
      </c>
      <c r="B298">
        <v>15.9</v>
      </c>
      <c r="C298">
        <f t="shared" si="12"/>
        <v>0.12050935235636301</v>
      </c>
      <c r="D298" t="str">
        <f t="shared" si="13"/>
        <v>No</v>
      </c>
      <c r="E298">
        <f t="shared" si="14"/>
        <v>0.47023809523809523</v>
      </c>
    </row>
    <row r="299" spans="1:5" x14ac:dyDescent="0.3">
      <c r="A299" t="s">
        <v>169</v>
      </c>
      <c r="B299">
        <v>14.8</v>
      </c>
      <c r="C299">
        <f t="shared" si="12"/>
        <v>-0.27887743387840996</v>
      </c>
      <c r="D299" t="str">
        <f t="shared" si="13"/>
        <v>No</v>
      </c>
      <c r="E299">
        <f t="shared" si="14"/>
        <v>0.40476190476190477</v>
      </c>
    </row>
    <row r="300" spans="1:5" x14ac:dyDescent="0.3">
      <c r="A300" t="s">
        <v>187</v>
      </c>
      <c r="B300">
        <v>15.8</v>
      </c>
      <c r="C300">
        <f t="shared" si="12"/>
        <v>8.4201462698656485E-2</v>
      </c>
      <c r="D300" t="str">
        <f t="shared" si="13"/>
        <v>No</v>
      </c>
      <c r="E300">
        <f t="shared" si="14"/>
        <v>0.4642857142857143</v>
      </c>
    </row>
    <row r="301" spans="1:5" x14ac:dyDescent="0.3">
      <c r="A301" t="s">
        <v>185</v>
      </c>
      <c r="B301">
        <v>16</v>
      </c>
      <c r="C301">
        <f t="shared" si="12"/>
        <v>0.15681724201406952</v>
      </c>
      <c r="D301" t="str">
        <f t="shared" si="13"/>
        <v>No</v>
      </c>
      <c r="E301">
        <f t="shared" si="14"/>
        <v>0.47619047619047616</v>
      </c>
    </row>
    <row r="302" spans="1:5" x14ac:dyDescent="0.3">
      <c r="A302" t="s">
        <v>153</v>
      </c>
      <c r="B302">
        <v>17</v>
      </c>
      <c r="C302">
        <f t="shared" si="12"/>
        <v>0.51989613859113593</v>
      </c>
      <c r="D302" t="str">
        <f t="shared" si="13"/>
        <v>No</v>
      </c>
      <c r="E302">
        <f t="shared" si="14"/>
        <v>0.5357142857142857</v>
      </c>
    </row>
    <row r="303" spans="1:5" x14ac:dyDescent="0.3">
      <c r="A303" t="s">
        <v>176</v>
      </c>
      <c r="B303">
        <v>16.399999999999999</v>
      </c>
      <c r="C303">
        <f t="shared" si="12"/>
        <v>0.30204880064489559</v>
      </c>
      <c r="D303" t="str">
        <f t="shared" si="13"/>
        <v>No</v>
      </c>
      <c r="E303">
        <f t="shared" si="14"/>
        <v>0.49999999999999989</v>
      </c>
    </row>
    <row r="304" spans="1:5" x14ac:dyDescent="0.3">
      <c r="A304" t="s">
        <v>177</v>
      </c>
      <c r="B304">
        <v>16.899999999999999</v>
      </c>
      <c r="C304">
        <f t="shared" si="12"/>
        <v>0.48358824893342883</v>
      </c>
      <c r="D304" t="str">
        <f t="shared" si="13"/>
        <v>No</v>
      </c>
      <c r="E304">
        <f t="shared" si="14"/>
        <v>0.52976190476190466</v>
      </c>
    </row>
    <row r="305" spans="1:5" x14ac:dyDescent="0.3">
      <c r="A305" t="s">
        <v>179</v>
      </c>
      <c r="B305">
        <v>19</v>
      </c>
      <c r="C305">
        <f t="shared" si="12"/>
        <v>1.2460539317452688</v>
      </c>
      <c r="D305" t="str">
        <f t="shared" si="13"/>
        <v>No</v>
      </c>
      <c r="E305">
        <f t="shared" si="14"/>
        <v>0.65476190476190477</v>
      </c>
    </row>
    <row r="306" spans="1:5" x14ac:dyDescent="0.3">
      <c r="A306" t="s">
        <v>178</v>
      </c>
      <c r="B306">
        <v>17.7</v>
      </c>
      <c r="C306">
        <f t="shared" si="12"/>
        <v>0.77405136619508219</v>
      </c>
      <c r="D306" t="str">
        <f t="shared" si="13"/>
        <v>No</v>
      </c>
      <c r="E306">
        <f t="shared" si="14"/>
        <v>0.57738095238095233</v>
      </c>
    </row>
    <row r="307" spans="1:5" x14ac:dyDescent="0.3">
      <c r="A307" t="s">
        <v>182</v>
      </c>
      <c r="B307">
        <v>12.2</v>
      </c>
      <c r="C307">
        <f t="shared" si="12"/>
        <v>-1.2228825649787833</v>
      </c>
      <c r="D307" t="str">
        <f t="shared" si="13"/>
        <v>No</v>
      </c>
      <c r="E307">
        <f t="shared" si="14"/>
        <v>0.24999999999999994</v>
      </c>
    </row>
    <row r="308" spans="1:5" x14ac:dyDescent="0.3">
      <c r="A308" t="s">
        <v>180</v>
      </c>
      <c r="B308">
        <v>11.1</v>
      </c>
      <c r="C308">
        <f t="shared" si="12"/>
        <v>-1.6222693512135562</v>
      </c>
      <c r="D308" t="str">
        <f t="shared" si="13"/>
        <v>No</v>
      </c>
      <c r="E308">
        <f t="shared" si="14"/>
        <v>0.18452380952380951</v>
      </c>
    </row>
    <row r="309" spans="1:5" x14ac:dyDescent="0.3">
      <c r="A309" t="s">
        <v>181</v>
      </c>
      <c r="B309">
        <v>11.4</v>
      </c>
      <c r="C309">
        <f t="shared" si="12"/>
        <v>-1.5133456822404361</v>
      </c>
      <c r="D309" t="str">
        <f t="shared" si="13"/>
        <v>No</v>
      </c>
      <c r="E309">
        <f t="shared" si="14"/>
        <v>0.20238095238095238</v>
      </c>
    </row>
    <row r="310" spans="1:5" x14ac:dyDescent="0.3">
      <c r="A310" t="s">
        <v>92</v>
      </c>
      <c r="B310">
        <v>12.5</v>
      </c>
      <c r="C310">
        <f t="shared" si="12"/>
        <v>-1.113958896005663</v>
      </c>
      <c r="D310" t="str">
        <f t="shared" si="13"/>
        <v>No</v>
      </c>
      <c r="E310">
        <f t="shared" si="14"/>
        <v>0.26785714285714285</v>
      </c>
    </row>
    <row r="311" spans="1:5" x14ac:dyDescent="0.3">
      <c r="A311" t="s">
        <v>174</v>
      </c>
      <c r="B311">
        <v>13.7</v>
      </c>
      <c r="C311">
        <f t="shared" si="12"/>
        <v>-0.67826422011318355</v>
      </c>
      <c r="D311" t="str">
        <f t="shared" si="13"/>
        <v>No</v>
      </c>
      <c r="E311">
        <f t="shared" si="14"/>
        <v>0.33928571428571425</v>
      </c>
    </row>
    <row r="312" spans="1:5" x14ac:dyDescent="0.3">
      <c r="A312" t="s">
        <v>183</v>
      </c>
      <c r="B312">
        <v>14.5</v>
      </c>
      <c r="C312">
        <f t="shared" si="12"/>
        <v>-0.38780110285153013</v>
      </c>
      <c r="D312" t="str">
        <f t="shared" si="13"/>
        <v>No</v>
      </c>
      <c r="E312">
        <f t="shared" si="14"/>
        <v>0.38690476190476186</v>
      </c>
    </row>
    <row r="313" spans="1:5" x14ac:dyDescent="0.3">
      <c r="A313" t="s">
        <v>175</v>
      </c>
      <c r="B313">
        <v>14.9</v>
      </c>
      <c r="C313">
        <f t="shared" si="12"/>
        <v>-0.24256954422070345</v>
      </c>
      <c r="D313" t="str">
        <f t="shared" si="13"/>
        <v>No</v>
      </c>
      <c r="E313">
        <f t="shared" si="14"/>
        <v>0.4107142857142857</v>
      </c>
    </row>
    <row r="314" spans="1:5" x14ac:dyDescent="0.3">
      <c r="A314" t="s">
        <v>173</v>
      </c>
      <c r="B314">
        <v>19</v>
      </c>
      <c r="C314">
        <f t="shared" si="12"/>
        <v>1.2460539317452688</v>
      </c>
      <c r="D314" t="str">
        <f t="shared" si="13"/>
        <v>No</v>
      </c>
      <c r="E314">
        <f t="shared" si="14"/>
        <v>0.65476190476190477</v>
      </c>
    </row>
    <row r="315" spans="1:5" x14ac:dyDescent="0.3">
      <c r="A315" t="s">
        <v>215</v>
      </c>
      <c r="B315">
        <v>16.7</v>
      </c>
      <c r="C315">
        <f t="shared" si="12"/>
        <v>0.41097246961801576</v>
      </c>
      <c r="D315" t="str">
        <f t="shared" si="13"/>
        <v>No</v>
      </c>
      <c r="E315">
        <f t="shared" si="14"/>
        <v>0.51785714285714279</v>
      </c>
    </row>
    <row r="316" spans="1:5" x14ac:dyDescent="0.3">
      <c r="A316" t="s">
        <v>194</v>
      </c>
      <c r="B316">
        <v>14.4</v>
      </c>
      <c r="C316">
        <f t="shared" si="12"/>
        <v>-0.42410899250923667</v>
      </c>
      <c r="D316" t="str">
        <f t="shared" si="13"/>
        <v>No</v>
      </c>
      <c r="E316">
        <f t="shared" si="14"/>
        <v>0.38095238095238093</v>
      </c>
    </row>
    <row r="317" spans="1:5" x14ac:dyDescent="0.3">
      <c r="A317" t="s">
        <v>213</v>
      </c>
      <c r="B317">
        <v>14.5</v>
      </c>
      <c r="C317">
        <f t="shared" si="12"/>
        <v>-0.38780110285153013</v>
      </c>
      <c r="D317" t="str">
        <f t="shared" si="13"/>
        <v>No</v>
      </c>
      <c r="E317">
        <f t="shared" si="14"/>
        <v>0.38690476190476186</v>
      </c>
    </row>
    <row r="318" spans="1:5" x14ac:dyDescent="0.3">
      <c r="A318" t="s">
        <v>202</v>
      </c>
      <c r="B318">
        <v>15.4</v>
      </c>
      <c r="C318">
        <f t="shared" si="12"/>
        <v>-6.1030095932170222E-2</v>
      </c>
      <c r="D318" t="str">
        <f t="shared" si="13"/>
        <v>No</v>
      </c>
      <c r="E318">
        <f t="shared" si="14"/>
        <v>0.44047619047619047</v>
      </c>
    </row>
    <row r="319" spans="1:5" x14ac:dyDescent="0.3">
      <c r="A319" t="s">
        <v>153</v>
      </c>
      <c r="B319">
        <v>16.5</v>
      </c>
      <c r="C319">
        <f t="shared" si="12"/>
        <v>0.33835669030260274</v>
      </c>
      <c r="D319" t="str">
        <f t="shared" si="13"/>
        <v>No</v>
      </c>
      <c r="E319">
        <f t="shared" si="14"/>
        <v>0.50595238095238093</v>
      </c>
    </row>
    <row r="320" spans="1:5" x14ac:dyDescent="0.3">
      <c r="A320" t="s">
        <v>216</v>
      </c>
      <c r="B320">
        <v>17.600000000000001</v>
      </c>
      <c r="C320">
        <f t="shared" si="12"/>
        <v>0.73774347653737637</v>
      </c>
      <c r="D320" t="str">
        <f t="shared" si="13"/>
        <v>No</v>
      </c>
      <c r="E320">
        <f t="shared" si="14"/>
        <v>0.57142857142857151</v>
      </c>
    </row>
    <row r="321" spans="1:5" x14ac:dyDescent="0.3">
      <c r="A321" t="s">
        <v>209</v>
      </c>
      <c r="B321">
        <v>13.4</v>
      </c>
      <c r="C321">
        <f t="shared" si="12"/>
        <v>-0.78718788908630311</v>
      </c>
      <c r="D321" t="str">
        <f t="shared" si="13"/>
        <v>No</v>
      </c>
      <c r="E321">
        <f t="shared" si="14"/>
        <v>0.32142857142857145</v>
      </c>
    </row>
    <row r="322" spans="1:5" x14ac:dyDescent="0.3">
      <c r="A322" t="s">
        <v>208</v>
      </c>
      <c r="B322">
        <v>15.1</v>
      </c>
      <c r="C322">
        <f t="shared" si="12"/>
        <v>-0.16995376490529041</v>
      </c>
      <c r="D322" t="str">
        <f t="shared" si="13"/>
        <v>No</v>
      </c>
      <c r="E322">
        <f t="shared" si="14"/>
        <v>0.42261904761904756</v>
      </c>
    </row>
    <row r="323" spans="1:5" x14ac:dyDescent="0.3">
      <c r="A323" t="s">
        <v>205</v>
      </c>
      <c r="B323">
        <v>15.8</v>
      </c>
      <c r="C323">
        <f t="shared" ref="C323:C386" si="15">IFERROR((B323-$H$3)/$I$3,"")</f>
        <v>8.4201462698656485E-2</v>
      </c>
      <c r="D323" t="str">
        <f t="shared" ref="D323:D386" si="16">IF(ABS(C323)&gt;2,"Yes","No")</f>
        <v>No</v>
      </c>
      <c r="E323">
        <f t="shared" ref="E323:E386" si="17">IFERROR((B323-$K$3) / ($L$3-$K$3),"")</f>
        <v>0.4642857142857143</v>
      </c>
    </row>
    <row r="324" spans="1:5" x14ac:dyDescent="0.3">
      <c r="A324" t="s">
        <v>207</v>
      </c>
      <c r="B324">
        <v>18.7</v>
      </c>
      <c r="C324">
        <f t="shared" si="15"/>
        <v>1.1371302627721487</v>
      </c>
      <c r="D324" t="str">
        <f t="shared" si="16"/>
        <v>No</v>
      </c>
      <c r="E324">
        <f t="shared" si="17"/>
        <v>0.63690476190476186</v>
      </c>
    </row>
    <row r="325" spans="1:5" x14ac:dyDescent="0.3">
      <c r="A325" t="s">
        <v>88</v>
      </c>
      <c r="B325">
        <v>18.2</v>
      </c>
      <c r="C325">
        <f t="shared" si="15"/>
        <v>0.95559081448361549</v>
      </c>
      <c r="D325" t="str">
        <f t="shared" si="16"/>
        <v>No</v>
      </c>
      <c r="E325">
        <f t="shared" si="17"/>
        <v>0.6071428571428571</v>
      </c>
    </row>
    <row r="326" spans="1:5" x14ac:dyDescent="0.3">
      <c r="A326" t="s">
        <v>200</v>
      </c>
      <c r="B326">
        <v>19.2</v>
      </c>
      <c r="C326">
        <f t="shared" si="15"/>
        <v>1.318669711060682</v>
      </c>
      <c r="D326" t="str">
        <f t="shared" si="16"/>
        <v>No</v>
      </c>
      <c r="E326">
        <f t="shared" si="17"/>
        <v>0.66666666666666663</v>
      </c>
    </row>
    <row r="327" spans="1:5" x14ac:dyDescent="0.3">
      <c r="A327" t="s">
        <v>203</v>
      </c>
      <c r="B327">
        <v>17.2</v>
      </c>
      <c r="C327">
        <f t="shared" si="15"/>
        <v>0.592511917906549</v>
      </c>
      <c r="D327" t="str">
        <f t="shared" si="16"/>
        <v>No</v>
      </c>
      <c r="E327">
        <f t="shared" si="17"/>
        <v>0.54761904761904756</v>
      </c>
    </row>
    <row r="328" spans="1:5" x14ac:dyDescent="0.3">
      <c r="A328" t="s">
        <v>201</v>
      </c>
      <c r="B328">
        <v>15.8</v>
      </c>
      <c r="C328">
        <f t="shared" si="15"/>
        <v>8.4201462698656485E-2</v>
      </c>
      <c r="D328" t="str">
        <f t="shared" si="16"/>
        <v>No</v>
      </c>
      <c r="E328">
        <f t="shared" si="17"/>
        <v>0.4642857142857143</v>
      </c>
    </row>
    <row r="329" spans="1:5" x14ac:dyDescent="0.3">
      <c r="A329" t="s">
        <v>204</v>
      </c>
      <c r="B329">
        <v>17.2</v>
      </c>
      <c r="C329">
        <f t="shared" si="15"/>
        <v>0.592511917906549</v>
      </c>
      <c r="D329" t="str">
        <f t="shared" si="16"/>
        <v>No</v>
      </c>
      <c r="E329">
        <f t="shared" si="17"/>
        <v>0.54761904761904756</v>
      </c>
    </row>
    <row r="330" spans="1:5" x14ac:dyDescent="0.3">
      <c r="A330" t="s">
        <v>206</v>
      </c>
      <c r="B330">
        <v>16.7</v>
      </c>
      <c r="C330">
        <f t="shared" si="15"/>
        <v>0.41097246961801576</v>
      </c>
      <c r="D330" t="str">
        <f t="shared" si="16"/>
        <v>No</v>
      </c>
      <c r="E330">
        <f t="shared" si="17"/>
        <v>0.51785714285714279</v>
      </c>
    </row>
    <row r="331" spans="1:5" x14ac:dyDescent="0.3">
      <c r="A331" t="s">
        <v>210</v>
      </c>
      <c r="B331">
        <v>11.2</v>
      </c>
      <c r="C331">
        <f t="shared" si="15"/>
        <v>-1.5859614615558497</v>
      </c>
      <c r="D331" t="str">
        <f t="shared" si="16"/>
        <v>No</v>
      </c>
      <c r="E331">
        <f t="shared" si="17"/>
        <v>0.19047619047619044</v>
      </c>
    </row>
    <row r="332" spans="1:5" x14ac:dyDescent="0.3">
      <c r="A332" t="s">
        <v>181</v>
      </c>
      <c r="B332">
        <v>13.2</v>
      </c>
      <c r="C332">
        <f t="shared" si="15"/>
        <v>-0.85980366840171685</v>
      </c>
      <c r="D332" t="str">
        <f t="shared" si="16"/>
        <v>No</v>
      </c>
      <c r="E332">
        <f t="shared" si="17"/>
        <v>0.30952380952380948</v>
      </c>
    </row>
    <row r="333" spans="1:5" x14ac:dyDescent="0.3">
      <c r="A333" t="s">
        <v>199</v>
      </c>
      <c r="B333">
        <v>12.8</v>
      </c>
      <c r="C333">
        <f t="shared" si="15"/>
        <v>-1.0050352270325429</v>
      </c>
      <c r="D333" t="str">
        <f t="shared" si="16"/>
        <v>No</v>
      </c>
      <c r="E333">
        <f t="shared" si="17"/>
        <v>0.28571428571428575</v>
      </c>
    </row>
    <row r="334" spans="1:5" x14ac:dyDescent="0.3">
      <c r="A334" t="s">
        <v>198</v>
      </c>
      <c r="B334">
        <v>13.2</v>
      </c>
      <c r="C334">
        <f t="shared" si="15"/>
        <v>-0.85980366840171685</v>
      </c>
      <c r="D334" t="str">
        <f t="shared" si="16"/>
        <v>No</v>
      </c>
      <c r="E334">
        <f t="shared" si="17"/>
        <v>0.30952380952380948</v>
      </c>
    </row>
    <row r="335" spans="1:5" x14ac:dyDescent="0.3">
      <c r="A335" t="s">
        <v>211</v>
      </c>
      <c r="B335">
        <v>13.7</v>
      </c>
      <c r="C335">
        <f t="shared" si="15"/>
        <v>-0.67826422011318355</v>
      </c>
      <c r="D335" t="str">
        <f t="shared" si="16"/>
        <v>No</v>
      </c>
      <c r="E335">
        <f t="shared" si="17"/>
        <v>0.33928571428571425</v>
      </c>
    </row>
    <row r="336" spans="1:5" x14ac:dyDescent="0.3">
      <c r="A336" t="s">
        <v>197</v>
      </c>
      <c r="B336">
        <v>15.5</v>
      </c>
      <c r="C336">
        <f t="shared" si="15"/>
        <v>-2.4722206274463705E-2</v>
      </c>
      <c r="D336" t="str">
        <f t="shared" si="16"/>
        <v>No</v>
      </c>
      <c r="E336">
        <f t="shared" si="17"/>
        <v>0.4464285714285714</v>
      </c>
    </row>
    <row r="337" spans="1:5" x14ac:dyDescent="0.3">
      <c r="A337" t="s">
        <v>236</v>
      </c>
      <c r="B337">
        <v>14.4</v>
      </c>
      <c r="C337">
        <f t="shared" si="15"/>
        <v>-0.42410899250923667</v>
      </c>
      <c r="D337" t="str">
        <f t="shared" si="16"/>
        <v>No</v>
      </c>
      <c r="E337">
        <f t="shared" si="17"/>
        <v>0.38095238095238093</v>
      </c>
    </row>
    <row r="338" spans="1:5" x14ac:dyDescent="0.3">
      <c r="A338" t="s">
        <v>247</v>
      </c>
      <c r="B338">
        <v>13.2</v>
      </c>
      <c r="C338">
        <f t="shared" si="15"/>
        <v>-0.85980366840171685</v>
      </c>
      <c r="D338" t="str">
        <f t="shared" si="16"/>
        <v>No</v>
      </c>
      <c r="E338">
        <f t="shared" si="17"/>
        <v>0.30952380952380948</v>
      </c>
    </row>
    <row r="339" spans="1:5" x14ac:dyDescent="0.3">
      <c r="A339" t="s">
        <v>244</v>
      </c>
      <c r="B339">
        <v>16</v>
      </c>
      <c r="C339">
        <f t="shared" si="15"/>
        <v>0.15681724201406952</v>
      </c>
      <c r="D339" t="str">
        <f t="shared" si="16"/>
        <v>No</v>
      </c>
      <c r="E339">
        <f t="shared" si="17"/>
        <v>0.47619047619047616</v>
      </c>
    </row>
    <row r="340" spans="1:5" x14ac:dyDescent="0.3">
      <c r="A340" t="s">
        <v>241</v>
      </c>
      <c r="B340">
        <v>14.9</v>
      </c>
      <c r="C340">
        <f t="shared" si="15"/>
        <v>-0.24256954422070345</v>
      </c>
      <c r="D340" t="str">
        <f t="shared" si="16"/>
        <v>No</v>
      </c>
      <c r="E340">
        <f t="shared" si="17"/>
        <v>0.4107142857142857</v>
      </c>
    </row>
    <row r="341" spans="1:5" x14ac:dyDescent="0.3">
      <c r="A341" t="s">
        <v>240</v>
      </c>
      <c r="B341">
        <v>13.2</v>
      </c>
      <c r="C341">
        <f t="shared" si="15"/>
        <v>-0.85980366840171685</v>
      </c>
      <c r="D341" t="str">
        <f t="shared" si="16"/>
        <v>No</v>
      </c>
      <c r="E341">
        <f t="shared" si="17"/>
        <v>0.30952380952380948</v>
      </c>
    </row>
    <row r="342" spans="1:5" x14ac:dyDescent="0.3">
      <c r="A342" t="s">
        <v>226</v>
      </c>
      <c r="B342">
        <v>17.3</v>
      </c>
      <c r="C342">
        <f t="shared" si="15"/>
        <v>0.62881980756425615</v>
      </c>
      <c r="D342" t="str">
        <f t="shared" si="16"/>
        <v>No</v>
      </c>
      <c r="E342">
        <f t="shared" si="17"/>
        <v>0.5535714285714286</v>
      </c>
    </row>
    <row r="343" spans="1:5" x14ac:dyDescent="0.3">
      <c r="A343" t="s">
        <v>237</v>
      </c>
      <c r="B343">
        <v>15</v>
      </c>
      <c r="C343">
        <f t="shared" si="15"/>
        <v>-0.20626165456299694</v>
      </c>
      <c r="D343" t="str">
        <f t="shared" si="16"/>
        <v>No</v>
      </c>
      <c r="E343">
        <f t="shared" si="17"/>
        <v>0.41666666666666663</v>
      </c>
    </row>
    <row r="344" spans="1:5" x14ac:dyDescent="0.3">
      <c r="A344" t="s">
        <v>245</v>
      </c>
      <c r="B344">
        <v>11.3</v>
      </c>
      <c r="C344">
        <f t="shared" si="15"/>
        <v>-1.5496535718981426</v>
      </c>
      <c r="D344" t="str">
        <f t="shared" si="16"/>
        <v>No</v>
      </c>
      <c r="E344">
        <f t="shared" si="17"/>
        <v>0.19642857142857145</v>
      </c>
    </row>
    <row r="345" spans="1:5" x14ac:dyDescent="0.3">
      <c r="A345" t="s">
        <v>246</v>
      </c>
      <c r="B345">
        <v>12.9</v>
      </c>
      <c r="C345">
        <f t="shared" si="15"/>
        <v>-0.96872733737483641</v>
      </c>
      <c r="D345" t="str">
        <f t="shared" si="16"/>
        <v>No</v>
      </c>
      <c r="E345">
        <f t="shared" si="17"/>
        <v>0.29166666666666669</v>
      </c>
    </row>
    <row r="346" spans="1:5" x14ac:dyDescent="0.3">
      <c r="A346" t="s">
        <v>224</v>
      </c>
      <c r="B346">
        <v>15.4</v>
      </c>
      <c r="C346">
        <f t="shared" si="15"/>
        <v>-6.1030095932170222E-2</v>
      </c>
      <c r="D346" t="str">
        <f t="shared" si="16"/>
        <v>No</v>
      </c>
      <c r="E346">
        <f t="shared" si="17"/>
        <v>0.44047619047619047</v>
      </c>
    </row>
    <row r="347" spans="1:5" x14ac:dyDescent="0.3">
      <c r="A347" t="s">
        <v>228</v>
      </c>
      <c r="B347">
        <v>16.600000000000001</v>
      </c>
      <c r="C347">
        <f t="shared" si="15"/>
        <v>0.37466457996030988</v>
      </c>
      <c r="D347" t="str">
        <f t="shared" si="16"/>
        <v>No</v>
      </c>
      <c r="E347">
        <f t="shared" si="17"/>
        <v>0.51190476190476197</v>
      </c>
    </row>
    <row r="348" spans="1:5" x14ac:dyDescent="0.3">
      <c r="A348" t="s">
        <v>225</v>
      </c>
      <c r="B348">
        <v>18.2</v>
      </c>
      <c r="C348">
        <f t="shared" si="15"/>
        <v>0.95559081448361549</v>
      </c>
      <c r="D348" t="str">
        <f t="shared" si="16"/>
        <v>No</v>
      </c>
      <c r="E348">
        <f t="shared" si="17"/>
        <v>0.6071428571428571</v>
      </c>
    </row>
    <row r="349" spans="1:5" x14ac:dyDescent="0.3">
      <c r="A349" t="s">
        <v>227</v>
      </c>
      <c r="B349">
        <v>18.2</v>
      </c>
      <c r="C349">
        <f t="shared" si="15"/>
        <v>0.95559081448361549</v>
      </c>
      <c r="D349" t="str">
        <f t="shared" si="16"/>
        <v>No</v>
      </c>
      <c r="E349">
        <f t="shared" si="17"/>
        <v>0.6071428571428571</v>
      </c>
    </row>
    <row r="350" spans="1:5" x14ac:dyDescent="0.3">
      <c r="A350" t="s">
        <v>233</v>
      </c>
      <c r="B350">
        <v>13</v>
      </c>
      <c r="C350">
        <f t="shared" si="15"/>
        <v>-0.93241944771712981</v>
      </c>
      <c r="D350" t="str">
        <f t="shared" si="16"/>
        <v>No</v>
      </c>
      <c r="E350">
        <f t="shared" si="17"/>
        <v>0.29761904761904762</v>
      </c>
    </row>
    <row r="351" spans="1:5" x14ac:dyDescent="0.3">
      <c r="A351" t="s">
        <v>23</v>
      </c>
      <c r="B351">
        <v>14.9</v>
      </c>
      <c r="C351">
        <f t="shared" si="15"/>
        <v>-0.24256954422070345</v>
      </c>
      <c r="D351" t="str">
        <f t="shared" si="16"/>
        <v>No</v>
      </c>
      <c r="E351">
        <f t="shared" si="17"/>
        <v>0.4107142857142857</v>
      </c>
    </row>
    <row r="352" spans="1:5" x14ac:dyDescent="0.3">
      <c r="A352" t="s">
        <v>231</v>
      </c>
      <c r="B352">
        <v>15.2</v>
      </c>
      <c r="C352">
        <f t="shared" si="15"/>
        <v>-0.1336458752475839</v>
      </c>
      <c r="D352" t="str">
        <f t="shared" si="16"/>
        <v>No</v>
      </c>
      <c r="E352">
        <f t="shared" si="17"/>
        <v>0.42857142857142849</v>
      </c>
    </row>
    <row r="353" spans="1:5" x14ac:dyDescent="0.3">
      <c r="A353" t="s">
        <v>49</v>
      </c>
      <c r="B353">
        <v>14.3</v>
      </c>
      <c r="C353">
        <f t="shared" si="15"/>
        <v>-0.46041688216694321</v>
      </c>
      <c r="D353" t="str">
        <f t="shared" si="16"/>
        <v>No</v>
      </c>
      <c r="E353">
        <f t="shared" si="17"/>
        <v>0.375</v>
      </c>
    </row>
    <row r="354" spans="1:5" x14ac:dyDescent="0.3">
      <c r="A354" t="s">
        <v>230</v>
      </c>
      <c r="B354">
        <v>13.2</v>
      </c>
      <c r="C354">
        <f t="shared" si="15"/>
        <v>-0.85980366840171685</v>
      </c>
      <c r="D354" t="str">
        <f t="shared" si="16"/>
        <v>No</v>
      </c>
      <c r="E354">
        <f t="shared" si="17"/>
        <v>0.30952380952380948</v>
      </c>
    </row>
    <row r="355" spans="1:5" x14ac:dyDescent="0.3">
      <c r="A355" t="s">
        <v>232</v>
      </c>
      <c r="B355">
        <v>15</v>
      </c>
      <c r="C355">
        <f t="shared" si="15"/>
        <v>-0.20626165456299694</v>
      </c>
      <c r="D355" t="str">
        <f t="shared" si="16"/>
        <v>No</v>
      </c>
      <c r="E355">
        <f t="shared" si="17"/>
        <v>0.41666666666666663</v>
      </c>
    </row>
    <row r="356" spans="1:5" x14ac:dyDescent="0.3">
      <c r="A356" t="s">
        <v>229</v>
      </c>
      <c r="B356">
        <v>13.4</v>
      </c>
      <c r="C356">
        <f t="shared" si="15"/>
        <v>-0.78718788908630311</v>
      </c>
      <c r="D356" t="str">
        <f t="shared" si="16"/>
        <v>No</v>
      </c>
      <c r="E356">
        <f t="shared" si="17"/>
        <v>0.32142857142857145</v>
      </c>
    </row>
    <row r="357" spans="1:5" x14ac:dyDescent="0.3">
      <c r="A357" t="s">
        <v>92</v>
      </c>
      <c r="B357">
        <v>15.4</v>
      </c>
      <c r="C357">
        <f t="shared" si="15"/>
        <v>-6.1030095932170222E-2</v>
      </c>
      <c r="D357" t="str">
        <f t="shared" si="16"/>
        <v>No</v>
      </c>
      <c r="E357">
        <f t="shared" si="17"/>
        <v>0.44047619047619047</v>
      </c>
    </row>
    <row r="358" spans="1:5" x14ac:dyDescent="0.3">
      <c r="A358" t="s">
        <v>239</v>
      </c>
      <c r="B358">
        <v>17.399999999999999</v>
      </c>
      <c r="C358">
        <f t="shared" si="15"/>
        <v>0.66512769722196208</v>
      </c>
      <c r="D358" t="str">
        <f t="shared" si="16"/>
        <v>No</v>
      </c>
      <c r="E358">
        <f t="shared" si="17"/>
        <v>0.55952380952380942</v>
      </c>
    </row>
    <row r="359" spans="1:5" x14ac:dyDescent="0.3">
      <c r="A359" t="s">
        <v>197</v>
      </c>
      <c r="B359">
        <v>22.2</v>
      </c>
      <c r="C359">
        <f t="shared" si="15"/>
        <v>2.4079064007918811</v>
      </c>
      <c r="D359" t="str">
        <f t="shared" si="16"/>
        <v>Yes</v>
      </c>
      <c r="E359">
        <f t="shared" si="17"/>
        <v>0.84523809523809512</v>
      </c>
    </row>
    <row r="360" spans="1:5" x14ac:dyDescent="0.3">
      <c r="A360" t="s">
        <v>128</v>
      </c>
      <c r="B360">
        <v>14.4</v>
      </c>
      <c r="C360">
        <f t="shared" si="15"/>
        <v>-0.42410899250923667</v>
      </c>
      <c r="D360" t="str">
        <f t="shared" si="16"/>
        <v>No</v>
      </c>
      <c r="E360">
        <f t="shared" si="17"/>
        <v>0.38095238095238093</v>
      </c>
    </row>
    <row r="361" spans="1:5" x14ac:dyDescent="0.3">
      <c r="A361" t="s">
        <v>245</v>
      </c>
      <c r="B361">
        <v>16.5</v>
      </c>
      <c r="C361">
        <f t="shared" si="15"/>
        <v>0.33835669030260274</v>
      </c>
      <c r="D361" t="str">
        <f t="shared" si="16"/>
        <v>No</v>
      </c>
      <c r="E361">
        <f t="shared" si="17"/>
        <v>0.50595238095238093</v>
      </c>
    </row>
    <row r="362" spans="1:5" x14ac:dyDescent="0.3">
      <c r="A362" t="s">
        <v>153</v>
      </c>
      <c r="B362">
        <v>15.5</v>
      </c>
      <c r="C362">
        <f t="shared" si="15"/>
        <v>-2.4722206274463705E-2</v>
      </c>
      <c r="D362" t="str">
        <f t="shared" si="16"/>
        <v>No</v>
      </c>
      <c r="E362">
        <f t="shared" si="17"/>
        <v>0.4464285714285714</v>
      </c>
    </row>
    <row r="363" spans="1:5" x14ac:dyDescent="0.3">
      <c r="A363" t="s">
        <v>250</v>
      </c>
      <c r="B363">
        <v>18.100000000000001</v>
      </c>
      <c r="C363">
        <f t="shared" si="15"/>
        <v>0.91928292482590956</v>
      </c>
      <c r="D363" t="str">
        <f t="shared" si="16"/>
        <v>No</v>
      </c>
      <c r="E363">
        <f t="shared" si="17"/>
        <v>0.60119047619047628</v>
      </c>
    </row>
    <row r="364" spans="1:5" x14ac:dyDescent="0.3">
      <c r="A364" t="s">
        <v>204</v>
      </c>
      <c r="B364">
        <v>20.100000000000001</v>
      </c>
      <c r="C364">
        <f t="shared" si="15"/>
        <v>1.6454407179800425</v>
      </c>
      <c r="D364" t="str">
        <f t="shared" si="16"/>
        <v>No</v>
      </c>
      <c r="E364">
        <f t="shared" si="17"/>
        <v>0.72023809523809534</v>
      </c>
    </row>
    <row r="365" spans="1:5" x14ac:dyDescent="0.3">
      <c r="A365" t="s">
        <v>266</v>
      </c>
      <c r="B365">
        <v>14.3</v>
      </c>
      <c r="C365">
        <f t="shared" si="15"/>
        <v>-0.46041688216694321</v>
      </c>
      <c r="D365" t="str">
        <f t="shared" si="16"/>
        <v>No</v>
      </c>
      <c r="E365">
        <f t="shared" si="17"/>
        <v>0.375</v>
      </c>
    </row>
    <row r="366" spans="1:5" x14ac:dyDescent="0.3">
      <c r="A366" t="s">
        <v>207</v>
      </c>
      <c r="B366">
        <v>18.7</v>
      </c>
      <c r="C366">
        <f t="shared" si="15"/>
        <v>1.1371302627721487</v>
      </c>
      <c r="D366" t="str">
        <f t="shared" si="16"/>
        <v>No</v>
      </c>
      <c r="E366">
        <f t="shared" si="17"/>
        <v>0.63690476190476186</v>
      </c>
    </row>
    <row r="367" spans="1:5" x14ac:dyDescent="0.3">
      <c r="A367" t="s">
        <v>268</v>
      </c>
      <c r="B367">
        <v>12.9</v>
      </c>
      <c r="C367">
        <f t="shared" si="15"/>
        <v>-0.96872733737483641</v>
      </c>
      <c r="D367" t="str">
        <f t="shared" si="16"/>
        <v>No</v>
      </c>
      <c r="E367">
        <f t="shared" si="17"/>
        <v>0.29166666666666669</v>
      </c>
    </row>
    <row r="368" spans="1:5" x14ac:dyDescent="0.3">
      <c r="A368" t="s">
        <v>269</v>
      </c>
      <c r="B368">
        <v>14.4</v>
      </c>
      <c r="C368">
        <f t="shared" si="15"/>
        <v>-0.42410899250923667</v>
      </c>
      <c r="D368" t="str">
        <f t="shared" si="16"/>
        <v>No</v>
      </c>
      <c r="E368">
        <f t="shared" si="17"/>
        <v>0.38095238095238093</v>
      </c>
    </row>
    <row r="369" spans="1:5" x14ac:dyDescent="0.3">
      <c r="A369" t="s">
        <v>271</v>
      </c>
      <c r="B369">
        <v>16.399999999999999</v>
      </c>
      <c r="C369">
        <f t="shared" si="15"/>
        <v>0.30204880064489559</v>
      </c>
      <c r="D369" t="str">
        <f t="shared" si="16"/>
        <v>No</v>
      </c>
      <c r="E369">
        <f t="shared" si="17"/>
        <v>0.49999999999999989</v>
      </c>
    </row>
    <row r="370" spans="1:5" x14ac:dyDescent="0.3">
      <c r="A370" t="s">
        <v>268</v>
      </c>
      <c r="B370">
        <v>15.7</v>
      </c>
      <c r="C370">
        <f t="shared" si="15"/>
        <v>4.7893573040949329E-2</v>
      </c>
      <c r="D370" t="str">
        <f t="shared" si="16"/>
        <v>No</v>
      </c>
      <c r="E370">
        <f t="shared" si="17"/>
        <v>0.45833333333333326</v>
      </c>
    </row>
    <row r="371" spans="1:5" x14ac:dyDescent="0.3">
      <c r="A371" t="s">
        <v>177</v>
      </c>
      <c r="B371">
        <v>16.399999999999999</v>
      </c>
      <c r="C371">
        <f t="shared" si="15"/>
        <v>0.30204880064489559</v>
      </c>
      <c r="D371" t="str">
        <f t="shared" si="16"/>
        <v>No</v>
      </c>
      <c r="E371">
        <f t="shared" si="17"/>
        <v>0.49999999999999989</v>
      </c>
    </row>
    <row r="372" spans="1:5" x14ac:dyDescent="0.3">
      <c r="A372" t="s">
        <v>277</v>
      </c>
      <c r="B372">
        <v>16.2</v>
      </c>
      <c r="C372">
        <f t="shared" si="15"/>
        <v>0.22943302132948254</v>
      </c>
      <c r="D372" t="str">
        <f t="shared" si="16"/>
        <v>No</v>
      </c>
      <c r="E372">
        <f t="shared" si="17"/>
        <v>0.48809523809523803</v>
      </c>
    </row>
    <row r="373" spans="1:5" x14ac:dyDescent="0.3">
      <c r="A373" t="s">
        <v>276</v>
      </c>
      <c r="B373">
        <v>14.9</v>
      </c>
      <c r="C373">
        <f t="shared" si="15"/>
        <v>-0.24256954422070345</v>
      </c>
      <c r="D373" t="str">
        <f t="shared" si="16"/>
        <v>No</v>
      </c>
      <c r="E373">
        <f t="shared" si="17"/>
        <v>0.4107142857142857</v>
      </c>
    </row>
    <row r="374" spans="1:5" x14ac:dyDescent="0.3">
      <c r="A374" t="s">
        <v>278</v>
      </c>
      <c r="B374">
        <v>20.7</v>
      </c>
      <c r="C374">
        <f t="shared" si="15"/>
        <v>1.8632880559262817</v>
      </c>
      <c r="D374" t="str">
        <f t="shared" si="16"/>
        <v>No</v>
      </c>
      <c r="E374">
        <f t="shared" si="17"/>
        <v>0.75595238095238093</v>
      </c>
    </row>
    <row r="375" spans="1:5" x14ac:dyDescent="0.3">
      <c r="A375" t="s">
        <v>245</v>
      </c>
      <c r="B375">
        <v>12.6</v>
      </c>
      <c r="C375">
        <f t="shared" si="15"/>
        <v>-1.0776510063479565</v>
      </c>
      <c r="D375" t="str">
        <f t="shared" si="16"/>
        <v>No</v>
      </c>
      <c r="E375">
        <f t="shared" si="17"/>
        <v>0.27380952380952378</v>
      </c>
    </row>
    <row r="376" spans="1:5" x14ac:dyDescent="0.3">
      <c r="A376" t="s">
        <v>137</v>
      </c>
      <c r="B376">
        <v>15.8</v>
      </c>
      <c r="C376">
        <f t="shared" si="15"/>
        <v>8.4201462698656485E-2</v>
      </c>
      <c r="D376" t="str">
        <f t="shared" si="16"/>
        <v>No</v>
      </c>
      <c r="E376">
        <f t="shared" si="17"/>
        <v>0.4642857142857143</v>
      </c>
    </row>
    <row r="377" spans="1:5" x14ac:dyDescent="0.3">
      <c r="A377" t="s">
        <v>288</v>
      </c>
      <c r="B377">
        <v>17.100000000000001</v>
      </c>
      <c r="C377">
        <f t="shared" si="15"/>
        <v>0.55620402824884319</v>
      </c>
      <c r="D377" t="str">
        <f t="shared" si="16"/>
        <v>No</v>
      </c>
      <c r="E377">
        <f t="shared" si="17"/>
        <v>0.54166666666666674</v>
      </c>
    </row>
    <row r="378" spans="1:5" x14ac:dyDescent="0.3">
      <c r="A378" t="s">
        <v>289</v>
      </c>
      <c r="B378">
        <v>16.600000000000001</v>
      </c>
      <c r="C378">
        <f t="shared" si="15"/>
        <v>0.37466457996030988</v>
      </c>
      <c r="D378" t="str">
        <f t="shared" si="16"/>
        <v>No</v>
      </c>
      <c r="E378">
        <f t="shared" si="17"/>
        <v>0.51190476190476197</v>
      </c>
    </row>
    <row r="379" spans="1:5" x14ac:dyDescent="0.3">
      <c r="A379" t="s">
        <v>287</v>
      </c>
      <c r="B379">
        <v>19</v>
      </c>
      <c r="C379">
        <f t="shared" si="15"/>
        <v>1.2460539317452688</v>
      </c>
      <c r="D379" t="str">
        <f t="shared" si="16"/>
        <v>No</v>
      </c>
      <c r="E379">
        <f t="shared" si="17"/>
        <v>0.65476190476190477</v>
      </c>
    </row>
    <row r="380" spans="1:5" x14ac:dyDescent="0.3">
      <c r="A380" t="s">
        <v>292</v>
      </c>
      <c r="B380">
        <v>18</v>
      </c>
      <c r="C380">
        <f t="shared" si="15"/>
        <v>0.88297503516820242</v>
      </c>
      <c r="D380" t="str">
        <f t="shared" si="16"/>
        <v>No</v>
      </c>
      <c r="E380">
        <f t="shared" si="17"/>
        <v>0.59523809523809523</v>
      </c>
    </row>
    <row r="381" spans="1:5" x14ac:dyDescent="0.3">
      <c r="A381" t="s">
        <v>314</v>
      </c>
      <c r="B381">
        <v>11.6</v>
      </c>
      <c r="C381">
        <f t="shared" si="15"/>
        <v>-1.4407299029250229</v>
      </c>
      <c r="D381" t="str">
        <f t="shared" si="16"/>
        <v>No</v>
      </c>
      <c r="E381">
        <f t="shared" si="17"/>
        <v>0.21428571428571425</v>
      </c>
    </row>
    <row r="382" spans="1:5" x14ac:dyDescent="0.3">
      <c r="A382" t="s">
        <v>307</v>
      </c>
      <c r="B382">
        <v>14.5</v>
      </c>
      <c r="C382">
        <f t="shared" si="15"/>
        <v>-0.38780110285153013</v>
      </c>
      <c r="D382" t="str">
        <f t="shared" si="16"/>
        <v>No</v>
      </c>
      <c r="E382">
        <f t="shared" si="17"/>
        <v>0.38690476190476186</v>
      </c>
    </row>
    <row r="383" spans="1:5" x14ac:dyDescent="0.3">
      <c r="A383" t="s">
        <v>310</v>
      </c>
      <c r="B383">
        <v>13</v>
      </c>
      <c r="C383">
        <f t="shared" si="15"/>
        <v>-0.93241944771712981</v>
      </c>
      <c r="D383" t="str">
        <f t="shared" si="16"/>
        <v>No</v>
      </c>
      <c r="E383">
        <f t="shared" si="17"/>
        <v>0.29761904761904762</v>
      </c>
    </row>
    <row r="384" spans="1:5" x14ac:dyDescent="0.3">
      <c r="A384" t="s">
        <v>290</v>
      </c>
      <c r="B384">
        <v>19.600000000000001</v>
      </c>
      <c r="C384">
        <f t="shared" si="15"/>
        <v>1.4639012696915092</v>
      </c>
      <c r="D384" t="str">
        <f t="shared" si="16"/>
        <v>No</v>
      </c>
      <c r="E384">
        <f t="shared" si="17"/>
        <v>0.69047619047619058</v>
      </c>
    </row>
    <row r="385" spans="1:5" x14ac:dyDescent="0.3">
      <c r="A385" t="s">
        <v>291</v>
      </c>
      <c r="B385">
        <v>18.600000000000001</v>
      </c>
      <c r="C385">
        <f t="shared" si="15"/>
        <v>1.1008223731144429</v>
      </c>
      <c r="D385" t="str">
        <f t="shared" si="16"/>
        <v>No</v>
      </c>
      <c r="E385">
        <f t="shared" si="17"/>
        <v>0.63095238095238104</v>
      </c>
    </row>
    <row r="386" spans="1:5" x14ac:dyDescent="0.3">
      <c r="A386" t="s">
        <v>294</v>
      </c>
      <c r="B386">
        <v>16</v>
      </c>
      <c r="C386">
        <f t="shared" si="15"/>
        <v>0.15681724201406952</v>
      </c>
      <c r="D386" t="str">
        <f t="shared" si="16"/>
        <v>No</v>
      </c>
      <c r="E386">
        <f t="shared" si="17"/>
        <v>0.47619047619047616</v>
      </c>
    </row>
    <row r="387" spans="1:5" x14ac:dyDescent="0.3">
      <c r="A387" t="s">
        <v>293</v>
      </c>
      <c r="B387">
        <v>16.2</v>
      </c>
      <c r="C387">
        <f t="shared" ref="C387:C399" si="18">IFERROR((B387-$H$3)/$I$3,"")</f>
        <v>0.22943302132948254</v>
      </c>
      <c r="D387" t="str">
        <f t="shared" ref="D387:D399" si="19">IF(ABS(C387)&gt;2,"Yes","No")</f>
        <v>No</v>
      </c>
      <c r="E387">
        <f t="shared" ref="E387:E399" si="20">IFERROR((B387-$K$3) / ($L$3-$K$3),"")</f>
        <v>0.48809523809523803</v>
      </c>
    </row>
    <row r="388" spans="1:5" x14ac:dyDescent="0.3">
      <c r="A388" t="s">
        <v>301</v>
      </c>
      <c r="B388">
        <v>17.3</v>
      </c>
      <c r="C388">
        <f t="shared" si="18"/>
        <v>0.62881980756425615</v>
      </c>
      <c r="D388" t="str">
        <f t="shared" si="19"/>
        <v>No</v>
      </c>
      <c r="E388">
        <f t="shared" si="20"/>
        <v>0.5535714285714286</v>
      </c>
    </row>
    <row r="389" spans="1:5" x14ac:dyDescent="0.3">
      <c r="A389" t="s">
        <v>247</v>
      </c>
      <c r="B389">
        <v>18</v>
      </c>
      <c r="C389">
        <f t="shared" si="18"/>
        <v>0.88297503516820242</v>
      </c>
      <c r="D389" t="str">
        <f t="shared" si="19"/>
        <v>No</v>
      </c>
      <c r="E389">
        <f t="shared" si="20"/>
        <v>0.59523809523809523</v>
      </c>
    </row>
    <row r="390" spans="1:5" x14ac:dyDescent="0.3">
      <c r="A390" t="s">
        <v>295</v>
      </c>
      <c r="B390">
        <v>16.399999999999999</v>
      </c>
      <c r="C390">
        <f t="shared" si="18"/>
        <v>0.30204880064489559</v>
      </c>
      <c r="D390" t="str">
        <f t="shared" si="19"/>
        <v>No</v>
      </c>
      <c r="E390">
        <f t="shared" si="20"/>
        <v>0.49999999999999989</v>
      </c>
    </row>
    <row r="391" spans="1:5" x14ac:dyDescent="0.3">
      <c r="A391" t="s">
        <v>312</v>
      </c>
      <c r="B391">
        <v>15.6</v>
      </c>
      <c r="C391">
        <f t="shared" si="18"/>
        <v>1.158568338324281E-2</v>
      </c>
      <c r="D391" t="str">
        <f t="shared" si="19"/>
        <v>No</v>
      </c>
      <c r="E391">
        <f t="shared" si="20"/>
        <v>0.45238095238095233</v>
      </c>
    </row>
    <row r="392" spans="1:5" x14ac:dyDescent="0.3">
      <c r="A392" t="s">
        <v>311</v>
      </c>
      <c r="B392">
        <v>17.3</v>
      </c>
      <c r="C392">
        <f t="shared" si="18"/>
        <v>0.62881980756425615</v>
      </c>
      <c r="D392" t="str">
        <f t="shared" si="19"/>
        <v>No</v>
      </c>
      <c r="E392">
        <f t="shared" si="20"/>
        <v>0.5535714285714286</v>
      </c>
    </row>
    <row r="393" spans="1:5" x14ac:dyDescent="0.3">
      <c r="A393" t="s">
        <v>316</v>
      </c>
      <c r="B393">
        <v>19.399999999999999</v>
      </c>
      <c r="C393">
        <f t="shared" si="18"/>
        <v>1.3912854903760949</v>
      </c>
      <c r="D393" t="str">
        <f t="shared" si="19"/>
        <v>No</v>
      </c>
      <c r="E393">
        <f t="shared" si="20"/>
        <v>0.67857142857142849</v>
      </c>
    </row>
    <row r="394" spans="1:5" x14ac:dyDescent="0.3">
      <c r="A394" t="s">
        <v>315</v>
      </c>
      <c r="B394">
        <v>18.600000000000001</v>
      </c>
      <c r="C394">
        <f t="shared" si="18"/>
        <v>1.1008223731144429</v>
      </c>
      <c r="D394" t="str">
        <f t="shared" si="19"/>
        <v>No</v>
      </c>
      <c r="E394">
        <f t="shared" si="20"/>
        <v>0.63095238095238104</v>
      </c>
    </row>
    <row r="395" spans="1:5" x14ac:dyDescent="0.3">
      <c r="A395" t="s">
        <v>300</v>
      </c>
      <c r="B395">
        <v>14.7</v>
      </c>
      <c r="C395">
        <f t="shared" si="18"/>
        <v>-0.31518532353611711</v>
      </c>
      <c r="D395" t="str">
        <f t="shared" si="19"/>
        <v>No</v>
      </c>
      <c r="E395">
        <f t="shared" si="20"/>
        <v>0.39880952380952372</v>
      </c>
    </row>
    <row r="396" spans="1:5" x14ac:dyDescent="0.3">
      <c r="A396" t="s">
        <v>296</v>
      </c>
      <c r="B396">
        <v>20.5</v>
      </c>
      <c r="C396">
        <f t="shared" si="18"/>
        <v>1.7906722766108685</v>
      </c>
      <c r="D396" t="str">
        <f t="shared" si="19"/>
        <v>No</v>
      </c>
      <c r="E396">
        <f t="shared" si="20"/>
        <v>0.74404761904761907</v>
      </c>
    </row>
    <row r="397" spans="1:5" x14ac:dyDescent="0.3">
      <c r="A397" t="s">
        <v>308</v>
      </c>
      <c r="B397">
        <v>14.7</v>
      </c>
      <c r="C397">
        <f t="shared" si="18"/>
        <v>-0.31518532353611711</v>
      </c>
      <c r="D397" t="str">
        <f t="shared" si="19"/>
        <v>No</v>
      </c>
      <c r="E397">
        <f t="shared" si="20"/>
        <v>0.39880952380952372</v>
      </c>
    </row>
    <row r="398" spans="1:5" x14ac:dyDescent="0.3">
      <c r="A398" t="s">
        <v>305</v>
      </c>
      <c r="B398">
        <v>16.399999999999999</v>
      </c>
      <c r="C398">
        <f t="shared" si="18"/>
        <v>0.30204880064489559</v>
      </c>
      <c r="D398" t="str">
        <f t="shared" si="19"/>
        <v>No</v>
      </c>
      <c r="E398">
        <f t="shared" si="20"/>
        <v>0.49999999999999989</v>
      </c>
    </row>
    <row r="399" spans="1:5" x14ac:dyDescent="0.3">
      <c r="A399" t="s">
        <v>306</v>
      </c>
      <c r="B399">
        <v>17</v>
      </c>
      <c r="C399">
        <f t="shared" si="18"/>
        <v>0.51989613859113593</v>
      </c>
      <c r="D399" t="str">
        <f t="shared" si="19"/>
        <v>No</v>
      </c>
      <c r="E399">
        <f t="shared" si="20"/>
        <v>0.5357142857142857</v>
      </c>
    </row>
  </sheetData>
  <conditionalFormatting sqref="D2:D399">
    <cfRule type="cellIs" dxfId="358" priority="1" operator="equal">
      <formula>"Yes"</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6FB37-9E7F-41D4-A65F-7FD05785D03B}">
  <dimension ref="A1:Z399"/>
  <sheetViews>
    <sheetView zoomScale="85" zoomScaleNormal="85" workbookViewId="0">
      <selection activeCell="U33" sqref="U33"/>
    </sheetView>
  </sheetViews>
  <sheetFormatPr defaultRowHeight="14.4" x14ac:dyDescent="0.3"/>
  <cols>
    <col min="1" max="1" width="37" bestFit="1" customWidth="1"/>
    <col min="3" max="3" width="11.6640625" customWidth="1"/>
    <col min="4" max="4" width="12.6640625" customWidth="1"/>
    <col min="5" max="5" width="11.5546875" customWidth="1"/>
    <col min="6" max="6" width="11.77734375" customWidth="1"/>
    <col min="8" max="8" width="16.5546875" bestFit="1" customWidth="1"/>
    <col min="9" max="9" width="12.6640625" bestFit="1" customWidth="1"/>
    <col min="11" max="11" width="16.5546875" bestFit="1" customWidth="1"/>
    <col min="12" max="12" width="12.6640625" bestFit="1" customWidth="1"/>
    <col min="13" max="13" width="11.77734375" bestFit="1" customWidth="1"/>
    <col min="14" max="14" width="16.5546875" bestFit="1" customWidth="1"/>
    <col min="15" max="15" width="12" bestFit="1" customWidth="1"/>
    <col min="17" max="17" width="16.21875" bestFit="1" customWidth="1"/>
    <col min="18" max="18" width="16.33203125" bestFit="1" customWidth="1"/>
    <col min="19" max="19" width="13.44140625" customWidth="1"/>
    <col min="20" max="20" width="13.77734375" customWidth="1"/>
    <col min="23" max="23" width="25" bestFit="1" customWidth="1"/>
    <col min="24" max="24" width="19.109375" bestFit="1" customWidth="1"/>
    <col min="25" max="25" width="10.44140625" bestFit="1" customWidth="1"/>
    <col min="26" max="26" width="17.109375" bestFit="1" customWidth="1"/>
  </cols>
  <sheetData>
    <row r="1" spans="1:11" ht="29.4" thickBot="1" x14ac:dyDescent="0.35">
      <c r="A1" s="1" t="s">
        <v>0</v>
      </c>
      <c r="B1" s="1" t="s">
        <v>1</v>
      </c>
      <c r="C1" s="1" t="s">
        <v>4</v>
      </c>
      <c r="D1" s="1" t="s">
        <v>6</v>
      </c>
      <c r="E1" s="1" t="s">
        <v>7</v>
      </c>
      <c r="F1" s="1" t="s">
        <v>390</v>
      </c>
      <c r="H1" t="s">
        <v>399</v>
      </c>
      <c r="K1" t="s">
        <v>412</v>
      </c>
    </row>
    <row r="2" spans="1:11" x14ac:dyDescent="0.3">
      <c r="A2" t="s">
        <v>35</v>
      </c>
      <c r="B2">
        <v>26</v>
      </c>
      <c r="C2">
        <v>113</v>
      </c>
      <c r="D2">
        <v>12.5</v>
      </c>
      <c r="E2">
        <v>70</v>
      </c>
      <c r="F2" t="str">
        <f t="shared" ref="F2:F65" si="0">IF(AND(C2&gt;100,D2&lt;13,B2&gt;32.5),"High Performance",IF(AND(C2&lt;= 100,C2&gt;=60,D2&gt;=13,D2&lt;=19,B2&gt;=17,B2&lt;=32.5),"Mid Range","Economy"))</f>
        <v>Economy</v>
      </c>
      <c r="H2" s="7" t="s">
        <v>400</v>
      </c>
      <c r="I2" s="7"/>
    </row>
    <row r="3" spans="1:11" x14ac:dyDescent="0.3">
      <c r="A3" t="s">
        <v>34</v>
      </c>
      <c r="B3">
        <v>25</v>
      </c>
      <c r="C3">
        <v>95</v>
      </c>
      <c r="D3">
        <v>17.5</v>
      </c>
      <c r="E3">
        <v>70</v>
      </c>
      <c r="F3" t="str">
        <f t="shared" si="0"/>
        <v>Mid Range</v>
      </c>
    </row>
    <row r="4" spans="1:11" x14ac:dyDescent="0.3">
      <c r="A4" t="s">
        <v>33</v>
      </c>
      <c r="B4">
        <v>24</v>
      </c>
      <c r="C4">
        <v>90</v>
      </c>
      <c r="D4">
        <v>14.5</v>
      </c>
      <c r="E4">
        <v>70</v>
      </c>
      <c r="F4" t="str">
        <f t="shared" si="0"/>
        <v>Mid Range</v>
      </c>
      <c r="H4" t="s">
        <v>362</v>
      </c>
      <c r="I4">
        <v>23.514572864321607</v>
      </c>
    </row>
    <row r="5" spans="1:11" x14ac:dyDescent="0.3">
      <c r="A5" t="s">
        <v>32</v>
      </c>
      <c r="B5">
        <v>25</v>
      </c>
      <c r="C5">
        <v>87</v>
      </c>
      <c r="D5">
        <v>17.5</v>
      </c>
      <c r="E5">
        <v>70</v>
      </c>
      <c r="F5" t="str">
        <f t="shared" si="0"/>
        <v>Mid Range</v>
      </c>
      <c r="H5" t="s">
        <v>391</v>
      </c>
      <c r="I5">
        <v>0.39177989274268959</v>
      </c>
    </row>
    <row r="6" spans="1:11" x14ac:dyDescent="0.3">
      <c r="A6" t="s">
        <v>30</v>
      </c>
      <c r="B6">
        <v>26</v>
      </c>
      <c r="C6">
        <v>46</v>
      </c>
      <c r="D6">
        <v>20.5</v>
      </c>
      <c r="E6">
        <v>70</v>
      </c>
      <c r="F6" t="str">
        <f t="shared" si="0"/>
        <v>Economy</v>
      </c>
      <c r="H6" t="s">
        <v>354</v>
      </c>
      <c r="I6">
        <v>23</v>
      </c>
    </row>
    <row r="7" spans="1:11" x14ac:dyDescent="0.3">
      <c r="A7" t="s">
        <v>56</v>
      </c>
      <c r="B7">
        <v>28</v>
      </c>
      <c r="C7">
        <v>90</v>
      </c>
      <c r="D7">
        <v>14</v>
      </c>
      <c r="E7">
        <v>71</v>
      </c>
      <c r="F7" t="str">
        <f t="shared" si="0"/>
        <v>Mid Range</v>
      </c>
      <c r="H7" t="s">
        <v>392</v>
      </c>
      <c r="I7">
        <v>13</v>
      </c>
    </row>
    <row r="8" spans="1:11" x14ac:dyDescent="0.3">
      <c r="A8" t="s">
        <v>58</v>
      </c>
      <c r="B8">
        <v>30</v>
      </c>
      <c r="C8">
        <v>76</v>
      </c>
      <c r="D8">
        <v>14.5</v>
      </c>
      <c r="E8">
        <v>71</v>
      </c>
      <c r="F8" t="str">
        <f t="shared" si="0"/>
        <v>Mid Range</v>
      </c>
      <c r="H8" t="s">
        <v>393</v>
      </c>
      <c r="I8">
        <v>7.8159843125657824</v>
      </c>
    </row>
    <row r="9" spans="1:11" x14ac:dyDescent="0.3">
      <c r="A9" t="s">
        <v>57</v>
      </c>
      <c r="B9">
        <v>30</v>
      </c>
      <c r="C9">
        <v>70</v>
      </c>
      <c r="D9">
        <v>19.5</v>
      </c>
      <c r="E9">
        <v>71</v>
      </c>
      <c r="F9" t="str">
        <f t="shared" si="0"/>
        <v>Economy</v>
      </c>
      <c r="H9" t="s">
        <v>394</v>
      </c>
      <c r="I9">
        <v>61.089610774274412</v>
      </c>
    </row>
    <row r="10" spans="1:11" x14ac:dyDescent="0.3">
      <c r="A10" t="s">
        <v>61</v>
      </c>
      <c r="B10">
        <v>27</v>
      </c>
      <c r="C10">
        <v>60</v>
      </c>
      <c r="D10">
        <v>19</v>
      </c>
      <c r="E10">
        <v>71</v>
      </c>
      <c r="F10" t="str">
        <f t="shared" si="0"/>
        <v>Mid Range</v>
      </c>
      <c r="H10" t="s">
        <v>395</v>
      </c>
      <c r="I10">
        <v>-0.51078126521231182</v>
      </c>
    </row>
    <row r="11" spans="1:11" x14ac:dyDescent="0.3">
      <c r="A11" t="s">
        <v>78</v>
      </c>
      <c r="B11">
        <v>18</v>
      </c>
      <c r="C11">
        <v>112</v>
      </c>
      <c r="D11">
        <v>14.5</v>
      </c>
      <c r="E11">
        <v>72</v>
      </c>
      <c r="F11" t="str">
        <f t="shared" si="0"/>
        <v>Economy</v>
      </c>
      <c r="H11" t="s">
        <v>396</v>
      </c>
      <c r="I11">
        <v>0.45706634399491886</v>
      </c>
    </row>
    <row r="12" spans="1:11" x14ac:dyDescent="0.3">
      <c r="A12" t="s">
        <v>81</v>
      </c>
      <c r="B12">
        <v>26</v>
      </c>
      <c r="C12">
        <v>69</v>
      </c>
      <c r="D12">
        <v>18</v>
      </c>
      <c r="E12">
        <v>72</v>
      </c>
      <c r="F12" t="str">
        <f t="shared" si="0"/>
        <v>Mid Range</v>
      </c>
      <c r="H12" t="s">
        <v>397</v>
      </c>
      <c r="I12">
        <v>37.6</v>
      </c>
    </row>
    <row r="13" spans="1:11" x14ac:dyDescent="0.3">
      <c r="A13" t="s">
        <v>79</v>
      </c>
      <c r="B13">
        <v>22</v>
      </c>
      <c r="C13">
        <v>76</v>
      </c>
      <c r="D13">
        <v>18</v>
      </c>
      <c r="E13">
        <v>72</v>
      </c>
      <c r="F13" t="str">
        <f t="shared" si="0"/>
        <v>Mid Range</v>
      </c>
      <c r="H13" t="s">
        <v>389</v>
      </c>
      <c r="I13">
        <v>9</v>
      </c>
    </row>
    <row r="14" spans="1:11" x14ac:dyDescent="0.3">
      <c r="A14" t="s">
        <v>80</v>
      </c>
      <c r="B14">
        <v>21</v>
      </c>
      <c r="C14">
        <v>87</v>
      </c>
      <c r="D14">
        <v>19.5</v>
      </c>
      <c r="E14">
        <v>72</v>
      </c>
      <c r="F14" t="str">
        <f t="shared" si="0"/>
        <v>Economy</v>
      </c>
      <c r="H14" t="s">
        <v>356</v>
      </c>
      <c r="I14">
        <v>46.6</v>
      </c>
    </row>
    <row r="15" spans="1:11" x14ac:dyDescent="0.3">
      <c r="A15" t="s">
        <v>65</v>
      </c>
      <c r="B15">
        <v>23</v>
      </c>
      <c r="C15">
        <v>54</v>
      </c>
      <c r="D15">
        <v>23.5</v>
      </c>
      <c r="E15">
        <v>72</v>
      </c>
      <c r="F15" t="str">
        <f t="shared" si="0"/>
        <v>Economy</v>
      </c>
      <c r="H15" t="s">
        <v>363</v>
      </c>
      <c r="I15">
        <v>9358.7999999999993</v>
      </c>
    </row>
    <row r="16" spans="1:11" ht="15" thickBot="1" x14ac:dyDescent="0.35">
      <c r="A16" t="s">
        <v>116</v>
      </c>
      <c r="B16">
        <v>24</v>
      </c>
      <c r="C16">
        <v>110</v>
      </c>
      <c r="D16">
        <v>14</v>
      </c>
      <c r="E16">
        <v>73</v>
      </c>
      <c r="F16" t="str">
        <f t="shared" si="0"/>
        <v>Economy</v>
      </c>
      <c r="H16" s="6" t="s">
        <v>346</v>
      </c>
      <c r="I16" s="6">
        <v>398</v>
      </c>
    </row>
    <row r="17" spans="1:26" x14ac:dyDescent="0.3">
      <c r="A17" t="s">
        <v>108</v>
      </c>
      <c r="B17">
        <v>26</v>
      </c>
      <c r="C17">
        <v>90</v>
      </c>
      <c r="D17">
        <v>15.5</v>
      </c>
      <c r="E17">
        <v>73</v>
      </c>
      <c r="F17" t="str">
        <f t="shared" si="0"/>
        <v>Mid Range</v>
      </c>
    </row>
    <row r="18" spans="1:26" x14ac:dyDescent="0.3">
      <c r="A18" t="s">
        <v>114</v>
      </c>
      <c r="B18">
        <v>19</v>
      </c>
      <c r="C18">
        <v>112</v>
      </c>
      <c r="D18">
        <v>15.5</v>
      </c>
      <c r="E18">
        <v>73</v>
      </c>
      <c r="F18" t="str">
        <f t="shared" si="0"/>
        <v>Economy</v>
      </c>
    </row>
    <row r="19" spans="1:26" ht="15" thickBot="1" x14ac:dyDescent="0.35">
      <c r="A19" t="s">
        <v>113</v>
      </c>
      <c r="B19">
        <v>20</v>
      </c>
      <c r="C19">
        <v>91</v>
      </c>
      <c r="D19">
        <v>14</v>
      </c>
      <c r="E19">
        <v>73</v>
      </c>
      <c r="F19" t="str">
        <f t="shared" si="0"/>
        <v>Mid Range</v>
      </c>
    </row>
    <row r="20" spans="1:26" x14ac:dyDescent="0.3">
      <c r="A20" t="s">
        <v>112</v>
      </c>
      <c r="B20">
        <v>24</v>
      </c>
      <c r="C20">
        <v>75</v>
      </c>
      <c r="D20">
        <v>15.5</v>
      </c>
      <c r="E20">
        <v>73</v>
      </c>
      <c r="F20" t="str">
        <f t="shared" si="0"/>
        <v>Mid Range</v>
      </c>
      <c r="H20" s="7" t="s">
        <v>398</v>
      </c>
      <c r="I20" s="7"/>
      <c r="Q20" t="s">
        <v>402</v>
      </c>
      <c r="W20" t="s">
        <v>420</v>
      </c>
    </row>
    <row r="21" spans="1:26" x14ac:dyDescent="0.3">
      <c r="A21" t="s">
        <v>111</v>
      </c>
      <c r="B21">
        <v>29</v>
      </c>
      <c r="C21">
        <v>49</v>
      </c>
      <c r="D21">
        <v>19.5</v>
      </c>
      <c r="E21">
        <v>73</v>
      </c>
      <c r="F21" t="str">
        <f t="shared" si="0"/>
        <v>Economy</v>
      </c>
      <c r="Q21" t="s">
        <v>403</v>
      </c>
      <c r="R21" t="s">
        <v>404</v>
      </c>
      <c r="S21" t="s">
        <v>405</v>
      </c>
      <c r="T21" t="s">
        <v>400</v>
      </c>
      <c r="U21" t="s">
        <v>346</v>
      </c>
      <c r="W21" s="2" t="s">
        <v>419</v>
      </c>
      <c r="X21" s="2" t="s">
        <v>390</v>
      </c>
    </row>
    <row r="22" spans="1:26" x14ac:dyDescent="0.3">
      <c r="A22" t="s">
        <v>100</v>
      </c>
      <c r="B22">
        <v>26</v>
      </c>
      <c r="C22">
        <v>46</v>
      </c>
      <c r="D22">
        <v>21</v>
      </c>
      <c r="E22">
        <v>73</v>
      </c>
      <c r="F22" t="str">
        <f t="shared" si="0"/>
        <v>Economy</v>
      </c>
      <c r="H22" t="s">
        <v>362</v>
      </c>
      <c r="I22">
        <v>81.532258064516128</v>
      </c>
      <c r="Q22" t="s">
        <v>406</v>
      </c>
      <c r="R22" t="s">
        <v>409</v>
      </c>
      <c r="S22" t="s">
        <v>415</v>
      </c>
      <c r="T22" t="s">
        <v>416</v>
      </c>
      <c r="U22">
        <v>1</v>
      </c>
      <c r="W22" s="2" t="s">
        <v>7</v>
      </c>
      <c r="X22" t="s">
        <v>408</v>
      </c>
      <c r="Y22" t="s">
        <v>407</v>
      </c>
      <c r="Z22" t="s">
        <v>406</v>
      </c>
    </row>
    <row r="23" spans="1:26" x14ac:dyDescent="0.3">
      <c r="A23" t="s">
        <v>125</v>
      </c>
      <c r="B23">
        <v>29</v>
      </c>
      <c r="C23">
        <v>83</v>
      </c>
      <c r="D23">
        <v>16.5</v>
      </c>
      <c r="E23">
        <v>74</v>
      </c>
      <c r="F23" t="str">
        <f t="shared" si="0"/>
        <v>Mid Range</v>
      </c>
      <c r="H23" t="s">
        <v>391</v>
      </c>
      <c r="I23">
        <v>2.6249542557959766</v>
      </c>
      <c r="Q23" t="s">
        <v>407</v>
      </c>
      <c r="R23" t="s">
        <v>410</v>
      </c>
      <c r="S23" t="s">
        <v>414</v>
      </c>
      <c r="T23" t="s">
        <v>417</v>
      </c>
      <c r="U23">
        <v>153</v>
      </c>
      <c r="W23">
        <v>70</v>
      </c>
      <c r="X23">
        <v>20</v>
      </c>
      <c r="Y23">
        <v>9</v>
      </c>
    </row>
    <row r="24" spans="1:26" x14ac:dyDescent="0.3">
      <c r="A24" t="s">
        <v>111</v>
      </c>
      <c r="B24">
        <v>24</v>
      </c>
      <c r="C24">
        <v>75</v>
      </c>
      <c r="D24">
        <v>15.5</v>
      </c>
      <c r="E24">
        <v>74</v>
      </c>
      <c r="F24" t="str">
        <f t="shared" si="0"/>
        <v>Mid Range</v>
      </c>
      <c r="H24" t="s">
        <v>354</v>
      </c>
      <c r="I24">
        <v>78</v>
      </c>
      <c r="Q24" t="s">
        <v>408</v>
      </c>
      <c r="R24" t="s">
        <v>411</v>
      </c>
      <c r="S24" t="s">
        <v>413</v>
      </c>
      <c r="T24" t="s">
        <v>418</v>
      </c>
      <c r="U24">
        <v>244</v>
      </c>
      <c r="W24">
        <v>71</v>
      </c>
      <c r="X24">
        <v>13</v>
      </c>
      <c r="Y24">
        <v>15</v>
      </c>
    </row>
    <row r="25" spans="1:26" x14ac:dyDescent="0.3">
      <c r="A25" t="s">
        <v>126</v>
      </c>
      <c r="B25">
        <v>26</v>
      </c>
      <c r="C25">
        <v>67</v>
      </c>
      <c r="D25">
        <v>15.5</v>
      </c>
      <c r="E25">
        <v>74</v>
      </c>
      <c r="F25" t="str">
        <f t="shared" si="0"/>
        <v>Mid Range</v>
      </c>
      <c r="H25" t="s">
        <v>392</v>
      </c>
      <c r="I25">
        <v>71</v>
      </c>
      <c r="W25">
        <v>72</v>
      </c>
      <c r="X25">
        <v>17</v>
      </c>
      <c r="Y25">
        <v>11</v>
      </c>
    </row>
    <row r="26" spans="1:26" x14ac:dyDescent="0.3">
      <c r="A26" t="s">
        <v>112</v>
      </c>
      <c r="B26">
        <v>26</v>
      </c>
      <c r="C26">
        <v>78</v>
      </c>
      <c r="D26">
        <v>14.5</v>
      </c>
      <c r="E26">
        <v>74</v>
      </c>
      <c r="F26" t="str">
        <f t="shared" si="0"/>
        <v>Mid Range</v>
      </c>
      <c r="H26" t="s">
        <v>393</v>
      </c>
      <c r="I26">
        <v>20.668910479058333</v>
      </c>
      <c r="W26">
        <v>73</v>
      </c>
      <c r="X26">
        <v>29</v>
      </c>
      <c r="Y26">
        <v>11</v>
      </c>
    </row>
    <row r="27" spans="1:26" x14ac:dyDescent="0.3">
      <c r="A27" t="s">
        <v>132</v>
      </c>
      <c r="B27">
        <v>31</v>
      </c>
      <c r="C27">
        <v>67</v>
      </c>
      <c r="D27">
        <v>16</v>
      </c>
      <c r="E27">
        <v>74</v>
      </c>
      <c r="F27" t="str">
        <f t="shared" si="0"/>
        <v>Mid Range</v>
      </c>
      <c r="H27" t="s">
        <v>394</v>
      </c>
      <c r="I27">
        <v>427.2038603913274</v>
      </c>
      <c r="W27">
        <v>74</v>
      </c>
      <c r="X27">
        <v>12</v>
      </c>
      <c r="Y27">
        <v>15</v>
      </c>
    </row>
    <row r="28" spans="1:26" x14ac:dyDescent="0.3">
      <c r="A28" t="s">
        <v>129</v>
      </c>
      <c r="B28">
        <v>26</v>
      </c>
      <c r="C28">
        <v>75</v>
      </c>
      <c r="D28">
        <v>14</v>
      </c>
      <c r="E28">
        <v>74</v>
      </c>
      <c r="F28" t="str">
        <f t="shared" si="0"/>
        <v>Mid Range</v>
      </c>
      <c r="H28" t="s">
        <v>395</v>
      </c>
      <c r="I28">
        <v>-0.22845818194903433</v>
      </c>
      <c r="W28">
        <v>75</v>
      </c>
      <c r="X28">
        <v>15</v>
      </c>
      <c r="Y28">
        <v>15</v>
      </c>
    </row>
    <row r="29" spans="1:26" x14ac:dyDescent="0.3">
      <c r="A29" t="s">
        <v>116</v>
      </c>
      <c r="B29">
        <v>25</v>
      </c>
      <c r="C29">
        <v>115</v>
      </c>
      <c r="D29">
        <v>13.5</v>
      </c>
      <c r="E29">
        <v>75</v>
      </c>
      <c r="F29" t="str">
        <f t="shared" si="0"/>
        <v>Economy</v>
      </c>
      <c r="H29" t="s">
        <v>396</v>
      </c>
      <c r="I29">
        <v>0.38782242954567625</v>
      </c>
      <c r="W29">
        <v>76</v>
      </c>
      <c r="X29">
        <v>20</v>
      </c>
      <c r="Y29">
        <v>14</v>
      </c>
    </row>
    <row r="30" spans="1:26" x14ac:dyDescent="0.3">
      <c r="A30" t="s">
        <v>145</v>
      </c>
      <c r="B30">
        <v>29</v>
      </c>
      <c r="C30">
        <v>70</v>
      </c>
      <c r="D30">
        <v>14</v>
      </c>
      <c r="E30">
        <v>75</v>
      </c>
      <c r="F30" t="str">
        <f t="shared" si="0"/>
        <v>Mid Range</v>
      </c>
      <c r="H30" t="s">
        <v>397</v>
      </c>
      <c r="I30">
        <v>87</v>
      </c>
      <c r="W30">
        <v>77</v>
      </c>
      <c r="X30">
        <v>15</v>
      </c>
      <c r="Y30">
        <v>13</v>
      </c>
    </row>
    <row r="31" spans="1:26" x14ac:dyDescent="0.3">
      <c r="A31" t="s">
        <v>113</v>
      </c>
      <c r="B31">
        <v>23</v>
      </c>
      <c r="C31">
        <v>95</v>
      </c>
      <c r="D31">
        <v>15</v>
      </c>
      <c r="E31">
        <v>75</v>
      </c>
      <c r="F31" t="str">
        <f t="shared" si="0"/>
        <v>Mid Range</v>
      </c>
      <c r="H31" t="s">
        <v>389</v>
      </c>
      <c r="I31">
        <v>46</v>
      </c>
      <c r="W31">
        <v>78</v>
      </c>
      <c r="X31">
        <v>21</v>
      </c>
      <c r="Y31">
        <v>15</v>
      </c>
    </row>
    <row r="32" spans="1:26" x14ac:dyDescent="0.3">
      <c r="A32" t="s">
        <v>147</v>
      </c>
      <c r="B32">
        <v>22</v>
      </c>
      <c r="C32">
        <v>98</v>
      </c>
      <c r="D32">
        <v>14.5</v>
      </c>
      <c r="E32">
        <v>75</v>
      </c>
      <c r="F32" t="str">
        <f t="shared" si="0"/>
        <v>Mid Range</v>
      </c>
      <c r="H32" t="s">
        <v>356</v>
      </c>
      <c r="I32">
        <v>133</v>
      </c>
      <c r="W32">
        <v>79</v>
      </c>
      <c r="X32">
        <v>23</v>
      </c>
      <c r="Y32">
        <v>6</v>
      </c>
    </row>
    <row r="33" spans="1:26" x14ac:dyDescent="0.3">
      <c r="A33" t="s">
        <v>126</v>
      </c>
      <c r="B33">
        <v>25</v>
      </c>
      <c r="C33">
        <v>71</v>
      </c>
      <c r="D33">
        <v>16.5</v>
      </c>
      <c r="E33">
        <v>75</v>
      </c>
      <c r="F33" t="str">
        <f t="shared" si="0"/>
        <v>Mid Range</v>
      </c>
      <c r="H33" t="s">
        <v>363</v>
      </c>
      <c r="I33">
        <v>5055</v>
      </c>
      <c r="W33">
        <v>80</v>
      </c>
      <c r="X33">
        <v>19</v>
      </c>
      <c r="Y33">
        <v>9</v>
      </c>
      <c r="Z33">
        <v>1</v>
      </c>
    </row>
    <row r="34" spans="1:26" ht="15" thickBot="1" x14ac:dyDescent="0.35">
      <c r="A34" t="s">
        <v>32</v>
      </c>
      <c r="B34">
        <v>23</v>
      </c>
      <c r="C34">
        <v>88</v>
      </c>
      <c r="D34">
        <v>17</v>
      </c>
      <c r="E34">
        <v>75</v>
      </c>
      <c r="F34" t="str">
        <f t="shared" si="0"/>
        <v>Mid Range</v>
      </c>
      <c r="H34" s="6" t="s">
        <v>346</v>
      </c>
      <c r="I34" s="6">
        <v>62</v>
      </c>
      <c r="W34">
        <v>81</v>
      </c>
      <c r="X34">
        <v>21</v>
      </c>
      <c r="Y34">
        <v>8</v>
      </c>
    </row>
    <row r="35" spans="1:26" x14ac:dyDescent="0.3">
      <c r="A35" t="s">
        <v>145</v>
      </c>
      <c r="B35">
        <v>29.5</v>
      </c>
      <c r="C35">
        <v>71</v>
      </c>
      <c r="D35">
        <v>12.2</v>
      </c>
      <c r="E35">
        <v>76</v>
      </c>
      <c r="F35" t="str">
        <f t="shared" si="0"/>
        <v>Economy</v>
      </c>
      <c r="W35">
        <v>82</v>
      </c>
      <c r="X35">
        <v>19</v>
      </c>
      <c r="Y35">
        <v>12</v>
      </c>
    </row>
    <row r="36" spans="1:26" x14ac:dyDescent="0.3">
      <c r="A36" t="s">
        <v>151</v>
      </c>
      <c r="B36">
        <v>27</v>
      </c>
      <c r="C36">
        <v>83</v>
      </c>
      <c r="D36">
        <v>15.3</v>
      </c>
      <c r="E36">
        <v>76</v>
      </c>
      <c r="F36" t="str">
        <f t="shared" si="0"/>
        <v>Mid Range</v>
      </c>
    </row>
    <row r="37" spans="1:26" ht="15" thickBot="1" x14ac:dyDescent="0.35">
      <c r="A37" t="s">
        <v>56</v>
      </c>
      <c r="B37">
        <v>25</v>
      </c>
      <c r="C37">
        <v>81</v>
      </c>
      <c r="D37">
        <v>16.899999999999999</v>
      </c>
      <c r="E37">
        <v>76</v>
      </c>
      <c r="F37" t="str">
        <f t="shared" si="0"/>
        <v>Mid Range</v>
      </c>
    </row>
    <row r="38" spans="1:26" x14ac:dyDescent="0.3">
      <c r="A38" t="s">
        <v>155</v>
      </c>
      <c r="B38">
        <v>29</v>
      </c>
      <c r="C38">
        <v>70</v>
      </c>
      <c r="D38">
        <v>14.2</v>
      </c>
      <c r="E38">
        <v>76</v>
      </c>
      <c r="F38" t="str">
        <f t="shared" si="0"/>
        <v>Mid Range</v>
      </c>
      <c r="H38" s="7" t="s">
        <v>401</v>
      </c>
      <c r="I38" s="7"/>
    </row>
    <row r="39" spans="1:26" x14ac:dyDescent="0.3">
      <c r="A39" t="s">
        <v>149</v>
      </c>
      <c r="B39">
        <v>28</v>
      </c>
      <c r="C39">
        <v>86</v>
      </c>
      <c r="D39">
        <v>15.5</v>
      </c>
      <c r="E39">
        <v>76</v>
      </c>
      <c r="F39" t="str">
        <f t="shared" si="0"/>
        <v>Mid Range</v>
      </c>
    </row>
    <row r="40" spans="1:26" x14ac:dyDescent="0.3">
      <c r="A40" t="s">
        <v>161</v>
      </c>
      <c r="B40">
        <v>20</v>
      </c>
      <c r="C40">
        <v>102</v>
      </c>
      <c r="D40">
        <v>15.7</v>
      </c>
      <c r="E40">
        <v>76</v>
      </c>
      <c r="F40" t="str">
        <f t="shared" si="0"/>
        <v>Economy</v>
      </c>
      <c r="H40" t="s">
        <v>362</v>
      </c>
      <c r="I40">
        <v>15.568090452261293</v>
      </c>
    </row>
    <row r="41" spans="1:26" x14ac:dyDescent="0.3">
      <c r="A41" t="s">
        <v>32</v>
      </c>
      <c r="B41">
        <v>19</v>
      </c>
      <c r="C41">
        <v>88</v>
      </c>
      <c r="D41">
        <v>21.9</v>
      </c>
      <c r="E41">
        <v>76</v>
      </c>
      <c r="F41" t="str">
        <f t="shared" si="0"/>
        <v>Economy</v>
      </c>
      <c r="H41" t="s">
        <v>391</v>
      </c>
      <c r="I41">
        <v>0.13823045568333292</v>
      </c>
    </row>
    <row r="42" spans="1:26" x14ac:dyDescent="0.3">
      <c r="A42" t="s">
        <v>163</v>
      </c>
      <c r="B42">
        <v>16.5</v>
      </c>
      <c r="C42">
        <v>120</v>
      </c>
      <c r="D42">
        <v>16.7</v>
      </c>
      <c r="E42">
        <v>76</v>
      </c>
      <c r="F42" t="str">
        <f t="shared" si="0"/>
        <v>Economy</v>
      </c>
      <c r="H42" t="s">
        <v>354</v>
      </c>
      <c r="I42">
        <v>15.5</v>
      </c>
    </row>
    <row r="43" spans="1:26" x14ac:dyDescent="0.3">
      <c r="A43" t="s">
        <v>191</v>
      </c>
      <c r="B43">
        <v>21.5</v>
      </c>
      <c r="C43">
        <v>110</v>
      </c>
      <c r="D43">
        <v>12.8</v>
      </c>
      <c r="E43">
        <v>77</v>
      </c>
      <c r="F43" t="str">
        <f t="shared" si="0"/>
        <v>Economy</v>
      </c>
      <c r="H43" t="s">
        <v>392</v>
      </c>
      <c r="I43">
        <v>14.5</v>
      </c>
    </row>
    <row r="44" spans="1:26" x14ac:dyDescent="0.3">
      <c r="A44" t="s">
        <v>184</v>
      </c>
      <c r="B44">
        <v>29</v>
      </c>
      <c r="C44">
        <v>78</v>
      </c>
      <c r="D44">
        <v>14.5</v>
      </c>
      <c r="E44">
        <v>77</v>
      </c>
      <c r="F44" t="str">
        <f t="shared" si="0"/>
        <v>Mid Range</v>
      </c>
      <c r="H44" t="s">
        <v>393</v>
      </c>
      <c r="I44">
        <v>2.7576889298127703</v>
      </c>
    </row>
    <row r="45" spans="1:26" x14ac:dyDescent="0.3">
      <c r="A45" t="s">
        <v>126</v>
      </c>
      <c r="B45">
        <v>30.5</v>
      </c>
      <c r="C45">
        <v>78</v>
      </c>
      <c r="D45">
        <v>14.1</v>
      </c>
      <c r="E45">
        <v>77</v>
      </c>
      <c r="F45" t="str">
        <f t="shared" si="0"/>
        <v>Mid Range</v>
      </c>
      <c r="H45" t="s">
        <v>394</v>
      </c>
      <c r="I45">
        <v>7.6048482336119019</v>
      </c>
    </row>
    <row r="46" spans="1:26" x14ac:dyDescent="0.3">
      <c r="A46" t="s">
        <v>170</v>
      </c>
      <c r="B46">
        <v>36</v>
      </c>
      <c r="C46">
        <v>58</v>
      </c>
      <c r="D46">
        <v>18.600000000000001</v>
      </c>
      <c r="E46">
        <v>77</v>
      </c>
      <c r="F46" t="str">
        <f t="shared" si="0"/>
        <v>Economy</v>
      </c>
      <c r="H46" t="s">
        <v>395</v>
      </c>
      <c r="I46">
        <v>0.41949688297068732</v>
      </c>
    </row>
    <row r="47" spans="1:26" x14ac:dyDescent="0.3">
      <c r="A47" t="s">
        <v>220</v>
      </c>
      <c r="B47">
        <v>21.6</v>
      </c>
      <c r="C47">
        <v>115</v>
      </c>
      <c r="D47">
        <v>15.7</v>
      </c>
      <c r="E47">
        <v>78</v>
      </c>
      <c r="F47" t="str">
        <f t="shared" si="0"/>
        <v>Economy</v>
      </c>
      <c r="H47" t="s">
        <v>396</v>
      </c>
      <c r="I47">
        <v>0.27877684462590535</v>
      </c>
    </row>
    <row r="48" spans="1:26" x14ac:dyDescent="0.3">
      <c r="A48" t="s">
        <v>222</v>
      </c>
      <c r="B48">
        <v>31.5</v>
      </c>
      <c r="C48">
        <v>71</v>
      </c>
      <c r="D48">
        <v>14.9</v>
      </c>
      <c r="E48">
        <v>78</v>
      </c>
      <c r="F48" t="str">
        <f t="shared" si="0"/>
        <v>Mid Range</v>
      </c>
      <c r="H48" t="s">
        <v>397</v>
      </c>
      <c r="I48">
        <v>16.8</v>
      </c>
    </row>
    <row r="49" spans="1:9" x14ac:dyDescent="0.3">
      <c r="A49" t="s">
        <v>193</v>
      </c>
      <c r="B49">
        <v>43.1</v>
      </c>
      <c r="C49">
        <v>48</v>
      </c>
      <c r="D49">
        <v>21.5</v>
      </c>
      <c r="E49">
        <v>78</v>
      </c>
      <c r="F49" t="str">
        <f t="shared" si="0"/>
        <v>Economy</v>
      </c>
      <c r="H49" t="s">
        <v>389</v>
      </c>
      <c r="I49">
        <v>8</v>
      </c>
    </row>
    <row r="50" spans="1:9" x14ac:dyDescent="0.3">
      <c r="A50" t="s">
        <v>218</v>
      </c>
      <c r="B50">
        <v>20.3</v>
      </c>
      <c r="C50">
        <v>103</v>
      </c>
      <c r="D50">
        <v>15.9</v>
      </c>
      <c r="E50">
        <v>78</v>
      </c>
      <c r="F50" t="str">
        <f t="shared" si="0"/>
        <v>Economy</v>
      </c>
      <c r="H50" t="s">
        <v>356</v>
      </c>
      <c r="I50">
        <v>24.8</v>
      </c>
    </row>
    <row r="51" spans="1:9" x14ac:dyDescent="0.3">
      <c r="A51" t="s">
        <v>219</v>
      </c>
      <c r="B51">
        <v>17</v>
      </c>
      <c r="C51">
        <v>125</v>
      </c>
      <c r="D51">
        <v>13.6</v>
      </c>
      <c r="E51">
        <v>78</v>
      </c>
      <c r="F51" t="str">
        <f t="shared" si="0"/>
        <v>Economy</v>
      </c>
      <c r="H51" t="s">
        <v>363</v>
      </c>
      <c r="I51">
        <v>6196.0999999999949</v>
      </c>
    </row>
    <row r="52" spans="1:9" ht="15" thickBot="1" x14ac:dyDescent="0.35">
      <c r="A52" t="s">
        <v>221</v>
      </c>
      <c r="B52">
        <v>16.2</v>
      </c>
      <c r="C52">
        <v>133</v>
      </c>
      <c r="D52">
        <v>15.8</v>
      </c>
      <c r="E52">
        <v>78</v>
      </c>
      <c r="F52" t="str">
        <f t="shared" si="0"/>
        <v>Economy</v>
      </c>
      <c r="H52" s="6" t="s">
        <v>346</v>
      </c>
      <c r="I52" s="6">
        <v>398</v>
      </c>
    </row>
    <row r="53" spans="1:9" x14ac:dyDescent="0.3">
      <c r="A53" t="s">
        <v>234</v>
      </c>
      <c r="B53">
        <v>31.9</v>
      </c>
      <c r="C53">
        <v>71</v>
      </c>
      <c r="D53">
        <v>14</v>
      </c>
      <c r="E53">
        <v>79</v>
      </c>
      <c r="F53" t="str">
        <f t="shared" si="0"/>
        <v>Mid Range</v>
      </c>
    </row>
    <row r="54" spans="1:9" x14ac:dyDescent="0.3">
      <c r="A54" t="s">
        <v>243</v>
      </c>
      <c r="B54">
        <v>37.299999999999997</v>
      </c>
      <c r="C54">
        <v>69</v>
      </c>
      <c r="D54">
        <v>14.7</v>
      </c>
      <c r="E54">
        <v>79</v>
      </c>
      <c r="F54" t="str">
        <f t="shared" si="0"/>
        <v>Economy</v>
      </c>
    </row>
    <row r="55" spans="1:9" x14ac:dyDescent="0.3">
      <c r="A55" t="s">
        <v>32</v>
      </c>
      <c r="B55">
        <v>27.2</v>
      </c>
      <c r="C55">
        <v>71</v>
      </c>
      <c r="D55">
        <v>24.8</v>
      </c>
      <c r="E55">
        <v>79</v>
      </c>
      <c r="F55" t="str">
        <f t="shared" si="0"/>
        <v>Economy</v>
      </c>
    </row>
    <row r="56" spans="1:9" x14ac:dyDescent="0.3">
      <c r="A56" t="s">
        <v>238</v>
      </c>
      <c r="B56">
        <v>25.4</v>
      </c>
      <c r="C56">
        <v>77</v>
      </c>
      <c r="D56">
        <v>20.100000000000001</v>
      </c>
      <c r="E56">
        <v>79</v>
      </c>
      <c r="F56" t="str">
        <f t="shared" si="0"/>
        <v>Economy</v>
      </c>
    </row>
    <row r="57" spans="1:9" x14ac:dyDescent="0.3">
      <c r="A57" t="s">
        <v>251</v>
      </c>
      <c r="B57">
        <v>34.299999999999997</v>
      </c>
      <c r="C57">
        <v>78</v>
      </c>
      <c r="D57">
        <v>15.8</v>
      </c>
      <c r="E57">
        <v>80</v>
      </c>
      <c r="F57" t="str">
        <f t="shared" si="0"/>
        <v>Economy</v>
      </c>
    </row>
    <row r="58" spans="1:9" x14ac:dyDescent="0.3">
      <c r="A58" t="s">
        <v>155</v>
      </c>
      <c r="B58">
        <v>41.5</v>
      </c>
      <c r="C58">
        <v>76</v>
      </c>
      <c r="D58">
        <v>14.7</v>
      </c>
      <c r="E58">
        <v>80</v>
      </c>
      <c r="F58" t="str">
        <f t="shared" si="0"/>
        <v>Economy</v>
      </c>
    </row>
    <row r="59" spans="1:9" x14ac:dyDescent="0.3">
      <c r="A59" t="s">
        <v>265</v>
      </c>
      <c r="B59">
        <v>35</v>
      </c>
      <c r="C59">
        <v>88</v>
      </c>
      <c r="D59">
        <v>15.1</v>
      </c>
      <c r="E59">
        <v>80</v>
      </c>
      <c r="F59" t="str">
        <f t="shared" si="0"/>
        <v>Economy</v>
      </c>
    </row>
    <row r="60" spans="1:9" x14ac:dyDescent="0.3">
      <c r="A60" t="s">
        <v>262</v>
      </c>
      <c r="B60">
        <v>29.8</v>
      </c>
      <c r="C60">
        <v>62</v>
      </c>
      <c r="D60">
        <v>15.3</v>
      </c>
      <c r="E60">
        <v>80</v>
      </c>
      <c r="F60" t="str">
        <f t="shared" si="0"/>
        <v>Mid Range</v>
      </c>
    </row>
    <row r="61" spans="1:9" x14ac:dyDescent="0.3">
      <c r="A61" t="s">
        <v>256</v>
      </c>
      <c r="B61">
        <v>44.3</v>
      </c>
      <c r="C61">
        <v>48</v>
      </c>
      <c r="D61">
        <v>21.7</v>
      </c>
      <c r="E61">
        <v>80</v>
      </c>
      <c r="F61" t="str">
        <f t="shared" si="0"/>
        <v>Economy</v>
      </c>
    </row>
    <row r="62" spans="1:9" x14ac:dyDescent="0.3">
      <c r="A62" t="s">
        <v>259</v>
      </c>
      <c r="B62">
        <v>30</v>
      </c>
      <c r="C62">
        <v>67</v>
      </c>
      <c r="D62">
        <v>21.8</v>
      </c>
      <c r="E62">
        <v>80</v>
      </c>
      <c r="F62" t="str">
        <f t="shared" si="0"/>
        <v>Economy</v>
      </c>
    </row>
    <row r="63" spans="1:9" x14ac:dyDescent="0.3">
      <c r="A63" t="s">
        <v>257</v>
      </c>
      <c r="B63">
        <v>43.4</v>
      </c>
      <c r="C63">
        <v>48</v>
      </c>
      <c r="D63">
        <v>23.7</v>
      </c>
      <c r="E63">
        <v>80</v>
      </c>
      <c r="F63" t="str">
        <f t="shared" si="0"/>
        <v>Economy</v>
      </c>
    </row>
    <row r="64" spans="1:9" x14ac:dyDescent="0.3">
      <c r="A64" t="s">
        <v>261</v>
      </c>
      <c r="B64">
        <v>40.9</v>
      </c>
      <c r="D64">
        <v>17.3</v>
      </c>
      <c r="E64">
        <v>80</v>
      </c>
      <c r="F64" t="str">
        <f t="shared" si="0"/>
        <v>Economy</v>
      </c>
    </row>
    <row r="65" spans="1:6" x14ac:dyDescent="0.3">
      <c r="A65" t="s">
        <v>258</v>
      </c>
      <c r="B65">
        <v>36.4</v>
      </c>
      <c r="C65">
        <v>67</v>
      </c>
      <c r="D65">
        <v>19.899999999999999</v>
      </c>
      <c r="E65">
        <v>80</v>
      </c>
      <c r="F65" t="str">
        <f t="shared" si="0"/>
        <v>Economy</v>
      </c>
    </row>
    <row r="66" spans="1:6" x14ac:dyDescent="0.3">
      <c r="A66" t="s">
        <v>279</v>
      </c>
      <c r="B66">
        <v>33</v>
      </c>
      <c r="C66">
        <v>74</v>
      </c>
      <c r="D66">
        <v>14.2</v>
      </c>
      <c r="E66">
        <v>81</v>
      </c>
      <c r="F66" t="str">
        <f t="shared" ref="F66:F129" si="1">IF(AND(C66&gt;100,D66&lt;13,B66&gt;32.5),"High Performance",IF(AND(C66&lt;= 100,C66&gt;=60,D66&gt;=13,D66&lt;=19,B66&gt;=17,B66&lt;=32.5),"Mid Range","Economy"))</f>
        <v>Economy</v>
      </c>
    </row>
    <row r="67" spans="1:6" x14ac:dyDescent="0.3">
      <c r="A67" t="s">
        <v>283</v>
      </c>
      <c r="B67">
        <v>28.1</v>
      </c>
      <c r="C67">
        <v>80</v>
      </c>
      <c r="D67">
        <v>20.399999999999999</v>
      </c>
      <c r="E67">
        <v>81</v>
      </c>
      <c r="F67" t="str">
        <f t="shared" si="1"/>
        <v>Economy</v>
      </c>
    </row>
    <row r="68" spans="1:6" x14ac:dyDescent="0.3">
      <c r="A68" t="s">
        <v>280</v>
      </c>
      <c r="B68">
        <v>34.5</v>
      </c>
      <c r="D68">
        <v>15.8</v>
      </c>
      <c r="E68">
        <v>81</v>
      </c>
      <c r="F68" t="str">
        <f t="shared" si="1"/>
        <v>Economy</v>
      </c>
    </row>
    <row r="69" spans="1:6" x14ac:dyDescent="0.3">
      <c r="A69" t="s">
        <v>284</v>
      </c>
      <c r="B69">
        <v>30.7</v>
      </c>
      <c r="C69">
        <v>76</v>
      </c>
      <c r="D69">
        <v>19.600000000000001</v>
      </c>
      <c r="E69">
        <v>81</v>
      </c>
      <c r="F69" t="str">
        <f t="shared" si="1"/>
        <v>Economy</v>
      </c>
    </row>
    <row r="70" spans="1:6" x14ac:dyDescent="0.3">
      <c r="A70" t="s">
        <v>297</v>
      </c>
      <c r="B70">
        <v>36</v>
      </c>
      <c r="C70">
        <v>74</v>
      </c>
      <c r="D70">
        <v>15.3</v>
      </c>
      <c r="E70">
        <v>82</v>
      </c>
      <c r="F70" t="str">
        <f t="shared" si="1"/>
        <v>Economy</v>
      </c>
    </row>
    <row r="71" spans="1:6" x14ac:dyDescent="0.3">
      <c r="A71" t="s">
        <v>313</v>
      </c>
      <c r="B71">
        <v>44</v>
      </c>
      <c r="C71">
        <v>52</v>
      </c>
      <c r="D71">
        <v>24.6</v>
      </c>
      <c r="E71">
        <v>82</v>
      </c>
      <c r="F71" t="str">
        <f t="shared" si="1"/>
        <v>Economy</v>
      </c>
    </row>
    <row r="72" spans="1:6" x14ac:dyDescent="0.3">
      <c r="A72" t="s">
        <v>29</v>
      </c>
      <c r="B72">
        <v>27</v>
      </c>
      <c r="C72">
        <v>88</v>
      </c>
      <c r="D72">
        <v>14.5</v>
      </c>
      <c r="E72">
        <v>70</v>
      </c>
      <c r="F72" t="str">
        <f t="shared" si="1"/>
        <v>Mid Range</v>
      </c>
    </row>
    <row r="73" spans="1:6" x14ac:dyDescent="0.3">
      <c r="A73" t="s">
        <v>24</v>
      </c>
      <c r="B73">
        <v>24</v>
      </c>
      <c r="C73">
        <v>95</v>
      </c>
      <c r="D73">
        <v>15</v>
      </c>
      <c r="E73">
        <v>70</v>
      </c>
      <c r="F73" t="str">
        <f t="shared" si="1"/>
        <v>Mid Range</v>
      </c>
    </row>
    <row r="74" spans="1:6" x14ac:dyDescent="0.3">
      <c r="A74" t="s">
        <v>60</v>
      </c>
      <c r="B74">
        <v>35</v>
      </c>
      <c r="C74">
        <v>69</v>
      </c>
      <c r="D74">
        <v>18</v>
      </c>
      <c r="E74">
        <v>71</v>
      </c>
      <c r="F74" t="str">
        <f t="shared" si="1"/>
        <v>Economy</v>
      </c>
    </row>
    <row r="75" spans="1:6" x14ac:dyDescent="0.3">
      <c r="A75" t="s">
        <v>42</v>
      </c>
      <c r="B75">
        <v>25</v>
      </c>
      <c r="C75">
        <v>95</v>
      </c>
      <c r="D75">
        <v>14</v>
      </c>
      <c r="E75">
        <v>71</v>
      </c>
      <c r="F75" t="str">
        <f t="shared" si="1"/>
        <v>Mid Range</v>
      </c>
    </row>
    <row r="76" spans="1:6" x14ac:dyDescent="0.3">
      <c r="A76" t="s">
        <v>29</v>
      </c>
      <c r="B76">
        <v>27</v>
      </c>
      <c r="C76">
        <v>88</v>
      </c>
      <c r="D76">
        <v>14.5</v>
      </c>
      <c r="E76">
        <v>71</v>
      </c>
      <c r="F76" t="str">
        <f t="shared" si="1"/>
        <v>Mid Range</v>
      </c>
    </row>
    <row r="77" spans="1:6" x14ac:dyDescent="0.3">
      <c r="A77" t="s">
        <v>59</v>
      </c>
      <c r="B77">
        <v>31</v>
      </c>
      <c r="C77">
        <v>65</v>
      </c>
      <c r="D77">
        <v>19</v>
      </c>
      <c r="E77">
        <v>71</v>
      </c>
      <c r="F77" t="str">
        <f t="shared" si="1"/>
        <v>Mid Range</v>
      </c>
    </row>
    <row r="78" spans="1:6" x14ac:dyDescent="0.3">
      <c r="A78" t="s">
        <v>73</v>
      </c>
      <c r="B78">
        <v>19</v>
      </c>
      <c r="C78">
        <v>97</v>
      </c>
      <c r="D78">
        <v>13.5</v>
      </c>
      <c r="E78">
        <v>72</v>
      </c>
      <c r="F78" t="str">
        <f t="shared" si="1"/>
        <v>Mid Range</v>
      </c>
    </row>
    <row r="79" spans="1:6" x14ac:dyDescent="0.3">
      <c r="A79" t="s">
        <v>86</v>
      </c>
      <c r="B79">
        <v>27</v>
      </c>
      <c r="C79">
        <v>88</v>
      </c>
      <c r="D79">
        <v>16.5</v>
      </c>
      <c r="E79">
        <v>72</v>
      </c>
      <c r="F79" t="str">
        <f t="shared" si="1"/>
        <v>Mid Range</v>
      </c>
    </row>
    <row r="80" spans="1:6" x14ac:dyDescent="0.3">
      <c r="A80" t="s">
        <v>63</v>
      </c>
      <c r="B80">
        <v>24</v>
      </c>
      <c r="C80">
        <v>95</v>
      </c>
      <c r="D80">
        <v>15.5</v>
      </c>
      <c r="E80">
        <v>72</v>
      </c>
      <c r="F80" t="str">
        <f t="shared" si="1"/>
        <v>Mid Range</v>
      </c>
    </row>
    <row r="81" spans="1:6" x14ac:dyDescent="0.3">
      <c r="A81" t="s">
        <v>83</v>
      </c>
      <c r="B81">
        <v>28</v>
      </c>
      <c r="C81">
        <v>92</v>
      </c>
      <c r="D81">
        <v>17</v>
      </c>
      <c r="E81">
        <v>72</v>
      </c>
      <c r="F81" t="str">
        <f t="shared" si="1"/>
        <v>Mid Range</v>
      </c>
    </row>
    <row r="82" spans="1:6" x14ac:dyDescent="0.3">
      <c r="A82" t="s">
        <v>84</v>
      </c>
      <c r="B82">
        <v>23</v>
      </c>
      <c r="C82">
        <v>97</v>
      </c>
      <c r="D82">
        <v>14.5</v>
      </c>
      <c r="E82">
        <v>72</v>
      </c>
      <c r="F82" t="str">
        <f t="shared" si="1"/>
        <v>Mid Range</v>
      </c>
    </row>
    <row r="83" spans="1:6" x14ac:dyDescent="0.3">
      <c r="A83" t="s">
        <v>106</v>
      </c>
      <c r="B83">
        <v>18</v>
      </c>
      <c r="C83">
        <v>90</v>
      </c>
      <c r="D83">
        <v>13.5</v>
      </c>
      <c r="E83">
        <v>73</v>
      </c>
      <c r="F83" t="str">
        <f t="shared" si="1"/>
        <v>Mid Range</v>
      </c>
    </row>
    <row r="84" spans="1:6" x14ac:dyDescent="0.3">
      <c r="A84" t="s">
        <v>105</v>
      </c>
      <c r="B84">
        <v>22</v>
      </c>
      <c r="C84">
        <v>94</v>
      </c>
      <c r="D84">
        <v>16.5</v>
      </c>
      <c r="E84">
        <v>73</v>
      </c>
      <c r="F84" t="str">
        <f t="shared" si="1"/>
        <v>Mid Range</v>
      </c>
    </row>
    <row r="85" spans="1:6" x14ac:dyDescent="0.3">
      <c r="A85" t="s">
        <v>104</v>
      </c>
      <c r="B85">
        <v>20</v>
      </c>
      <c r="C85">
        <v>88</v>
      </c>
      <c r="D85">
        <v>19</v>
      </c>
      <c r="E85">
        <v>73</v>
      </c>
      <c r="F85" t="str">
        <f t="shared" si="1"/>
        <v>Mid Range</v>
      </c>
    </row>
    <row r="86" spans="1:6" x14ac:dyDescent="0.3">
      <c r="A86" t="s">
        <v>117</v>
      </c>
      <c r="B86">
        <v>20</v>
      </c>
      <c r="C86">
        <v>122</v>
      </c>
      <c r="D86">
        <v>13.5</v>
      </c>
      <c r="E86">
        <v>73</v>
      </c>
      <c r="F86" t="str">
        <f t="shared" si="1"/>
        <v>Economy</v>
      </c>
    </row>
    <row r="87" spans="1:6" x14ac:dyDescent="0.3">
      <c r="A87" t="s">
        <v>130</v>
      </c>
      <c r="B87">
        <v>24</v>
      </c>
      <c r="C87">
        <v>97</v>
      </c>
      <c r="D87">
        <v>15</v>
      </c>
      <c r="E87">
        <v>74</v>
      </c>
      <c r="F87" t="str">
        <f t="shared" si="1"/>
        <v>Mid Range</v>
      </c>
    </row>
    <row r="88" spans="1:6" x14ac:dyDescent="0.3">
      <c r="A88" t="s">
        <v>131</v>
      </c>
      <c r="B88">
        <v>26</v>
      </c>
      <c r="C88">
        <v>93</v>
      </c>
      <c r="D88">
        <v>15.5</v>
      </c>
      <c r="E88">
        <v>74</v>
      </c>
      <c r="F88" t="str">
        <f t="shared" si="1"/>
        <v>Mid Range</v>
      </c>
    </row>
    <row r="89" spans="1:6" x14ac:dyDescent="0.3">
      <c r="A89" t="s">
        <v>59</v>
      </c>
      <c r="B89">
        <v>32</v>
      </c>
      <c r="C89">
        <v>65</v>
      </c>
      <c r="D89">
        <v>21</v>
      </c>
      <c r="E89">
        <v>74</v>
      </c>
      <c r="F89" t="str">
        <f t="shared" si="1"/>
        <v>Economy</v>
      </c>
    </row>
    <row r="90" spans="1:6" x14ac:dyDescent="0.3">
      <c r="A90" t="s">
        <v>120</v>
      </c>
      <c r="B90">
        <v>31</v>
      </c>
      <c r="C90">
        <v>67</v>
      </c>
      <c r="D90">
        <v>19</v>
      </c>
      <c r="E90">
        <v>74</v>
      </c>
      <c r="F90" t="str">
        <f t="shared" si="1"/>
        <v>Mid Range</v>
      </c>
    </row>
    <row r="91" spans="1:6" x14ac:dyDescent="0.3">
      <c r="A91" t="s">
        <v>42</v>
      </c>
      <c r="B91">
        <v>31</v>
      </c>
      <c r="C91">
        <v>52</v>
      </c>
      <c r="D91">
        <v>16.5</v>
      </c>
      <c r="E91">
        <v>74</v>
      </c>
      <c r="F91" t="str">
        <f t="shared" si="1"/>
        <v>Economy</v>
      </c>
    </row>
    <row r="92" spans="1:6" x14ac:dyDescent="0.3">
      <c r="A92" t="s">
        <v>127</v>
      </c>
      <c r="B92">
        <v>32</v>
      </c>
      <c r="C92">
        <v>61</v>
      </c>
      <c r="D92">
        <v>19</v>
      </c>
      <c r="E92">
        <v>74</v>
      </c>
      <c r="F92" t="str">
        <f t="shared" si="1"/>
        <v>Mid Range</v>
      </c>
    </row>
    <row r="93" spans="1:6" x14ac:dyDescent="0.3">
      <c r="A93" t="s">
        <v>127</v>
      </c>
      <c r="B93">
        <v>24</v>
      </c>
      <c r="C93">
        <v>97</v>
      </c>
      <c r="D93">
        <v>17</v>
      </c>
      <c r="E93">
        <v>75</v>
      </c>
      <c r="F93" t="str">
        <f t="shared" si="1"/>
        <v>Mid Range</v>
      </c>
    </row>
    <row r="94" spans="1:6" x14ac:dyDescent="0.3">
      <c r="A94" t="s">
        <v>42</v>
      </c>
      <c r="B94">
        <v>24</v>
      </c>
      <c r="C94">
        <v>96</v>
      </c>
      <c r="D94">
        <v>13.5</v>
      </c>
      <c r="E94">
        <v>75</v>
      </c>
      <c r="F94" t="str">
        <f t="shared" si="1"/>
        <v>Mid Range</v>
      </c>
    </row>
    <row r="95" spans="1:6" x14ac:dyDescent="0.3">
      <c r="A95" t="s">
        <v>143</v>
      </c>
      <c r="B95">
        <v>29</v>
      </c>
      <c r="C95">
        <v>75</v>
      </c>
      <c r="D95">
        <v>16</v>
      </c>
      <c r="E95">
        <v>75</v>
      </c>
      <c r="F95" t="str">
        <f t="shared" si="1"/>
        <v>Mid Range</v>
      </c>
    </row>
    <row r="96" spans="1:6" x14ac:dyDescent="0.3">
      <c r="A96" t="s">
        <v>148</v>
      </c>
      <c r="B96">
        <v>33</v>
      </c>
      <c r="C96">
        <v>53</v>
      </c>
      <c r="D96">
        <v>17.5</v>
      </c>
      <c r="E96">
        <v>75</v>
      </c>
      <c r="F96" t="str">
        <f t="shared" si="1"/>
        <v>Economy</v>
      </c>
    </row>
    <row r="97" spans="1:6" x14ac:dyDescent="0.3">
      <c r="A97" t="s">
        <v>160</v>
      </c>
      <c r="B97">
        <v>32</v>
      </c>
      <c r="C97">
        <v>70</v>
      </c>
      <c r="D97">
        <v>17</v>
      </c>
      <c r="E97">
        <v>76</v>
      </c>
      <c r="F97" t="str">
        <f t="shared" si="1"/>
        <v>Mid Range</v>
      </c>
    </row>
    <row r="98" spans="1:6" x14ac:dyDescent="0.3">
      <c r="A98" t="s">
        <v>143</v>
      </c>
      <c r="B98">
        <v>28</v>
      </c>
      <c r="C98">
        <v>75</v>
      </c>
      <c r="D98">
        <v>16.399999999999999</v>
      </c>
      <c r="E98">
        <v>76</v>
      </c>
      <c r="F98" t="str">
        <f t="shared" si="1"/>
        <v>Mid Range</v>
      </c>
    </row>
    <row r="99" spans="1:6" x14ac:dyDescent="0.3">
      <c r="A99" t="s">
        <v>130</v>
      </c>
      <c r="B99">
        <v>33</v>
      </c>
      <c r="C99">
        <v>53</v>
      </c>
      <c r="D99">
        <v>17.399999999999999</v>
      </c>
      <c r="E99">
        <v>76</v>
      </c>
      <c r="F99" t="str">
        <f t="shared" si="1"/>
        <v>Economy</v>
      </c>
    </row>
    <row r="100" spans="1:6" x14ac:dyDescent="0.3">
      <c r="A100" t="s">
        <v>117</v>
      </c>
      <c r="B100">
        <v>19</v>
      </c>
      <c r="C100">
        <v>108</v>
      </c>
      <c r="D100">
        <v>15.5</v>
      </c>
      <c r="E100">
        <v>76</v>
      </c>
      <c r="F100" t="str">
        <f t="shared" si="1"/>
        <v>Economy</v>
      </c>
    </row>
    <row r="101" spans="1:6" x14ac:dyDescent="0.3">
      <c r="A101" t="s">
        <v>192</v>
      </c>
      <c r="B101">
        <v>21.5</v>
      </c>
      <c r="C101">
        <v>110</v>
      </c>
      <c r="D101">
        <v>13.5</v>
      </c>
      <c r="E101">
        <v>77</v>
      </c>
      <c r="F101" t="str">
        <f t="shared" si="1"/>
        <v>Economy</v>
      </c>
    </row>
    <row r="102" spans="1:6" x14ac:dyDescent="0.3">
      <c r="A102" t="s">
        <v>172</v>
      </c>
      <c r="B102">
        <v>33.5</v>
      </c>
      <c r="C102">
        <v>70</v>
      </c>
      <c r="D102">
        <v>16.8</v>
      </c>
      <c r="E102">
        <v>77</v>
      </c>
      <c r="F102" t="str">
        <f t="shared" si="1"/>
        <v>Economy</v>
      </c>
    </row>
    <row r="103" spans="1:6" x14ac:dyDescent="0.3">
      <c r="A103" t="s">
        <v>189</v>
      </c>
      <c r="B103">
        <v>30</v>
      </c>
      <c r="C103">
        <v>67</v>
      </c>
      <c r="D103">
        <v>16.399999999999999</v>
      </c>
      <c r="E103">
        <v>77</v>
      </c>
      <c r="F103" t="str">
        <f t="shared" si="1"/>
        <v>Mid Range</v>
      </c>
    </row>
    <row r="104" spans="1:6" x14ac:dyDescent="0.3">
      <c r="A104" t="s">
        <v>168</v>
      </c>
      <c r="B104">
        <v>31.5</v>
      </c>
      <c r="C104">
        <v>68</v>
      </c>
      <c r="D104">
        <v>18.5</v>
      </c>
      <c r="E104">
        <v>77</v>
      </c>
      <c r="F104" t="str">
        <f t="shared" si="1"/>
        <v>Mid Range</v>
      </c>
    </row>
    <row r="105" spans="1:6" x14ac:dyDescent="0.3">
      <c r="A105" t="s">
        <v>186</v>
      </c>
      <c r="B105">
        <v>26</v>
      </c>
      <c r="C105">
        <v>75</v>
      </c>
      <c r="D105">
        <v>18.2</v>
      </c>
      <c r="E105">
        <v>77</v>
      </c>
      <c r="F105" t="str">
        <f t="shared" si="1"/>
        <v>Mid Range</v>
      </c>
    </row>
    <row r="106" spans="1:6" x14ac:dyDescent="0.3">
      <c r="A106" t="s">
        <v>190</v>
      </c>
      <c r="B106">
        <v>22</v>
      </c>
      <c r="C106">
        <v>97</v>
      </c>
      <c r="D106">
        <v>14.5</v>
      </c>
      <c r="E106">
        <v>77</v>
      </c>
      <c r="F106" t="str">
        <f t="shared" si="1"/>
        <v>Mid Range</v>
      </c>
    </row>
    <row r="107" spans="1:6" x14ac:dyDescent="0.3">
      <c r="A107" t="s">
        <v>212</v>
      </c>
      <c r="B107">
        <v>27.2</v>
      </c>
      <c r="C107">
        <v>97</v>
      </c>
      <c r="D107">
        <v>14.7</v>
      </c>
      <c r="E107">
        <v>78</v>
      </c>
      <c r="F107" t="str">
        <f t="shared" si="1"/>
        <v>Mid Range</v>
      </c>
    </row>
    <row r="108" spans="1:6" x14ac:dyDescent="0.3">
      <c r="A108" t="s">
        <v>217</v>
      </c>
      <c r="B108">
        <v>23.9</v>
      </c>
      <c r="C108">
        <v>97</v>
      </c>
      <c r="D108">
        <v>14.9</v>
      </c>
      <c r="E108">
        <v>78</v>
      </c>
      <c r="F108" t="str">
        <f t="shared" si="1"/>
        <v>Mid Range</v>
      </c>
    </row>
    <row r="109" spans="1:6" x14ac:dyDescent="0.3">
      <c r="A109" t="s">
        <v>214</v>
      </c>
      <c r="B109">
        <v>21.1</v>
      </c>
      <c r="C109">
        <v>95</v>
      </c>
      <c r="D109">
        <v>14.8</v>
      </c>
      <c r="E109">
        <v>78</v>
      </c>
      <c r="F109" t="str">
        <f t="shared" si="1"/>
        <v>Mid Range</v>
      </c>
    </row>
    <row r="110" spans="1:6" x14ac:dyDescent="0.3">
      <c r="A110" t="s">
        <v>42</v>
      </c>
      <c r="B110">
        <v>27.5</v>
      </c>
      <c r="C110">
        <v>95</v>
      </c>
      <c r="D110">
        <v>14.2</v>
      </c>
      <c r="E110">
        <v>78</v>
      </c>
      <c r="F110" t="str">
        <f t="shared" si="1"/>
        <v>Mid Range</v>
      </c>
    </row>
    <row r="111" spans="1:6" x14ac:dyDescent="0.3">
      <c r="A111" t="s">
        <v>196</v>
      </c>
      <c r="B111">
        <v>39.4</v>
      </c>
      <c r="C111">
        <v>70</v>
      </c>
      <c r="D111">
        <v>18.600000000000001</v>
      </c>
      <c r="E111">
        <v>78</v>
      </c>
      <c r="F111" t="str">
        <f t="shared" si="1"/>
        <v>Economy</v>
      </c>
    </row>
    <row r="112" spans="1:6" x14ac:dyDescent="0.3">
      <c r="A112" t="s">
        <v>148</v>
      </c>
      <c r="B112">
        <v>36.1</v>
      </c>
      <c r="C112">
        <v>60</v>
      </c>
      <c r="D112">
        <v>16.399999999999999</v>
      </c>
      <c r="E112">
        <v>78</v>
      </c>
      <c r="F112" t="str">
        <f t="shared" si="1"/>
        <v>Economy</v>
      </c>
    </row>
    <row r="113" spans="1:6" x14ac:dyDescent="0.3">
      <c r="A113" t="s">
        <v>223</v>
      </c>
      <c r="B113">
        <v>29.5</v>
      </c>
      <c r="C113">
        <v>68</v>
      </c>
      <c r="D113">
        <v>16.600000000000001</v>
      </c>
      <c r="E113">
        <v>78</v>
      </c>
      <c r="F113" t="str">
        <f t="shared" si="1"/>
        <v>Mid Range</v>
      </c>
    </row>
    <row r="114" spans="1:6" x14ac:dyDescent="0.3">
      <c r="A114" t="s">
        <v>195</v>
      </c>
      <c r="B114">
        <v>32.799999999999997</v>
      </c>
      <c r="C114">
        <v>52</v>
      </c>
      <c r="D114">
        <v>19.399999999999999</v>
      </c>
      <c r="E114">
        <v>78</v>
      </c>
      <c r="F114" t="str">
        <f t="shared" si="1"/>
        <v>Economy</v>
      </c>
    </row>
    <row r="115" spans="1:6" x14ac:dyDescent="0.3">
      <c r="A115" t="s">
        <v>235</v>
      </c>
      <c r="B115">
        <v>34.1</v>
      </c>
      <c r="C115">
        <v>65</v>
      </c>
      <c r="D115">
        <v>15.2</v>
      </c>
      <c r="E115">
        <v>79</v>
      </c>
      <c r="F115" t="str">
        <f t="shared" si="1"/>
        <v>Economy</v>
      </c>
    </row>
    <row r="116" spans="1:6" x14ac:dyDescent="0.3">
      <c r="A116" t="s">
        <v>242</v>
      </c>
      <c r="B116">
        <v>31.8</v>
      </c>
      <c r="C116">
        <v>65</v>
      </c>
      <c r="D116">
        <v>19.2</v>
      </c>
      <c r="E116">
        <v>79</v>
      </c>
      <c r="F116" t="str">
        <f t="shared" si="1"/>
        <v>Economy</v>
      </c>
    </row>
    <row r="117" spans="1:6" x14ac:dyDescent="0.3">
      <c r="A117" t="s">
        <v>264</v>
      </c>
      <c r="B117">
        <v>23.7</v>
      </c>
      <c r="C117">
        <v>100</v>
      </c>
      <c r="D117">
        <v>12.5</v>
      </c>
      <c r="E117">
        <v>80</v>
      </c>
      <c r="F117" t="str">
        <f t="shared" si="1"/>
        <v>Economy</v>
      </c>
    </row>
    <row r="118" spans="1:6" x14ac:dyDescent="0.3">
      <c r="A118" t="s">
        <v>254</v>
      </c>
      <c r="B118">
        <v>37</v>
      </c>
      <c r="C118">
        <v>92</v>
      </c>
      <c r="D118">
        <v>15</v>
      </c>
      <c r="E118">
        <v>80</v>
      </c>
      <c r="F118" t="str">
        <f t="shared" si="1"/>
        <v>Economy</v>
      </c>
    </row>
    <row r="119" spans="1:6" x14ac:dyDescent="0.3">
      <c r="A119" t="s">
        <v>260</v>
      </c>
      <c r="B119">
        <v>44.6</v>
      </c>
      <c r="C119">
        <v>67</v>
      </c>
      <c r="D119">
        <v>13.8</v>
      </c>
      <c r="E119">
        <v>80</v>
      </c>
      <c r="F119" t="str">
        <f t="shared" si="1"/>
        <v>Economy</v>
      </c>
    </row>
    <row r="120" spans="1:6" x14ac:dyDescent="0.3">
      <c r="A120" t="s">
        <v>252</v>
      </c>
      <c r="B120">
        <v>29.8</v>
      </c>
      <c r="C120">
        <v>90</v>
      </c>
      <c r="D120">
        <v>15.5</v>
      </c>
      <c r="E120">
        <v>80</v>
      </c>
      <c r="F120" t="str">
        <f t="shared" si="1"/>
        <v>Mid Range</v>
      </c>
    </row>
    <row r="121" spans="1:6" x14ac:dyDescent="0.3">
      <c r="A121" t="s">
        <v>143</v>
      </c>
      <c r="B121">
        <v>32.200000000000003</v>
      </c>
      <c r="C121">
        <v>75</v>
      </c>
      <c r="D121">
        <v>15.2</v>
      </c>
      <c r="E121">
        <v>80</v>
      </c>
      <c r="F121" t="str">
        <f t="shared" si="1"/>
        <v>Mid Range</v>
      </c>
    </row>
    <row r="122" spans="1:6" x14ac:dyDescent="0.3">
      <c r="A122" t="s">
        <v>249</v>
      </c>
      <c r="B122">
        <v>37.200000000000003</v>
      </c>
      <c r="C122">
        <v>65</v>
      </c>
      <c r="D122">
        <v>16.399999999999999</v>
      </c>
      <c r="E122">
        <v>80</v>
      </c>
      <c r="F122" t="str">
        <f t="shared" si="1"/>
        <v>Economy</v>
      </c>
    </row>
    <row r="123" spans="1:6" x14ac:dyDescent="0.3">
      <c r="A123" t="s">
        <v>267</v>
      </c>
      <c r="B123">
        <v>32.4</v>
      </c>
      <c r="C123">
        <v>72</v>
      </c>
      <c r="D123">
        <v>17</v>
      </c>
      <c r="E123">
        <v>80</v>
      </c>
      <c r="F123" t="str">
        <f t="shared" si="1"/>
        <v>Mid Range</v>
      </c>
    </row>
    <row r="124" spans="1:6" x14ac:dyDescent="0.3">
      <c r="A124" t="s">
        <v>189</v>
      </c>
      <c r="B124">
        <v>33.799999999999997</v>
      </c>
      <c r="C124">
        <v>67</v>
      </c>
      <c r="D124">
        <v>18</v>
      </c>
      <c r="E124">
        <v>80</v>
      </c>
      <c r="F124" t="str">
        <f t="shared" si="1"/>
        <v>Economy</v>
      </c>
    </row>
    <row r="125" spans="1:6" x14ac:dyDescent="0.3">
      <c r="A125" t="s">
        <v>242</v>
      </c>
      <c r="B125">
        <v>40.799999999999997</v>
      </c>
      <c r="C125">
        <v>65</v>
      </c>
      <c r="D125">
        <v>19.2</v>
      </c>
      <c r="E125">
        <v>80</v>
      </c>
      <c r="F125" t="str">
        <f t="shared" si="1"/>
        <v>Economy</v>
      </c>
    </row>
    <row r="126" spans="1:6" x14ac:dyDescent="0.3">
      <c r="A126" t="s">
        <v>255</v>
      </c>
      <c r="B126">
        <v>46.6</v>
      </c>
      <c r="C126">
        <v>65</v>
      </c>
      <c r="D126">
        <v>17.899999999999999</v>
      </c>
      <c r="E126">
        <v>80</v>
      </c>
      <c r="F126" t="str">
        <f t="shared" si="1"/>
        <v>Economy</v>
      </c>
    </row>
    <row r="127" spans="1:6" x14ac:dyDescent="0.3">
      <c r="A127" t="s">
        <v>248</v>
      </c>
      <c r="B127">
        <v>38.1</v>
      </c>
      <c r="C127">
        <v>60</v>
      </c>
      <c r="D127">
        <v>18.8</v>
      </c>
      <c r="E127">
        <v>80</v>
      </c>
      <c r="F127" t="str">
        <f t="shared" si="1"/>
        <v>Economy</v>
      </c>
    </row>
    <row r="128" spans="1:6" x14ac:dyDescent="0.3">
      <c r="A128" t="s">
        <v>253</v>
      </c>
      <c r="B128">
        <v>31.3</v>
      </c>
      <c r="C128">
        <v>75</v>
      </c>
      <c r="D128">
        <v>17.5</v>
      </c>
      <c r="E128">
        <v>80</v>
      </c>
      <c r="F128" t="str">
        <f t="shared" si="1"/>
        <v>Mid Range</v>
      </c>
    </row>
    <row r="129" spans="1:6" x14ac:dyDescent="0.3">
      <c r="A129" t="s">
        <v>263</v>
      </c>
      <c r="B129">
        <v>32.700000000000003</v>
      </c>
      <c r="C129">
        <v>132</v>
      </c>
      <c r="D129">
        <v>11.4</v>
      </c>
      <c r="E129">
        <v>80</v>
      </c>
      <c r="F129" t="str">
        <f t="shared" si="1"/>
        <v>High Performance</v>
      </c>
    </row>
    <row r="130" spans="1:6" x14ac:dyDescent="0.3">
      <c r="A130" t="s">
        <v>282</v>
      </c>
      <c r="B130">
        <v>32.9</v>
      </c>
      <c r="C130">
        <v>100</v>
      </c>
      <c r="D130">
        <v>14.8</v>
      </c>
      <c r="E130">
        <v>81</v>
      </c>
      <c r="F130" t="str">
        <f t="shared" ref="F130:F193" si="2">IF(AND(C130&gt;100,D130&lt;13,B130&gt;32.5),"High Performance",IF(AND(C130&lt;= 100,C130&gt;=60,D130&gt;=13,D130&lt;=19,B130&gt;=17,B130&lt;=32.5),"Mid Range","Economy"))</f>
        <v>Economy</v>
      </c>
    </row>
    <row r="131" spans="1:6" x14ac:dyDescent="0.3">
      <c r="A131" t="s">
        <v>275</v>
      </c>
      <c r="B131">
        <v>34.1</v>
      </c>
      <c r="C131">
        <v>68</v>
      </c>
      <c r="D131">
        <v>16</v>
      </c>
      <c r="E131">
        <v>81</v>
      </c>
      <c r="F131" t="str">
        <f t="shared" si="2"/>
        <v>Economy</v>
      </c>
    </row>
    <row r="132" spans="1:6" x14ac:dyDescent="0.3">
      <c r="A132" t="s">
        <v>272</v>
      </c>
      <c r="B132">
        <v>35.1</v>
      </c>
      <c r="C132">
        <v>60</v>
      </c>
      <c r="D132">
        <v>16.100000000000001</v>
      </c>
      <c r="E132">
        <v>81</v>
      </c>
      <c r="F132" t="str">
        <f t="shared" si="2"/>
        <v>Economy</v>
      </c>
    </row>
    <row r="133" spans="1:6" x14ac:dyDescent="0.3">
      <c r="A133" t="s">
        <v>281</v>
      </c>
      <c r="B133">
        <v>33.700000000000003</v>
      </c>
      <c r="C133">
        <v>75</v>
      </c>
      <c r="D133">
        <v>14.4</v>
      </c>
      <c r="E133">
        <v>81</v>
      </c>
      <c r="F133" t="str">
        <f t="shared" si="2"/>
        <v>Economy</v>
      </c>
    </row>
    <row r="134" spans="1:6" x14ac:dyDescent="0.3">
      <c r="A134" t="s">
        <v>270</v>
      </c>
      <c r="B134">
        <v>39.1</v>
      </c>
      <c r="C134">
        <v>58</v>
      </c>
      <c r="D134">
        <v>16.899999999999999</v>
      </c>
      <c r="E134">
        <v>81</v>
      </c>
      <c r="F134" t="str">
        <f t="shared" si="2"/>
        <v>Economy</v>
      </c>
    </row>
    <row r="135" spans="1:6" x14ac:dyDescent="0.3">
      <c r="A135" t="s">
        <v>273</v>
      </c>
      <c r="B135">
        <v>37</v>
      </c>
      <c r="C135">
        <v>65</v>
      </c>
      <c r="D135">
        <v>19.399999999999999</v>
      </c>
      <c r="E135">
        <v>81</v>
      </c>
      <c r="F135" t="str">
        <f t="shared" si="2"/>
        <v>Economy</v>
      </c>
    </row>
    <row r="136" spans="1:6" x14ac:dyDescent="0.3">
      <c r="A136" t="s">
        <v>131</v>
      </c>
      <c r="B136">
        <v>32.299999999999997</v>
      </c>
      <c r="C136">
        <v>67</v>
      </c>
      <c r="D136">
        <v>17.8</v>
      </c>
      <c r="E136">
        <v>81</v>
      </c>
      <c r="F136" t="str">
        <f t="shared" si="2"/>
        <v>Mid Range</v>
      </c>
    </row>
    <row r="137" spans="1:6" x14ac:dyDescent="0.3">
      <c r="A137" t="s">
        <v>143</v>
      </c>
      <c r="B137">
        <v>32.4</v>
      </c>
      <c r="C137">
        <v>75</v>
      </c>
      <c r="D137">
        <v>16.8</v>
      </c>
      <c r="E137">
        <v>81</v>
      </c>
      <c r="F137" t="str">
        <f t="shared" si="2"/>
        <v>Mid Range</v>
      </c>
    </row>
    <row r="138" spans="1:6" x14ac:dyDescent="0.3">
      <c r="A138" t="s">
        <v>274</v>
      </c>
      <c r="B138">
        <v>37.700000000000003</v>
      </c>
      <c r="C138">
        <v>62</v>
      </c>
      <c r="D138">
        <v>17.3</v>
      </c>
      <c r="E138">
        <v>81</v>
      </c>
      <c r="F138" t="str">
        <f t="shared" si="2"/>
        <v>Economy</v>
      </c>
    </row>
    <row r="139" spans="1:6" x14ac:dyDescent="0.3">
      <c r="A139" t="s">
        <v>253</v>
      </c>
      <c r="B139">
        <v>31.6</v>
      </c>
      <c r="C139">
        <v>74</v>
      </c>
      <c r="D139">
        <v>18.3</v>
      </c>
      <c r="E139">
        <v>81</v>
      </c>
      <c r="F139" t="str">
        <f t="shared" si="2"/>
        <v>Mid Range</v>
      </c>
    </row>
    <row r="140" spans="1:6" x14ac:dyDescent="0.3">
      <c r="A140" t="s">
        <v>286</v>
      </c>
      <c r="B140">
        <v>24.2</v>
      </c>
      <c r="C140">
        <v>120</v>
      </c>
      <c r="D140">
        <v>13.8</v>
      </c>
      <c r="E140">
        <v>81</v>
      </c>
      <c r="F140" t="str">
        <f t="shared" si="2"/>
        <v>Economy</v>
      </c>
    </row>
    <row r="141" spans="1:6" x14ac:dyDescent="0.3">
      <c r="A141" t="s">
        <v>285</v>
      </c>
      <c r="B141">
        <v>25.4</v>
      </c>
      <c r="C141">
        <v>116</v>
      </c>
      <c r="D141">
        <v>12.6</v>
      </c>
      <c r="E141">
        <v>81</v>
      </c>
      <c r="F141" t="str">
        <f t="shared" si="2"/>
        <v>Economy</v>
      </c>
    </row>
    <row r="142" spans="1:6" x14ac:dyDescent="0.3">
      <c r="A142" t="s">
        <v>302</v>
      </c>
      <c r="B142">
        <v>36</v>
      </c>
      <c r="C142">
        <v>88</v>
      </c>
      <c r="D142">
        <v>14.5</v>
      </c>
      <c r="E142">
        <v>82</v>
      </c>
      <c r="F142" t="str">
        <f t="shared" si="2"/>
        <v>Economy</v>
      </c>
    </row>
    <row r="143" spans="1:6" x14ac:dyDescent="0.3">
      <c r="A143" t="s">
        <v>309</v>
      </c>
      <c r="B143">
        <v>32</v>
      </c>
      <c r="C143">
        <v>96</v>
      </c>
      <c r="D143">
        <v>13.9</v>
      </c>
      <c r="E143">
        <v>82</v>
      </c>
      <c r="F143" t="str">
        <f t="shared" si="2"/>
        <v>Mid Range</v>
      </c>
    </row>
    <row r="144" spans="1:6" x14ac:dyDescent="0.3">
      <c r="A144" t="s">
        <v>299</v>
      </c>
      <c r="B144">
        <v>31</v>
      </c>
      <c r="C144">
        <v>68</v>
      </c>
      <c r="D144">
        <v>17.600000000000001</v>
      </c>
      <c r="E144">
        <v>82</v>
      </c>
      <c r="F144" t="str">
        <f t="shared" si="2"/>
        <v>Mid Range</v>
      </c>
    </row>
    <row r="145" spans="1:6" x14ac:dyDescent="0.3">
      <c r="A145" t="s">
        <v>130</v>
      </c>
      <c r="B145">
        <v>38</v>
      </c>
      <c r="C145">
        <v>67</v>
      </c>
      <c r="D145">
        <v>15</v>
      </c>
      <c r="E145">
        <v>82</v>
      </c>
      <c r="F145" t="str">
        <f t="shared" si="2"/>
        <v>Economy</v>
      </c>
    </row>
    <row r="146" spans="1:6" x14ac:dyDescent="0.3">
      <c r="A146" t="s">
        <v>303</v>
      </c>
      <c r="B146">
        <v>32</v>
      </c>
      <c r="C146">
        <v>67</v>
      </c>
      <c r="D146">
        <v>15.7</v>
      </c>
      <c r="E146">
        <v>82</v>
      </c>
      <c r="F146" t="str">
        <f t="shared" si="2"/>
        <v>Mid Range</v>
      </c>
    </row>
    <row r="147" spans="1:6" x14ac:dyDescent="0.3">
      <c r="A147" t="s">
        <v>267</v>
      </c>
      <c r="B147">
        <v>36</v>
      </c>
      <c r="C147">
        <v>75</v>
      </c>
      <c r="D147">
        <v>14.5</v>
      </c>
      <c r="E147">
        <v>82</v>
      </c>
      <c r="F147" t="str">
        <f t="shared" si="2"/>
        <v>Economy</v>
      </c>
    </row>
    <row r="148" spans="1:6" x14ac:dyDescent="0.3">
      <c r="A148" t="s">
        <v>304</v>
      </c>
      <c r="B148">
        <v>38</v>
      </c>
      <c r="C148">
        <v>67</v>
      </c>
      <c r="D148">
        <v>16.2</v>
      </c>
      <c r="E148">
        <v>82</v>
      </c>
      <c r="F148" t="str">
        <f t="shared" si="2"/>
        <v>Economy</v>
      </c>
    </row>
    <row r="149" spans="1:6" x14ac:dyDescent="0.3">
      <c r="A149" t="s">
        <v>298</v>
      </c>
      <c r="B149">
        <v>37</v>
      </c>
      <c r="C149">
        <v>68</v>
      </c>
      <c r="D149">
        <v>18.2</v>
      </c>
      <c r="E149">
        <v>82</v>
      </c>
      <c r="F149" t="str">
        <f t="shared" si="2"/>
        <v>Economy</v>
      </c>
    </row>
    <row r="150" spans="1:6" x14ac:dyDescent="0.3">
      <c r="A150" t="s">
        <v>143</v>
      </c>
      <c r="B150">
        <v>34</v>
      </c>
      <c r="C150">
        <v>70</v>
      </c>
      <c r="D150">
        <v>16.899999999999999</v>
      </c>
      <c r="E150">
        <v>82</v>
      </c>
      <c r="F150" t="str">
        <f t="shared" si="2"/>
        <v>Economy</v>
      </c>
    </row>
    <row r="151" spans="1:6" x14ac:dyDescent="0.3">
      <c r="A151" t="s">
        <v>27</v>
      </c>
      <c r="B151">
        <v>18</v>
      </c>
      <c r="C151">
        <v>97</v>
      </c>
      <c r="D151">
        <v>15.5</v>
      </c>
      <c r="E151">
        <v>70</v>
      </c>
      <c r="F151" t="str">
        <f t="shared" si="2"/>
        <v>Mid Range</v>
      </c>
    </row>
    <row r="152" spans="1:6" x14ac:dyDescent="0.3">
      <c r="A152" t="s">
        <v>36</v>
      </c>
      <c r="B152">
        <v>21</v>
      </c>
      <c r="C152">
        <v>90</v>
      </c>
      <c r="D152">
        <v>15</v>
      </c>
      <c r="E152">
        <v>70</v>
      </c>
      <c r="F152" t="str">
        <f t="shared" si="2"/>
        <v>Mid Range</v>
      </c>
    </row>
    <row r="153" spans="1:6" x14ac:dyDescent="0.3">
      <c r="A153" t="s">
        <v>26</v>
      </c>
      <c r="B153">
        <v>22</v>
      </c>
      <c r="C153">
        <v>95</v>
      </c>
      <c r="D153">
        <v>15.5</v>
      </c>
      <c r="E153">
        <v>70</v>
      </c>
      <c r="F153" t="str">
        <f t="shared" si="2"/>
        <v>Mid Range</v>
      </c>
    </row>
    <row r="154" spans="1:6" x14ac:dyDescent="0.3">
      <c r="A154" t="s">
        <v>28</v>
      </c>
      <c r="B154">
        <v>21</v>
      </c>
      <c r="C154">
        <v>85</v>
      </c>
      <c r="D154">
        <v>16</v>
      </c>
      <c r="E154">
        <v>70</v>
      </c>
      <c r="F154" t="str">
        <f t="shared" si="2"/>
        <v>Mid Range</v>
      </c>
    </row>
    <row r="155" spans="1:6" x14ac:dyDescent="0.3">
      <c r="A155" t="s">
        <v>23</v>
      </c>
      <c r="B155">
        <v>14</v>
      </c>
      <c r="C155">
        <v>225</v>
      </c>
      <c r="D155">
        <v>10</v>
      </c>
      <c r="E155">
        <v>70</v>
      </c>
      <c r="F155" t="str">
        <f t="shared" si="2"/>
        <v>Economy</v>
      </c>
    </row>
    <row r="156" spans="1:6" x14ac:dyDescent="0.3">
      <c r="A156" t="s">
        <v>18</v>
      </c>
      <c r="B156">
        <v>14</v>
      </c>
      <c r="C156">
        <v>225</v>
      </c>
      <c r="D156">
        <v>10</v>
      </c>
      <c r="E156">
        <v>70</v>
      </c>
      <c r="F156" t="str">
        <f t="shared" si="2"/>
        <v>Economy</v>
      </c>
    </row>
    <row r="157" spans="1:6" x14ac:dyDescent="0.3">
      <c r="A157" t="s">
        <v>16</v>
      </c>
      <c r="B157">
        <v>14</v>
      </c>
      <c r="C157">
        <v>220</v>
      </c>
      <c r="D157">
        <v>9</v>
      </c>
      <c r="E157">
        <v>70</v>
      </c>
      <c r="F157" t="str">
        <f t="shared" si="2"/>
        <v>Economy</v>
      </c>
    </row>
    <row r="158" spans="1:6" x14ac:dyDescent="0.3">
      <c r="A158" t="s">
        <v>17</v>
      </c>
      <c r="B158">
        <v>14</v>
      </c>
      <c r="C158">
        <v>215</v>
      </c>
      <c r="D158">
        <v>8.5</v>
      </c>
      <c r="E158">
        <v>70</v>
      </c>
      <c r="F158" t="str">
        <f t="shared" si="2"/>
        <v>Economy</v>
      </c>
    </row>
    <row r="159" spans="1:6" x14ac:dyDescent="0.3">
      <c r="A159" t="s">
        <v>19</v>
      </c>
      <c r="B159">
        <v>15</v>
      </c>
      <c r="C159">
        <v>190</v>
      </c>
      <c r="D159">
        <v>8.5</v>
      </c>
      <c r="E159">
        <v>70</v>
      </c>
      <c r="F159" t="str">
        <f t="shared" si="2"/>
        <v>Economy</v>
      </c>
    </row>
    <row r="160" spans="1:6" x14ac:dyDescent="0.3">
      <c r="A160" t="s">
        <v>39</v>
      </c>
      <c r="B160">
        <v>11</v>
      </c>
      <c r="C160">
        <v>210</v>
      </c>
      <c r="D160">
        <v>13.5</v>
      </c>
      <c r="E160">
        <v>70</v>
      </c>
      <c r="F160" t="str">
        <f t="shared" si="2"/>
        <v>Economy</v>
      </c>
    </row>
    <row r="161" spans="1:6" x14ac:dyDescent="0.3">
      <c r="A161" t="s">
        <v>20</v>
      </c>
      <c r="B161">
        <v>15</v>
      </c>
      <c r="C161">
        <v>170</v>
      </c>
      <c r="D161">
        <v>10</v>
      </c>
      <c r="E161">
        <v>70</v>
      </c>
      <c r="F161" t="str">
        <f t="shared" si="2"/>
        <v>Economy</v>
      </c>
    </row>
    <row r="162" spans="1:6" x14ac:dyDescent="0.3">
      <c r="A162" t="s">
        <v>37</v>
      </c>
      <c r="B162">
        <v>10</v>
      </c>
      <c r="C162">
        <v>215</v>
      </c>
      <c r="D162">
        <v>14</v>
      </c>
      <c r="E162">
        <v>70</v>
      </c>
      <c r="F162" t="str">
        <f t="shared" si="2"/>
        <v>Economy</v>
      </c>
    </row>
    <row r="163" spans="1:6" x14ac:dyDescent="0.3">
      <c r="A163" t="s">
        <v>38</v>
      </c>
      <c r="B163">
        <v>10</v>
      </c>
      <c r="C163">
        <v>200</v>
      </c>
      <c r="D163">
        <v>15</v>
      </c>
      <c r="E163">
        <v>70</v>
      </c>
      <c r="F163" t="str">
        <f t="shared" si="2"/>
        <v>Economy</v>
      </c>
    </row>
    <row r="164" spans="1:6" x14ac:dyDescent="0.3">
      <c r="A164" t="s">
        <v>15</v>
      </c>
      <c r="B164">
        <v>15</v>
      </c>
      <c r="C164">
        <v>198</v>
      </c>
      <c r="D164">
        <v>10</v>
      </c>
      <c r="E164">
        <v>70</v>
      </c>
      <c r="F164" t="str">
        <f t="shared" si="2"/>
        <v>Economy</v>
      </c>
    </row>
    <row r="165" spans="1:6" x14ac:dyDescent="0.3">
      <c r="A165" t="s">
        <v>11</v>
      </c>
      <c r="B165">
        <v>15</v>
      </c>
      <c r="C165">
        <v>165</v>
      </c>
      <c r="D165">
        <v>11.5</v>
      </c>
      <c r="E165">
        <v>70</v>
      </c>
      <c r="F165" t="str">
        <f t="shared" si="2"/>
        <v>Economy</v>
      </c>
    </row>
    <row r="166" spans="1:6" x14ac:dyDescent="0.3">
      <c r="A166" t="s">
        <v>21</v>
      </c>
      <c r="B166">
        <v>14</v>
      </c>
      <c r="C166">
        <v>160</v>
      </c>
      <c r="D166">
        <v>8</v>
      </c>
      <c r="E166">
        <v>70</v>
      </c>
      <c r="F166" t="str">
        <f t="shared" si="2"/>
        <v>Economy</v>
      </c>
    </row>
    <row r="167" spans="1:6" x14ac:dyDescent="0.3">
      <c r="A167" t="s">
        <v>13</v>
      </c>
      <c r="B167">
        <v>16</v>
      </c>
      <c r="C167">
        <v>150</v>
      </c>
      <c r="D167">
        <v>12</v>
      </c>
      <c r="E167">
        <v>70</v>
      </c>
      <c r="F167" t="str">
        <f t="shared" si="2"/>
        <v>Economy</v>
      </c>
    </row>
    <row r="168" spans="1:6" x14ac:dyDescent="0.3">
      <c r="A168" t="s">
        <v>12</v>
      </c>
      <c r="B168">
        <v>18</v>
      </c>
      <c r="C168">
        <v>150</v>
      </c>
      <c r="D168">
        <v>11</v>
      </c>
      <c r="E168">
        <v>70</v>
      </c>
      <c r="F168" t="str">
        <f t="shared" si="2"/>
        <v>Economy</v>
      </c>
    </row>
    <row r="169" spans="1:6" x14ac:dyDescent="0.3">
      <c r="A169" t="s">
        <v>40</v>
      </c>
      <c r="B169">
        <v>9</v>
      </c>
      <c r="C169">
        <v>193</v>
      </c>
      <c r="D169">
        <v>18.5</v>
      </c>
      <c r="E169">
        <v>70</v>
      </c>
      <c r="F169" t="str">
        <f t="shared" si="2"/>
        <v>Economy</v>
      </c>
    </row>
    <row r="170" spans="1:6" x14ac:dyDescent="0.3">
      <c r="A170" t="s">
        <v>14</v>
      </c>
      <c r="B170">
        <v>17</v>
      </c>
      <c r="C170">
        <v>140</v>
      </c>
      <c r="D170">
        <v>10.5</v>
      </c>
      <c r="E170">
        <v>70</v>
      </c>
      <c r="F170" t="str">
        <f t="shared" si="2"/>
        <v>Economy</v>
      </c>
    </row>
    <row r="171" spans="1:6" x14ac:dyDescent="0.3">
      <c r="A171" t="s">
        <v>22</v>
      </c>
      <c r="B171">
        <v>15</v>
      </c>
      <c r="C171">
        <v>150</v>
      </c>
      <c r="D171">
        <v>9.5</v>
      </c>
      <c r="E171">
        <v>70</v>
      </c>
      <c r="F171" t="str">
        <f t="shared" si="2"/>
        <v>Economy</v>
      </c>
    </row>
    <row r="172" spans="1:6" x14ac:dyDescent="0.3">
      <c r="A172" t="s">
        <v>9</v>
      </c>
      <c r="B172">
        <v>18</v>
      </c>
      <c r="C172">
        <v>130</v>
      </c>
      <c r="D172">
        <v>12</v>
      </c>
      <c r="E172">
        <v>70</v>
      </c>
      <c r="F172" t="str">
        <f t="shared" si="2"/>
        <v>Economy</v>
      </c>
    </row>
    <row r="173" spans="1:6" x14ac:dyDescent="0.3">
      <c r="A173" t="s">
        <v>41</v>
      </c>
      <c r="B173">
        <v>28</v>
      </c>
      <c r="C173">
        <v>90</v>
      </c>
      <c r="D173">
        <v>15.5</v>
      </c>
      <c r="E173">
        <v>71</v>
      </c>
      <c r="F173" t="str">
        <f t="shared" si="2"/>
        <v>Mid Range</v>
      </c>
    </row>
    <row r="174" spans="1:6" x14ac:dyDescent="0.3">
      <c r="A174" t="s">
        <v>55</v>
      </c>
      <c r="B174">
        <v>23</v>
      </c>
      <c r="C174">
        <v>86</v>
      </c>
      <c r="D174">
        <v>14</v>
      </c>
      <c r="E174">
        <v>71</v>
      </c>
      <c r="F174" t="str">
        <f t="shared" si="2"/>
        <v>Mid Range</v>
      </c>
    </row>
    <row r="175" spans="1:6" x14ac:dyDescent="0.3">
      <c r="A175" t="s">
        <v>62</v>
      </c>
      <c r="B175">
        <v>26</v>
      </c>
      <c r="C175">
        <v>70</v>
      </c>
      <c r="D175">
        <v>20.5</v>
      </c>
      <c r="E175">
        <v>71</v>
      </c>
      <c r="F175" t="str">
        <f t="shared" si="2"/>
        <v>Economy</v>
      </c>
    </row>
    <row r="176" spans="1:6" x14ac:dyDescent="0.3">
      <c r="A176" t="s">
        <v>52</v>
      </c>
      <c r="B176">
        <v>22</v>
      </c>
      <c r="C176">
        <v>72</v>
      </c>
      <c r="D176">
        <v>19</v>
      </c>
      <c r="E176">
        <v>71</v>
      </c>
      <c r="F176" t="str">
        <f t="shared" si="2"/>
        <v>Mid Range</v>
      </c>
    </row>
    <row r="177" spans="1:6" x14ac:dyDescent="0.3">
      <c r="A177" t="s">
        <v>43</v>
      </c>
      <c r="B177">
        <v>25</v>
      </c>
      <c r="D177">
        <v>19</v>
      </c>
      <c r="E177">
        <v>71</v>
      </c>
      <c r="F177" t="str">
        <f t="shared" si="2"/>
        <v>Economy</v>
      </c>
    </row>
    <row r="178" spans="1:6" x14ac:dyDescent="0.3">
      <c r="A178" t="s">
        <v>36</v>
      </c>
      <c r="B178">
        <v>19</v>
      </c>
      <c r="C178">
        <v>100</v>
      </c>
      <c r="D178">
        <v>13</v>
      </c>
      <c r="E178">
        <v>71</v>
      </c>
      <c r="F178" t="str">
        <f t="shared" si="2"/>
        <v>Mid Range</v>
      </c>
    </row>
    <row r="179" spans="1:6" x14ac:dyDescent="0.3">
      <c r="A179" t="s">
        <v>51</v>
      </c>
      <c r="B179">
        <v>18</v>
      </c>
      <c r="C179">
        <v>110</v>
      </c>
      <c r="D179">
        <v>13.5</v>
      </c>
      <c r="E179">
        <v>71</v>
      </c>
      <c r="F179" t="str">
        <f t="shared" si="2"/>
        <v>Economy</v>
      </c>
    </row>
    <row r="180" spans="1:6" x14ac:dyDescent="0.3">
      <c r="A180" t="s">
        <v>44</v>
      </c>
      <c r="B180">
        <v>16</v>
      </c>
      <c r="C180">
        <v>105</v>
      </c>
      <c r="D180">
        <v>15.5</v>
      </c>
      <c r="E180">
        <v>71</v>
      </c>
      <c r="F180" t="str">
        <f t="shared" si="2"/>
        <v>Economy</v>
      </c>
    </row>
    <row r="181" spans="1:6" x14ac:dyDescent="0.3">
      <c r="A181" t="s">
        <v>53</v>
      </c>
      <c r="B181">
        <v>19</v>
      </c>
      <c r="C181">
        <v>100</v>
      </c>
      <c r="D181">
        <v>15</v>
      </c>
      <c r="E181">
        <v>71</v>
      </c>
      <c r="F181" t="str">
        <f t="shared" si="2"/>
        <v>Mid Range</v>
      </c>
    </row>
    <row r="182" spans="1:6" x14ac:dyDescent="0.3">
      <c r="A182" t="s">
        <v>46</v>
      </c>
      <c r="B182">
        <v>18</v>
      </c>
      <c r="C182">
        <v>100</v>
      </c>
      <c r="D182">
        <v>15.5</v>
      </c>
      <c r="E182">
        <v>71</v>
      </c>
      <c r="F182" t="str">
        <f t="shared" si="2"/>
        <v>Mid Range</v>
      </c>
    </row>
    <row r="183" spans="1:6" x14ac:dyDescent="0.3">
      <c r="A183" t="s">
        <v>9</v>
      </c>
      <c r="B183">
        <v>17</v>
      </c>
      <c r="C183">
        <v>100</v>
      </c>
      <c r="D183">
        <v>15.5</v>
      </c>
      <c r="E183">
        <v>71</v>
      </c>
      <c r="F183" t="str">
        <f t="shared" si="2"/>
        <v>Mid Range</v>
      </c>
    </row>
    <row r="184" spans="1:6" x14ac:dyDescent="0.3">
      <c r="A184" t="s">
        <v>54</v>
      </c>
      <c r="B184">
        <v>18</v>
      </c>
      <c r="C184">
        <v>88</v>
      </c>
      <c r="D184">
        <v>14.5</v>
      </c>
      <c r="E184">
        <v>71</v>
      </c>
      <c r="F184" t="str">
        <f t="shared" si="2"/>
        <v>Mid Range</v>
      </c>
    </row>
    <row r="185" spans="1:6" x14ac:dyDescent="0.3">
      <c r="A185" t="s">
        <v>45</v>
      </c>
      <c r="B185">
        <v>19</v>
      </c>
      <c r="C185">
        <v>88</v>
      </c>
      <c r="D185">
        <v>15.5</v>
      </c>
      <c r="E185">
        <v>71</v>
      </c>
      <c r="F185" t="str">
        <f t="shared" si="2"/>
        <v>Mid Range</v>
      </c>
    </row>
    <row r="186" spans="1:6" x14ac:dyDescent="0.3">
      <c r="A186" t="s">
        <v>16</v>
      </c>
      <c r="B186">
        <v>14</v>
      </c>
      <c r="C186">
        <v>165</v>
      </c>
      <c r="D186">
        <v>12</v>
      </c>
      <c r="E186">
        <v>71</v>
      </c>
      <c r="F186" t="str">
        <f t="shared" si="2"/>
        <v>Economy</v>
      </c>
    </row>
    <row r="187" spans="1:6" x14ac:dyDescent="0.3">
      <c r="A187" t="s">
        <v>47</v>
      </c>
      <c r="B187">
        <v>14</v>
      </c>
      <c r="C187">
        <v>175</v>
      </c>
      <c r="D187">
        <v>11.5</v>
      </c>
      <c r="E187">
        <v>71</v>
      </c>
      <c r="F187" t="str">
        <f t="shared" si="2"/>
        <v>Economy</v>
      </c>
    </row>
    <row r="188" spans="1:6" x14ac:dyDescent="0.3">
      <c r="A188" t="s">
        <v>15</v>
      </c>
      <c r="B188">
        <v>14</v>
      </c>
      <c r="C188">
        <v>153</v>
      </c>
      <c r="D188">
        <v>13.5</v>
      </c>
      <c r="E188">
        <v>71</v>
      </c>
      <c r="F188" t="str">
        <f t="shared" si="2"/>
        <v>Economy</v>
      </c>
    </row>
    <row r="189" spans="1:6" x14ac:dyDescent="0.3">
      <c r="A189" t="s">
        <v>17</v>
      </c>
      <c r="B189">
        <v>14</v>
      </c>
      <c r="C189">
        <v>150</v>
      </c>
      <c r="D189">
        <v>13</v>
      </c>
      <c r="E189">
        <v>71</v>
      </c>
      <c r="F189" t="str">
        <f t="shared" si="2"/>
        <v>Economy</v>
      </c>
    </row>
    <row r="190" spans="1:6" x14ac:dyDescent="0.3">
      <c r="A190" t="s">
        <v>48</v>
      </c>
      <c r="B190">
        <v>12</v>
      </c>
      <c r="C190">
        <v>180</v>
      </c>
      <c r="D190">
        <v>11.5</v>
      </c>
      <c r="E190">
        <v>71</v>
      </c>
      <c r="F190" t="str">
        <f t="shared" si="2"/>
        <v>Economy</v>
      </c>
    </row>
    <row r="191" spans="1:6" x14ac:dyDescent="0.3">
      <c r="A191" t="s">
        <v>49</v>
      </c>
      <c r="B191">
        <v>13</v>
      </c>
      <c r="C191">
        <v>170</v>
      </c>
      <c r="D191">
        <v>12</v>
      </c>
      <c r="E191">
        <v>71</v>
      </c>
      <c r="F191" t="str">
        <f t="shared" si="2"/>
        <v>Economy</v>
      </c>
    </row>
    <row r="192" spans="1:6" x14ac:dyDescent="0.3">
      <c r="A192" t="s">
        <v>50</v>
      </c>
      <c r="B192">
        <v>13</v>
      </c>
      <c r="C192">
        <v>175</v>
      </c>
      <c r="D192">
        <v>12</v>
      </c>
      <c r="E192">
        <v>71</v>
      </c>
      <c r="F192" t="str">
        <f t="shared" si="2"/>
        <v>Economy</v>
      </c>
    </row>
    <row r="193" spans="1:6" x14ac:dyDescent="0.3">
      <c r="A193" t="s">
        <v>67</v>
      </c>
      <c r="B193">
        <v>21</v>
      </c>
      <c r="C193">
        <v>86</v>
      </c>
      <c r="D193">
        <v>16.5</v>
      </c>
      <c r="E193">
        <v>72</v>
      </c>
      <c r="F193" t="str">
        <f t="shared" si="2"/>
        <v>Mid Range</v>
      </c>
    </row>
    <row r="194" spans="1:6" x14ac:dyDescent="0.3">
      <c r="A194" t="s">
        <v>64</v>
      </c>
      <c r="B194">
        <v>25</v>
      </c>
      <c r="C194">
        <v>80</v>
      </c>
      <c r="D194">
        <v>17</v>
      </c>
      <c r="E194">
        <v>72</v>
      </c>
      <c r="F194" t="str">
        <f t="shared" ref="F194:F257" si="3">IF(AND(C194&gt;100,D194&lt;13,B194&gt;32.5),"High Performance",IF(AND(C194&lt;= 100,C194&gt;=60,D194&gt;=13,D194&lt;=19,B194&gt;=17,B194&lt;=32.5),"Mid Range","Economy"))</f>
        <v>Mid Range</v>
      </c>
    </row>
    <row r="195" spans="1:6" x14ac:dyDescent="0.3">
      <c r="A195" t="s">
        <v>66</v>
      </c>
      <c r="B195">
        <v>20</v>
      </c>
      <c r="C195">
        <v>90</v>
      </c>
      <c r="D195">
        <v>19.5</v>
      </c>
      <c r="E195">
        <v>72</v>
      </c>
      <c r="F195" t="str">
        <f t="shared" si="3"/>
        <v>Economy</v>
      </c>
    </row>
    <row r="196" spans="1:6" x14ac:dyDescent="0.3">
      <c r="A196" t="s">
        <v>85</v>
      </c>
      <c r="B196">
        <v>28</v>
      </c>
      <c r="C196">
        <v>80</v>
      </c>
      <c r="D196">
        <v>15</v>
      </c>
      <c r="E196">
        <v>72</v>
      </c>
      <c r="F196" t="str">
        <f t="shared" si="3"/>
        <v>Mid Range</v>
      </c>
    </row>
    <row r="197" spans="1:6" x14ac:dyDescent="0.3">
      <c r="A197" t="s">
        <v>82</v>
      </c>
      <c r="B197">
        <v>22</v>
      </c>
      <c r="C197">
        <v>86</v>
      </c>
      <c r="D197">
        <v>16</v>
      </c>
      <c r="E197">
        <v>72</v>
      </c>
      <c r="F197" t="str">
        <f t="shared" si="3"/>
        <v>Mid Range</v>
      </c>
    </row>
    <row r="198" spans="1:6" x14ac:dyDescent="0.3">
      <c r="A198" t="s">
        <v>69</v>
      </c>
      <c r="B198">
        <v>11</v>
      </c>
      <c r="C198">
        <v>208</v>
      </c>
      <c r="D198">
        <v>11</v>
      </c>
      <c r="E198">
        <v>72</v>
      </c>
      <c r="F198" t="str">
        <f t="shared" si="3"/>
        <v>Economy</v>
      </c>
    </row>
    <row r="199" spans="1:6" x14ac:dyDescent="0.3">
      <c r="A199" t="s">
        <v>72</v>
      </c>
      <c r="B199">
        <v>13</v>
      </c>
      <c r="C199">
        <v>190</v>
      </c>
      <c r="D199">
        <v>12.5</v>
      </c>
      <c r="E199">
        <v>72</v>
      </c>
      <c r="F199" t="str">
        <f t="shared" si="3"/>
        <v>Economy</v>
      </c>
    </row>
    <row r="200" spans="1:6" x14ac:dyDescent="0.3">
      <c r="A200" t="s">
        <v>68</v>
      </c>
      <c r="B200">
        <v>17</v>
      </c>
      <c r="C200">
        <v>150</v>
      </c>
      <c r="D200">
        <v>11.5</v>
      </c>
      <c r="E200">
        <v>72</v>
      </c>
      <c r="F200" t="str">
        <f t="shared" si="3"/>
        <v>Economy</v>
      </c>
    </row>
    <row r="201" spans="1:6" x14ac:dyDescent="0.3">
      <c r="A201" t="s">
        <v>18</v>
      </c>
      <c r="B201">
        <v>14</v>
      </c>
      <c r="C201">
        <v>175</v>
      </c>
      <c r="D201">
        <v>12</v>
      </c>
      <c r="E201">
        <v>72</v>
      </c>
      <c r="F201" t="str">
        <f t="shared" si="3"/>
        <v>Economy</v>
      </c>
    </row>
    <row r="202" spans="1:6" x14ac:dyDescent="0.3">
      <c r="A202" t="s">
        <v>16</v>
      </c>
      <c r="B202">
        <v>13</v>
      </c>
      <c r="C202">
        <v>165</v>
      </c>
      <c r="D202">
        <v>12</v>
      </c>
      <c r="E202">
        <v>72</v>
      </c>
      <c r="F202" t="str">
        <f t="shared" si="3"/>
        <v>Economy</v>
      </c>
    </row>
    <row r="203" spans="1:6" x14ac:dyDescent="0.3">
      <c r="A203" t="s">
        <v>74</v>
      </c>
      <c r="B203">
        <v>15</v>
      </c>
      <c r="C203">
        <v>150</v>
      </c>
      <c r="D203">
        <v>12.5</v>
      </c>
      <c r="E203">
        <v>72</v>
      </c>
      <c r="F203" t="str">
        <f t="shared" si="3"/>
        <v>Economy</v>
      </c>
    </row>
    <row r="204" spans="1:6" x14ac:dyDescent="0.3">
      <c r="A204" t="s">
        <v>15</v>
      </c>
      <c r="B204">
        <v>14</v>
      </c>
      <c r="C204">
        <v>153</v>
      </c>
      <c r="D204">
        <v>13</v>
      </c>
      <c r="E204">
        <v>72</v>
      </c>
      <c r="F204" t="str">
        <f t="shared" si="3"/>
        <v>Economy</v>
      </c>
    </row>
    <row r="205" spans="1:6" x14ac:dyDescent="0.3">
      <c r="A205" t="s">
        <v>77</v>
      </c>
      <c r="B205">
        <v>14</v>
      </c>
      <c r="C205">
        <v>150</v>
      </c>
      <c r="D205">
        <v>14</v>
      </c>
      <c r="E205">
        <v>72</v>
      </c>
      <c r="F205" t="str">
        <f t="shared" si="3"/>
        <v>Economy</v>
      </c>
    </row>
    <row r="206" spans="1:6" x14ac:dyDescent="0.3">
      <c r="A206" t="s">
        <v>17</v>
      </c>
      <c r="B206">
        <v>15</v>
      </c>
      <c r="C206">
        <v>150</v>
      </c>
      <c r="D206">
        <v>13.5</v>
      </c>
      <c r="E206">
        <v>72</v>
      </c>
      <c r="F206" t="str">
        <f t="shared" si="3"/>
        <v>Economy</v>
      </c>
    </row>
    <row r="207" spans="1:6" x14ac:dyDescent="0.3">
      <c r="A207" t="s">
        <v>71</v>
      </c>
      <c r="B207">
        <v>12</v>
      </c>
      <c r="C207">
        <v>160</v>
      </c>
      <c r="D207">
        <v>13.5</v>
      </c>
      <c r="E207">
        <v>72</v>
      </c>
      <c r="F207" t="str">
        <f t="shared" si="3"/>
        <v>Economy</v>
      </c>
    </row>
    <row r="208" spans="1:6" x14ac:dyDescent="0.3">
      <c r="A208" t="s">
        <v>70</v>
      </c>
      <c r="B208">
        <v>13</v>
      </c>
      <c r="C208">
        <v>155</v>
      </c>
      <c r="D208">
        <v>13.5</v>
      </c>
      <c r="E208">
        <v>72</v>
      </c>
      <c r="F208" t="str">
        <f t="shared" si="3"/>
        <v>Economy</v>
      </c>
    </row>
    <row r="209" spans="1:6" x14ac:dyDescent="0.3">
      <c r="A209" t="s">
        <v>76</v>
      </c>
      <c r="B209">
        <v>13</v>
      </c>
      <c r="C209">
        <v>140</v>
      </c>
      <c r="D209">
        <v>16</v>
      </c>
      <c r="E209">
        <v>72</v>
      </c>
      <c r="F209" t="str">
        <f t="shared" si="3"/>
        <v>Economy</v>
      </c>
    </row>
    <row r="210" spans="1:6" x14ac:dyDescent="0.3">
      <c r="A210" t="s">
        <v>75</v>
      </c>
      <c r="B210">
        <v>13</v>
      </c>
      <c r="C210">
        <v>130</v>
      </c>
      <c r="D210">
        <v>14</v>
      </c>
      <c r="E210">
        <v>72</v>
      </c>
      <c r="F210" t="str">
        <f t="shared" si="3"/>
        <v>Economy</v>
      </c>
    </row>
    <row r="211" spans="1:6" x14ac:dyDescent="0.3">
      <c r="A211" t="s">
        <v>43</v>
      </c>
      <c r="B211">
        <v>19</v>
      </c>
      <c r="C211">
        <v>85</v>
      </c>
      <c r="D211">
        <v>18.5</v>
      </c>
      <c r="E211">
        <v>73</v>
      </c>
      <c r="F211" t="str">
        <f t="shared" si="3"/>
        <v>Mid Range</v>
      </c>
    </row>
    <row r="212" spans="1:6" x14ac:dyDescent="0.3">
      <c r="A212" t="s">
        <v>66</v>
      </c>
      <c r="B212">
        <v>21</v>
      </c>
      <c r="C212">
        <v>72</v>
      </c>
      <c r="D212">
        <v>19.5</v>
      </c>
      <c r="E212">
        <v>73</v>
      </c>
      <c r="F212" t="str">
        <f t="shared" si="3"/>
        <v>Economy</v>
      </c>
    </row>
    <row r="213" spans="1:6" x14ac:dyDescent="0.3">
      <c r="A213" t="s">
        <v>107</v>
      </c>
      <c r="B213">
        <v>21</v>
      </c>
      <c r="C213">
        <v>107</v>
      </c>
      <c r="D213">
        <v>14</v>
      </c>
      <c r="E213">
        <v>73</v>
      </c>
      <c r="F213" t="str">
        <f t="shared" si="3"/>
        <v>Economy</v>
      </c>
    </row>
    <row r="214" spans="1:6" x14ac:dyDescent="0.3">
      <c r="A214" t="s">
        <v>36</v>
      </c>
      <c r="B214">
        <v>18</v>
      </c>
      <c r="C214">
        <v>100</v>
      </c>
      <c r="D214">
        <v>15</v>
      </c>
      <c r="E214">
        <v>73</v>
      </c>
      <c r="F214" t="str">
        <f t="shared" si="3"/>
        <v>Mid Range</v>
      </c>
    </row>
    <row r="215" spans="1:6" x14ac:dyDescent="0.3">
      <c r="A215" t="s">
        <v>27</v>
      </c>
      <c r="B215">
        <v>18</v>
      </c>
      <c r="C215">
        <v>100</v>
      </c>
      <c r="D215">
        <v>16</v>
      </c>
      <c r="E215">
        <v>73</v>
      </c>
      <c r="F215" t="str">
        <f t="shared" si="3"/>
        <v>Mid Range</v>
      </c>
    </row>
    <row r="216" spans="1:6" x14ac:dyDescent="0.3">
      <c r="A216" t="s">
        <v>98</v>
      </c>
      <c r="B216">
        <v>18</v>
      </c>
      <c r="C216">
        <v>105</v>
      </c>
      <c r="D216">
        <v>16.5</v>
      </c>
      <c r="E216">
        <v>73</v>
      </c>
      <c r="F216" t="str">
        <f t="shared" si="3"/>
        <v>Economy</v>
      </c>
    </row>
    <row r="217" spans="1:6" x14ac:dyDescent="0.3">
      <c r="A217" t="s">
        <v>26</v>
      </c>
      <c r="B217">
        <v>23</v>
      </c>
      <c r="C217">
        <v>95</v>
      </c>
      <c r="D217">
        <v>16</v>
      </c>
      <c r="E217">
        <v>73</v>
      </c>
      <c r="F217" t="str">
        <f t="shared" si="3"/>
        <v>Mid Range</v>
      </c>
    </row>
    <row r="218" spans="1:6" x14ac:dyDescent="0.3">
      <c r="A218" t="s">
        <v>99</v>
      </c>
      <c r="B218">
        <v>16</v>
      </c>
      <c r="C218">
        <v>100</v>
      </c>
      <c r="D218">
        <v>18</v>
      </c>
      <c r="E218">
        <v>73</v>
      </c>
      <c r="F218" t="str">
        <f t="shared" si="3"/>
        <v>Economy</v>
      </c>
    </row>
    <row r="219" spans="1:6" x14ac:dyDescent="0.3">
      <c r="A219" t="s">
        <v>28</v>
      </c>
      <c r="B219">
        <v>18</v>
      </c>
      <c r="C219">
        <v>88</v>
      </c>
      <c r="D219">
        <v>16.5</v>
      </c>
      <c r="E219">
        <v>73</v>
      </c>
      <c r="F219" t="str">
        <f t="shared" si="3"/>
        <v>Mid Range</v>
      </c>
    </row>
    <row r="220" spans="1:6" x14ac:dyDescent="0.3">
      <c r="A220" t="s">
        <v>110</v>
      </c>
      <c r="B220">
        <v>16</v>
      </c>
      <c r="C220">
        <v>230</v>
      </c>
      <c r="D220">
        <v>9.5</v>
      </c>
      <c r="E220">
        <v>73</v>
      </c>
      <c r="F220" t="str">
        <f t="shared" si="3"/>
        <v>Economy</v>
      </c>
    </row>
    <row r="221" spans="1:6" x14ac:dyDescent="0.3">
      <c r="A221" t="s">
        <v>118</v>
      </c>
      <c r="B221">
        <v>11</v>
      </c>
      <c r="C221">
        <v>180</v>
      </c>
      <c r="D221">
        <v>11</v>
      </c>
      <c r="E221">
        <v>73</v>
      </c>
      <c r="F221" t="str">
        <f t="shared" si="3"/>
        <v>Economy</v>
      </c>
    </row>
    <row r="222" spans="1:6" x14ac:dyDescent="0.3">
      <c r="A222" t="s">
        <v>97</v>
      </c>
      <c r="B222">
        <v>13</v>
      </c>
      <c r="C222">
        <v>175</v>
      </c>
      <c r="D222">
        <v>11</v>
      </c>
      <c r="E222">
        <v>73</v>
      </c>
      <c r="F222" t="str">
        <f t="shared" si="3"/>
        <v>Economy</v>
      </c>
    </row>
    <row r="223" spans="1:6" x14ac:dyDescent="0.3">
      <c r="A223" t="s">
        <v>96</v>
      </c>
      <c r="B223">
        <v>12</v>
      </c>
      <c r="C223">
        <v>225</v>
      </c>
      <c r="D223">
        <v>11</v>
      </c>
      <c r="E223">
        <v>73</v>
      </c>
      <c r="F223" t="str">
        <f t="shared" si="3"/>
        <v>Economy</v>
      </c>
    </row>
    <row r="224" spans="1:6" x14ac:dyDescent="0.3">
      <c r="A224" t="s">
        <v>95</v>
      </c>
      <c r="B224">
        <v>13</v>
      </c>
      <c r="C224">
        <v>215</v>
      </c>
      <c r="D224">
        <v>11</v>
      </c>
      <c r="E224">
        <v>73</v>
      </c>
      <c r="F224" t="str">
        <f t="shared" si="3"/>
        <v>Economy</v>
      </c>
    </row>
    <row r="225" spans="1:6" x14ac:dyDescent="0.3">
      <c r="A225" t="s">
        <v>115</v>
      </c>
      <c r="B225">
        <v>15</v>
      </c>
      <c r="C225">
        <v>150</v>
      </c>
      <c r="D225">
        <v>11</v>
      </c>
      <c r="E225">
        <v>73</v>
      </c>
      <c r="F225" t="str">
        <f t="shared" si="3"/>
        <v>Economy</v>
      </c>
    </row>
    <row r="226" spans="1:6" x14ac:dyDescent="0.3">
      <c r="A226" t="s">
        <v>87</v>
      </c>
      <c r="B226">
        <v>13</v>
      </c>
      <c r="C226">
        <v>175</v>
      </c>
      <c r="D226">
        <v>13</v>
      </c>
      <c r="E226">
        <v>73</v>
      </c>
      <c r="F226" t="str">
        <f t="shared" si="3"/>
        <v>Economy</v>
      </c>
    </row>
    <row r="227" spans="1:6" x14ac:dyDescent="0.3">
      <c r="A227" t="s">
        <v>46</v>
      </c>
      <c r="B227">
        <v>14</v>
      </c>
      <c r="C227">
        <v>150</v>
      </c>
      <c r="D227">
        <v>11.5</v>
      </c>
      <c r="E227">
        <v>73</v>
      </c>
      <c r="F227" t="str">
        <f t="shared" si="3"/>
        <v>Economy</v>
      </c>
    </row>
    <row r="228" spans="1:6" x14ac:dyDescent="0.3">
      <c r="A228" t="s">
        <v>91</v>
      </c>
      <c r="B228">
        <v>12</v>
      </c>
      <c r="C228">
        <v>198</v>
      </c>
      <c r="D228">
        <v>11.5</v>
      </c>
      <c r="E228">
        <v>73</v>
      </c>
      <c r="F228" t="str">
        <f t="shared" si="3"/>
        <v>Economy</v>
      </c>
    </row>
    <row r="229" spans="1:6" x14ac:dyDescent="0.3">
      <c r="A229" t="s">
        <v>103</v>
      </c>
      <c r="B229">
        <v>12</v>
      </c>
      <c r="C229">
        <v>180</v>
      </c>
      <c r="D229">
        <v>12.5</v>
      </c>
      <c r="E229">
        <v>73</v>
      </c>
      <c r="F229" t="str">
        <f t="shared" si="3"/>
        <v>Economy</v>
      </c>
    </row>
    <row r="230" spans="1:6" x14ac:dyDescent="0.3">
      <c r="A230" t="s">
        <v>90</v>
      </c>
      <c r="B230">
        <v>15</v>
      </c>
      <c r="C230">
        <v>150</v>
      </c>
      <c r="D230">
        <v>12.5</v>
      </c>
      <c r="E230">
        <v>73</v>
      </c>
      <c r="F230" t="str">
        <f t="shared" si="3"/>
        <v>Economy</v>
      </c>
    </row>
    <row r="231" spans="1:6" x14ac:dyDescent="0.3">
      <c r="A231" t="s">
        <v>102</v>
      </c>
      <c r="B231">
        <v>13</v>
      </c>
      <c r="C231">
        <v>170</v>
      </c>
      <c r="D231">
        <v>13</v>
      </c>
      <c r="E231">
        <v>73</v>
      </c>
      <c r="F231" t="str">
        <f t="shared" si="3"/>
        <v>Economy</v>
      </c>
    </row>
    <row r="232" spans="1:6" x14ac:dyDescent="0.3">
      <c r="A232" t="s">
        <v>88</v>
      </c>
      <c r="B232">
        <v>13</v>
      </c>
      <c r="C232">
        <v>145</v>
      </c>
      <c r="D232">
        <v>13</v>
      </c>
      <c r="E232">
        <v>73</v>
      </c>
      <c r="F232" t="str">
        <f t="shared" si="3"/>
        <v>Economy</v>
      </c>
    </row>
    <row r="233" spans="1:6" x14ac:dyDescent="0.3">
      <c r="A233" t="s">
        <v>93</v>
      </c>
      <c r="B233">
        <v>13</v>
      </c>
      <c r="C233">
        <v>158</v>
      </c>
      <c r="D233">
        <v>13</v>
      </c>
      <c r="E233">
        <v>73</v>
      </c>
      <c r="F233" t="str">
        <f t="shared" si="3"/>
        <v>Economy</v>
      </c>
    </row>
    <row r="234" spans="1:6" x14ac:dyDescent="0.3">
      <c r="A234" t="s">
        <v>109</v>
      </c>
      <c r="B234">
        <v>15</v>
      </c>
      <c r="C234">
        <v>145</v>
      </c>
      <c r="D234">
        <v>13</v>
      </c>
      <c r="E234">
        <v>73</v>
      </c>
      <c r="F234" t="str">
        <f t="shared" si="3"/>
        <v>Economy</v>
      </c>
    </row>
    <row r="235" spans="1:6" x14ac:dyDescent="0.3">
      <c r="A235" t="s">
        <v>94</v>
      </c>
      <c r="B235">
        <v>14</v>
      </c>
      <c r="C235">
        <v>150</v>
      </c>
      <c r="D235">
        <v>14.5</v>
      </c>
      <c r="E235">
        <v>73</v>
      </c>
      <c r="F235" t="str">
        <f t="shared" si="3"/>
        <v>Economy</v>
      </c>
    </row>
    <row r="236" spans="1:6" x14ac:dyDescent="0.3">
      <c r="A236" t="s">
        <v>101</v>
      </c>
      <c r="B236">
        <v>12</v>
      </c>
      <c r="C236">
        <v>167</v>
      </c>
      <c r="D236">
        <v>12.5</v>
      </c>
      <c r="E236">
        <v>73</v>
      </c>
      <c r="F236" t="str">
        <f t="shared" si="3"/>
        <v>Economy</v>
      </c>
    </row>
    <row r="237" spans="1:6" x14ac:dyDescent="0.3">
      <c r="A237" t="s">
        <v>89</v>
      </c>
      <c r="B237">
        <v>14</v>
      </c>
      <c r="C237">
        <v>137</v>
      </c>
      <c r="D237">
        <v>14.5</v>
      </c>
      <c r="E237">
        <v>73</v>
      </c>
      <c r="F237" t="str">
        <f t="shared" si="3"/>
        <v>Economy</v>
      </c>
    </row>
    <row r="238" spans="1:6" x14ac:dyDescent="0.3">
      <c r="A238" t="s">
        <v>92</v>
      </c>
      <c r="B238">
        <v>13</v>
      </c>
      <c r="C238">
        <v>150</v>
      </c>
      <c r="D238">
        <v>12</v>
      </c>
      <c r="E238">
        <v>73</v>
      </c>
      <c r="F238" t="str">
        <f t="shared" si="3"/>
        <v>Economy</v>
      </c>
    </row>
    <row r="239" spans="1:6" x14ac:dyDescent="0.3">
      <c r="A239" t="s">
        <v>16</v>
      </c>
      <c r="B239">
        <v>11</v>
      </c>
      <c r="C239">
        <v>150</v>
      </c>
      <c r="D239">
        <v>14</v>
      </c>
      <c r="E239">
        <v>73</v>
      </c>
      <c r="F239" t="str">
        <f t="shared" si="3"/>
        <v>Economy</v>
      </c>
    </row>
    <row r="240" spans="1:6" x14ac:dyDescent="0.3">
      <c r="A240" t="s">
        <v>128</v>
      </c>
      <c r="B240">
        <v>28</v>
      </c>
      <c r="C240">
        <v>75</v>
      </c>
      <c r="D240">
        <v>14.5</v>
      </c>
      <c r="E240">
        <v>74</v>
      </c>
      <c r="F240" t="str">
        <f t="shared" si="3"/>
        <v>Mid Range</v>
      </c>
    </row>
    <row r="241" spans="1:6" x14ac:dyDescent="0.3">
      <c r="A241" t="s">
        <v>43</v>
      </c>
      <c r="B241">
        <v>26</v>
      </c>
      <c r="C241">
        <v>80</v>
      </c>
      <c r="D241">
        <v>16.5</v>
      </c>
      <c r="E241">
        <v>74</v>
      </c>
      <c r="F241" t="str">
        <f t="shared" si="3"/>
        <v>Mid Range</v>
      </c>
    </row>
    <row r="242" spans="1:6" x14ac:dyDescent="0.3">
      <c r="A242" t="s">
        <v>66</v>
      </c>
      <c r="B242">
        <v>25</v>
      </c>
      <c r="C242">
        <v>75</v>
      </c>
      <c r="D242">
        <v>17</v>
      </c>
      <c r="E242">
        <v>74</v>
      </c>
      <c r="F242" t="str">
        <f t="shared" si="3"/>
        <v>Mid Range</v>
      </c>
    </row>
    <row r="243" spans="1:6" x14ac:dyDescent="0.3">
      <c r="A243" t="s">
        <v>27</v>
      </c>
      <c r="B243">
        <v>19</v>
      </c>
      <c r="C243">
        <v>100</v>
      </c>
      <c r="D243">
        <v>16</v>
      </c>
      <c r="E243">
        <v>74</v>
      </c>
      <c r="F243" t="str">
        <f t="shared" si="3"/>
        <v>Mid Range</v>
      </c>
    </row>
    <row r="244" spans="1:6" x14ac:dyDescent="0.3">
      <c r="A244" t="s">
        <v>26</v>
      </c>
      <c r="B244">
        <v>20</v>
      </c>
      <c r="C244">
        <v>95</v>
      </c>
      <c r="D244">
        <v>16.5</v>
      </c>
      <c r="E244">
        <v>74</v>
      </c>
      <c r="F244" t="str">
        <f t="shared" si="3"/>
        <v>Mid Range</v>
      </c>
    </row>
    <row r="245" spans="1:6" x14ac:dyDescent="0.3">
      <c r="A245" t="s">
        <v>46</v>
      </c>
      <c r="B245">
        <v>16</v>
      </c>
      <c r="C245">
        <v>110</v>
      </c>
      <c r="D245">
        <v>18</v>
      </c>
      <c r="E245">
        <v>74</v>
      </c>
      <c r="F245" t="str">
        <f t="shared" si="3"/>
        <v>Economy</v>
      </c>
    </row>
    <row r="246" spans="1:6" x14ac:dyDescent="0.3">
      <c r="A246" t="s">
        <v>119</v>
      </c>
      <c r="B246">
        <v>15</v>
      </c>
      <c r="C246">
        <v>100</v>
      </c>
      <c r="D246">
        <v>17</v>
      </c>
      <c r="E246">
        <v>74</v>
      </c>
      <c r="F246" t="str">
        <f t="shared" si="3"/>
        <v>Economy</v>
      </c>
    </row>
    <row r="247" spans="1:6" x14ac:dyDescent="0.3">
      <c r="A247" t="s">
        <v>122</v>
      </c>
      <c r="B247">
        <v>18</v>
      </c>
      <c r="C247">
        <v>105</v>
      </c>
      <c r="D247">
        <v>16.5</v>
      </c>
      <c r="E247">
        <v>74</v>
      </c>
      <c r="F247" t="str">
        <f t="shared" si="3"/>
        <v>Economy</v>
      </c>
    </row>
    <row r="248" spans="1:6" x14ac:dyDescent="0.3">
      <c r="A248" t="s">
        <v>121</v>
      </c>
      <c r="B248">
        <v>16</v>
      </c>
      <c r="C248">
        <v>100</v>
      </c>
      <c r="D248">
        <v>17</v>
      </c>
      <c r="E248">
        <v>74</v>
      </c>
      <c r="F248" t="str">
        <f t="shared" si="3"/>
        <v>Economy</v>
      </c>
    </row>
    <row r="249" spans="1:6" x14ac:dyDescent="0.3">
      <c r="A249" t="s">
        <v>28</v>
      </c>
      <c r="B249">
        <v>21</v>
      </c>
      <c r="D249">
        <v>17</v>
      </c>
      <c r="E249">
        <v>74</v>
      </c>
      <c r="F249" t="str">
        <f t="shared" si="3"/>
        <v>Economy</v>
      </c>
    </row>
    <row r="250" spans="1:6" x14ac:dyDescent="0.3">
      <c r="A250" t="s">
        <v>74</v>
      </c>
      <c r="B250">
        <v>14</v>
      </c>
      <c r="C250">
        <v>150</v>
      </c>
      <c r="D250">
        <v>15.5</v>
      </c>
      <c r="E250">
        <v>74</v>
      </c>
      <c r="F250" t="str">
        <f t="shared" si="3"/>
        <v>Economy</v>
      </c>
    </row>
    <row r="251" spans="1:6" x14ac:dyDescent="0.3">
      <c r="A251" t="s">
        <v>89</v>
      </c>
      <c r="B251">
        <v>16</v>
      </c>
      <c r="C251">
        <v>140</v>
      </c>
      <c r="D251">
        <v>14</v>
      </c>
      <c r="E251">
        <v>74</v>
      </c>
      <c r="F251" t="str">
        <f t="shared" si="3"/>
        <v>Economy</v>
      </c>
    </row>
    <row r="252" spans="1:6" x14ac:dyDescent="0.3">
      <c r="A252" t="s">
        <v>124</v>
      </c>
      <c r="B252">
        <v>14</v>
      </c>
      <c r="C252">
        <v>150</v>
      </c>
      <c r="D252">
        <v>13.5</v>
      </c>
      <c r="E252">
        <v>74</v>
      </c>
      <c r="F252" t="str">
        <f t="shared" si="3"/>
        <v>Economy</v>
      </c>
    </row>
    <row r="253" spans="1:6" x14ac:dyDescent="0.3">
      <c r="A253" t="s">
        <v>123</v>
      </c>
      <c r="B253">
        <v>13</v>
      </c>
      <c r="C253">
        <v>150</v>
      </c>
      <c r="D253">
        <v>14.5</v>
      </c>
      <c r="E253">
        <v>74</v>
      </c>
      <c r="F253" t="str">
        <f t="shared" si="3"/>
        <v>Economy</v>
      </c>
    </row>
    <row r="254" spans="1:6" x14ac:dyDescent="0.3">
      <c r="A254" t="s">
        <v>76</v>
      </c>
      <c r="B254">
        <v>14</v>
      </c>
      <c r="C254">
        <v>140</v>
      </c>
      <c r="D254">
        <v>16</v>
      </c>
      <c r="E254">
        <v>74</v>
      </c>
      <c r="F254" t="str">
        <f t="shared" si="3"/>
        <v>Economy</v>
      </c>
    </row>
    <row r="255" spans="1:6" x14ac:dyDescent="0.3">
      <c r="A255" t="s">
        <v>43</v>
      </c>
      <c r="B255">
        <v>23</v>
      </c>
      <c r="C255">
        <v>83</v>
      </c>
      <c r="D255">
        <v>17</v>
      </c>
      <c r="E255">
        <v>75</v>
      </c>
      <c r="F255" t="str">
        <f t="shared" si="3"/>
        <v>Mid Range</v>
      </c>
    </row>
    <row r="256" spans="1:6" x14ac:dyDescent="0.3">
      <c r="A256" t="s">
        <v>144</v>
      </c>
      <c r="B256">
        <v>23</v>
      </c>
      <c r="C256">
        <v>78</v>
      </c>
      <c r="D256">
        <v>18.5</v>
      </c>
      <c r="E256">
        <v>75</v>
      </c>
      <c r="F256" t="str">
        <f t="shared" si="3"/>
        <v>Mid Range</v>
      </c>
    </row>
    <row r="257" spans="1:6" x14ac:dyDescent="0.3">
      <c r="A257" t="s">
        <v>140</v>
      </c>
      <c r="B257">
        <v>21</v>
      </c>
      <c r="C257">
        <v>110</v>
      </c>
      <c r="D257">
        <v>15</v>
      </c>
      <c r="E257">
        <v>75</v>
      </c>
      <c r="F257" t="str">
        <f t="shared" si="3"/>
        <v>Economy</v>
      </c>
    </row>
    <row r="258" spans="1:6" x14ac:dyDescent="0.3">
      <c r="A258" t="s">
        <v>36</v>
      </c>
      <c r="B258">
        <v>20</v>
      </c>
      <c r="C258">
        <v>100</v>
      </c>
      <c r="D258">
        <v>16</v>
      </c>
      <c r="E258">
        <v>75</v>
      </c>
      <c r="F258" t="str">
        <f t="shared" ref="F258:F321" si="4">IF(AND(C258&gt;100,D258&lt;13,B258&gt;32.5),"High Performance",IF(AND(C258&lt;= 100,C258&gt;=60,D258&gt;=13,D258&lt;=19,B258&gt;=17,B258&lt;=32.5),"Mid Range","Economy"))</f>
        <v>Mid Range</v>
      </c>
    </row>
    <row r="259" spans="1:6" x14ac:dyDescent="0.3">
      <c r="A259" t="s">
        <v>43</v>
      </c>
      <c r="B259">
        <v>18</v>
      </c>
      <c r="C259">
        <v>97</v>
      </c>
      <c r="D259">
        <v>14.5</v>
      </c>
      <c r="E259">
        <v>75</v>
      </c>
      <c r="F259" t="str">
        <f t="shared" si="4"/>
        <v>Mid Range</v>
      </c>
    </row>
    <row r="260" spans="1:6" x14ac:dyDescent="0.3">
      <c r="A260" t="s">
        <v>119</v>
      </c>
      <c r="B260">
        <v>18</v>
      </c>
      <c r="C260">
        <v>105</v>
      </c>
      <c r="D260">
        <v>16</v>
      </c>
      <c r="E260">
        <v>75</v>
      </c>
      <c r="F260" t="str">
        <f t="shared" si="4"/>
        <v>Economy</v>
      </c>
    </row>
    <row r="261" spans="1:6" x14ac:dyDescent="0.3">
      <c r="A261" t="s">
        <v>46</v>
      </c>
      <c r="B261">
        <v>15</v>
      </c>
      <c r="C261">
        <v>110</v>
      </c>
      <c r="D261">
        <v>19</v>
      </c>
      <c r="E261">
        <v>75</v>
      </c>
      <c r="F261" t="str">
        <f t="shared" si="4"/>
        <v>Economy</v>
      </c>
    </row>
    <row r="262" spans="1:6" x14ac:dyDescent="0.3">
      <c r="A262" t="s">
        <v>133</v>
      </c>
      <c r="B262">
        <v>19</v>
      </c>
      <c r="C262">
        <v>95</v>
      </c>
      <c r="D262">
        <v>16</v>
      </c>
      <c r="E262">
        <v>75</v>
      </c>
      <c r="F262" t="str">
        <f t="shared" si="4"/>
        <v>Mid Range</v>
      </c>
    </row>
    <row r="263" spans="1:6" x14ac:dyDescent="0.3">
      <c r="A263" t="s">
        <v>137</v>
      </c>
      <c r="B263">
        <v>17</v>
      </c>
      <c r="C263">
        <v>110</v>
      </c>
      <c r="D263">
        <v>21</v>
      </c>
      <c r="E263">
        <v>75</v>
      </c>
      <c r="F263" t="str">
        <f t="shared" si="4"/>
        <v>Economy</v>
      </c>
    </row>
    <row r="264" spans="1:6" x14ac:dyDescent="0.3">
      <c r="A264" t="s">
        <v>146</v>
      </c>
      <c r="B264">
        <v>19</v>
      </c>
      <c r="C264">
        <v>90</v>
      </c>
      <c r="D264">
        <v>17</v>
      </c>
      <c r="E264">
        <v>75</v>
      </c>
      <c r="F264" t="str">
        <f t="shared" si="4"/>
        <v>Mid Range</v>
      </c>
    </row>
    <row r="265" spans="1:6" x14ac:dyDescent="0.3">
      <c r="A265" t="s">
        <v>138</v>
      </c>
      <c r="B265">
        <v>16</v>
      </c>
      <c r="C265">
        <v>105</v>
      </c>
      <c r="D265">
        <v>18.5</v>
      </c>
      <c r="E265">
        <v>75</v>
      </c>
      <c r="F265" t="str">
        <f t="shared" si="4"/>
        <v>Economy</v>
      </c>
    </row>
    <row r="266" spans="1:6" x14ac:dyDescent="0.3">
      <c r="A266" t="s">
        <v>139</v>
      </c>
      <c r="B266">
        <v>18</v>
      </c>
      <c r="C266">
        <v>95</v>
      </c>
      <c r="D266">
        <v>19</v>
      </c>
      <c r="E266">
        <v>75</v>
      </c>
      <c r="F266" t="str">
        <f t="shared" si="4"/>
        <v>Mid Range</v>
      </c>
    </row>
    <row r="267" spans="1:6" x14ac:dyDescent="0.3">
      <c r="A267" t="s">
        <v>28</v>
      </c>
      <c r="B267">
        <v>15</v>
      </c>
      <c r="C267">
        <v>72</v>
      </c>
      <c r="D267">
        <v>19.5</v>
      </c>
      <c r="E267">
        <v>75</v>
      </c>
      <c r="F267" t="str">
        <f t="shared" si="4"/>
        <v>Economy</v>
      </c>
    </row>
    <row r="268" spans="1:6" x14ac:dyDescent="0.3">
      <c r="A268" t="s">
        <v>134</v>
      </c>
      <c r="B268">
        <v>15</v>
      </c>
      <c r="C268">
        <v>72</v>
      </c>
      <c r="D268">
        <v>21</v>
      </c>
      <c r="E268">
        <v>75</v>
      </c>
      <c r="F268" t="str">
        <f t="shared" si="4"/>
        <v>Economy</v>
      </c>
    </row>
    <row r="269" spans="1:6" x14ac:dyDescent="0.3">
      <c r="A269" t="s">
        <v>142</v>
      </c>
      <c r="B269">
        <v>13</v>
      </c>
      <c r="C269">
        <v>129</v>
      </c>
      <c r="D269">
        <v>12</v>
      </c>
      <c r="E269">
        <v>75</v>
      </c>
      <c r="F269" t="str">
        <f t="shared" si="4"/>
        <v>Economy</v>
      </c>
    </row>
    <row r="270" spans="1:6" x14ac:dyDescent="0.3">
      <c r="A270" t="s">
        <v>18</v>
      </c>
      <c r="B270">
        <v>16</v>
      </c>
      <c r="C270">
        <v>170</v>
      </c>
      <c r="D270">
        <v>11.5</v>
      </c>
      <c r="E270">
        <v>75</v>
      </c>
      <c r="F270" t="str">
        <f t="shared" si="4"/>
        <v>Economy</v>
      </c>
    </row>
    <row r="271" spans="1:6" x14ac:dyDescent="0.3">
      <c r="A271" t="s">
        <v>141</v>
      </c>
      <c r="B271">
        <v>20</v>
      </c>
      <c r="C271">
        <v>110</v>
      </c>
      <c r="D271">
        <v>13.5</v>
      </c>
      <c r="E271">
        <v>75</v>
      </c>
      <c r="F271" t="str">
        <f t="shared" si="4"/>
        <v>Economy</v>
      </c>
    </row>
    <row r="272" spans="1:6" x14ac:dyDescent="0.3">
      <c r="A272" t="s">
        <v>136</v>
      </c>
      <c r="B272">
        <v>16</v>
      </c>
      <c r="C272">
        <v>150</v>
      </c>
      <c r="D272">
        <v>14.5</v>
      </c>
      <c r="E272">
        <v>75</v>
      </c>
      <c r="F272" t="str">
        <f t="shared" si="4"/>
        <v>Economy</v>
      </c>
    </row>
    <row r="273" spans="1:6" x14ac:dyDescent="0.3">
      <c r="A273" t="s">
        <v>135</v>
      </c>
      <c r="B273">
        <v>15</v>
      </c>
      <c r="C273">
        <v>145</v>
      </c>
      <c r="D273">
        <v>14</v>
      </c>
      <c r="E273">
        <v>75</v>
      </c>
      <c r="F273" t="str">
        <f t="shared" si="4"/>
        <v>Economy</v>
      </c>
    </row>
    <row r="274" spans="1:6" x14ac:dyDescent="0.3">
      <c r="A274" t="s">
        <v>93</v>
      </c>
      <c r="B274">
        <v>14</v>
      </c>
      <c r="C274">
        <v>148</v>
      </c>
      <c r="D274">
        <v>13.5</v>
      </c>
      <c r="E274">
        <v>75</v>
      </c>
      <c r="F274" t="str">
        <f t="shared" si="4"/>
        <v>Economy</v>
      </c>
    </row>
    <row r="275" spans="1:6" x14ac:dyDescent="0.3">
      <c r="A275" t="s">
        <v>150</v>
      </c>
      <c r="B275">
        <v>25</v>
      </c>
      <c r="C275">
        <v>92</v>
      </c>
      <c r="D275">
        <v>14.9</v>
      </c>
      <c r="E275">
        <v>76</v>
      </c>
      <c r="F275" t="str">
        <f t="shared" si="4"/>
        <v>Mid Range</v>
      </c>
    </row>
    <row r="276" spans="1:6" x14ac:dyDescent="0.3">
      <c r="A276" t="s">
        <v>128</v>
      </c>
      <c r="B276">
        <v>26</v>
      </c>
      <c r="C276">
        <v>79</v>
      </c>
      <c r="D276">
        <v>17.7</v>
      </c>
      <c r="E276">
        <v>76</v>
      </c>
      <c r="F276" t="str">
        <f t="shared" si="4"/>
        <v>Mid Range</v>
      </c>
    </row>
    <row r="277" spans="1:6" x14ac:dyDescent="0.3">
      <c r="A277" t="s">
        <v>43</v>
      </c>
      <c r="B277">
        <v>26.5</v>
      </c>
      <c r="C277">
        <v>72</v>
      </c>
      <c r="D277">
        <v>13.6</v>
      </c>
      <c r="E277">
        <v>76</v>
      </c>
      <c r="F277" t="str">
        <f t="shared" si="4"/>
        <v>Mid Range</v>
      </c>
    </row>
    <row r="278" spans="1:6" x14ac:dyDescent="0.3">
      <c r="A278" t="s">
        <v>154</v>
      </c>
      <c r="B278">
        <v>24.5</v>
      </c>
      <c r="C278">
        <v>60</v>
      </c>
      <c r="D278">
        <v>22.1</v>
      </c>
      <c r="E278">
        <v>76</v>
      </c>
      <c r="F278" t="str">
        <f t="shared" si="4"/>
        <v>Economy</v>
      </c>
    </row>
    <row r="279" spans="1:6" x14ac:dyDescent="0.3">
      <c r="A279" t="s">
        <v>153</v>
      </c>
      <c r="B279">
        <v>29</v>
      </c>
      <c r="C279">
        <v>52</v>
      </c>
      <c r="D279">
        <v>22.2</v>
      </c>
      <c r="E279">
        <v>76</v>
      </c>
      <c r="F279" t="str">
        <f t="shared" si="4"/>
        <v>Economy</v>
      </c>
    </row>
    <row r="280" spans="1:6" x14ac:dyDescent="0.3">
      <c r="A280" t="s">
        <v>119</v>
      </c>
      <c r="B280">
        <v>22</v>
      </c>
      <c r="C280">
        <v>105</v>
      </c>
      <c r="D280">
        <v>14.5</v>
      </c>
      <c r="E280">
        <v>76</v>
      </c>
      <c r="F280" t="str">
        <f t="shared" si="4"/>
        <v>Economy</v>
      </c>
    </row>
    <row r="281" spans="1:6" x14ac:dyDescent="0.3">
      <c r="A281" t="s">
        <v>98</v>
      </c>
      <c r="B281">
        <v>22</v>
      </c>
      <c r="C281">
        <v>100</v>
      </c>
      <c r="D281">
        <v>15.4</v>
      </c>
      <c r="E281">
        <v>76</v>
      </c>
      <c r="F281" t="str">
        <f t="shared" si="4"/>
        <v>Mid Range</v>
      </c>
    </row>
    <row r="282" spans="1:6" x14ac:dyDescent="0.3">
      <c r="A282" t="s">
        <v>158</v>
      </c>
      <c r="B282">
        <v>18.5</v>
      </c>
      <c r="C282">
        <v>110</v>
      </c>
      <c r="D282">
        <v>16.2</v>
      </c>
      <c r="E282">
        <v>76</v>
      </c>
      <c r="F282" t="str">
        <f t="shared" si="4"/>
        <v>Economy</v>
      </c>
    </row>
    <row r="283" spans="1:6" x14ac:dyDescent="0.3">
      <c r="A283" t="s">
        <v>159</v>
      </c>
      <c r="B283">
        <v>17.5</v>
      </c>
      <c r="C283">
        <v>95</v>
      </c>
      <c r="D283">
        <v>17.8</v>
      </c>
      <c r="E283">
        <v>76</v>
      </c>
      <c r="F283" t="str">
        <f t="shared" si="4"/>
        <v>Mid Range</v>
      </c>
    </row>
    <row r="284" spans="1:6" x14ac:dyDescent="0.3">
      <c r="A284" t="s">
        <v>27</v>
      </c>
      <c r="B284">
        <v>22.5</v>
      </c>
      <c r="C284">
        <v>90</v>
      </c>
      <c r="D284">
        <v>17.600000000000001</v>
      </c>
      <c r="E284">
        <v>76</v>
      </c>
      <c r="F284" t="str">
        <f t="shared" si="4"/>
        <v>Mid Range</v>
      </c>
    </row>
    <row r="285" spans="1:6" x14ac:dyDescent="0.3">
      <c r="A285" t="s">
        <v>156</v>
      </c>
      <c r="B285">
        <v>20</v>
      </c>
      <c r="C285">
        <v>100</v>
      </c>
      <c r="D285">
        <v>17.7</v>
      </c>
      <c r="E285">
        <v>76</v>
      </c>
      <c r="F285" t="str">
        <f t="shared" si="4"/>
        <v>Mid Range</v>
      </c>
    </row>
    <row r="286" spans="1:6" x14ac:dyDescent="0.3">
      <c r="A286" t="s">
        <v>28</v>
      </c>
      <c r="B286">
        <v>24</v>
      </c>
      <c r="C286">
        <v>81</v>
      </c>
      <c r="D286">
        <v>17.600000000000001</v>
      </c>
      <c r="E286">
        <v>76</v>
      </c>
      <c r="F286" t="str">
        <f t="shared" si="4"/>
        <v>Mid Range</v>
      </c>
    </row>
    <row r="287" spans="1:6" x14ac:dyDescent="0.3">
      <c r="A287" t="s">
        <v>157</v>
      </c>
      <c r="B287">
        <v>18</v>
      </c>
      <c r="C287">
        <v>78</v>
      </c>
      <c r="D287">
        <v>21</v>
      </c>
      <c r="E287">
        <v>76</v>
      </c>
      <c r="F287" t="str">
        <f t="shared" si="4"/>
        <v>Economy</v>
      </c>
    </row>
    <row r="288" spans="1:6" x14ac:dyDescent="0.3">
      <c r="A288" t="s">
        <v>164</v>
      </c>
      <c r="B288">
        <v>16.5</v>
      </c>
      <c r="C288">
        <v>180</v>
      </c>
      <c r="D288">
        <v>12.1</v>
      </c>
      <c r="E288">
        <v>76</v>
      </c>
      <c r="F288" t="str">
        <f t="shared" si="4"/>
        <v>Economy</v>
      </c>
    </row>
    <row r="289" spans="1:6" x14ac:dyDescent="0.3">
      <c r="A289" t="s">
        <v>167</v>
      </c>
      <c r="B289">
        <v>13</v>
      </c>
      <c r="C289">
        <v>150</v>
      </c>
      <c r="D289">
        <v>14</v>
      </c>
      <c r="E289">
        <v>76</v>
      </c>
      <c r="F289" t="str">
        <f t="shared" si="4"/>
        <v>Economy</v>
      </c>
    </row>
    <row r="290" spans="1:6" x14ac:dyDescent="0.3">
      <c r="A290" t="s">
        <v>162</v>
      </c>
      <c r="B290">
        <v>13</v>
      </c>
      <c r="C290">
        <v>150</v>
      </c>
      <c r="D290">
        <v>13.2</v>
      </c>
      <c r="E290">
        <v>76</v>
      </c>
      <c r="F290" t="str">
        <f t="shared" si="4"/>
        <v>Economy</v>
      </c>
    </row>
    <row r="291" spans="1:6" x14ac:dyDescent="0.3">
      <c r="A291" t="s">
        <v>89</v>
      </c>
      <c r="B291">
        <v>14.5</v>
      </c>
      <c r="C291">
        <v>152</v>
      </c>
      <c r="D291">
        <v>12.8</v>
      </c>
      <c r="E291">
        <v>76</v>
      </c>
      <c r="F291" t="str">
        <f t="shared" si="4"/>
        <v>Economy</v>
      </c>
    </row>
    <row r="292" spans="1:6" x14ac:dyDescent="0.3">
      <c r="A292" t="s">
        <v>165</v>
      </c>
      <c r="B292">
        <v>13</v>
      </c>
      <c r="C292">
        <v>145</v>
      </c>
      <c r="D292">
        <v>12</v>
      </c>
      <c r="E292">
        <v>76</v>
      </c>
      <c r="F292" t="str">
        <f t="shared" si="4"/>
        <v>Economy</v>
      </c>
    </row>
    <row r="293" spans="1:6" x14ac:dyDescent="0.3">
      <c r="A293" t="s">
        <v>152</v>
      </c>
      <c r="B293">
        <v>16</v>
      </c>
      <c r="C293">
        <v>150</v>
      </c>
      <c r="D293">
        <v>13</v>
      </c>
      <c r="E293">
        <v>76</v>
      </c>
      <c r="F293" t="str">
        <f t="shared" si="4"/>
        <v>Economy</v>
      </c>
    </row>
    <row r="294" spans="1:6" x14ac:dyDescent="0.3">
      <c r="A294" t="s">
        <v>166</v>
      </c>
      <c r="B294">
        <v>13</v>
      </c>
      <c r="C294">
        <v>130</v>
      </c>
      <c r="D294">
        <v>15</v>
      </c>
      <c r="E294">
        <v>76</v>
      </c>
      <c r="F294" t="str">
        <f t="shared" si="4"/>
        <v>Economy</v>
      </c>
    </row>
    <row r="295" spans="1:6" x14ac:dyDescent="0.3">
      <c r="A295" t="s">
        <v>121</v>
      </c>
      <c r="B295">
        <v>17.5</v>
      </c>
      <c r="C295">
        <v>140</v>
      </c>
      <c r="D295">
        <v>13</v>
      </c>
      <c r="E295">
        <v>76</v>
      </c>
      <c r="F295" t="str">
        <f t="shared" si="4"/>
        <v>Economy</v>
      </c>
    </row>
    <row r="296" spans="1:6" x14ac:dyDescent="0.3">
      <c r="A296" t="s">
        <v>46</v>
      </c>
      <c r="B296">
        <v>15.5</v>
      </c>
      <c r="C296">
        <v>120</v>
      </c>
      <c r="D296">
        <v>13.9</v>
      </c>
      <c r="E296">
        <v>76</v>
      </c>
      <c r="F296" t="str">
        <f t="shared" si="4"/>
        <v>Economy</v>
      </c>
    </row>
    <row r="297" spans="1:6" x14ac:dyDescent="0.3">
      <c r="A297" t="s">
        <v>171</v>
      </c>
      <c r="B297">
        <v>25.5</v>
      </c>
      <c r="C297">
        <v>96</v>
      </c>
      <c r="D297">
        <v>15.5</v>
      </c>
      <c r="E297">
        <v>77</v>
      </c>
      <c r="F297" t="str">
        <f t="shared" si="4"/>
        <v>Mid Range</v>
      </c>
    </row>
    <row r="298" spans="1:6" x14ac:dyDescent="0.3">
      <c r="A298" t="s">
        <v>188</v>
      </c>
      <c r="B298">
        <v>33.5</v>
      </c>
      <c r="C298">
        <v>83</v>
      </c>
      <c r="D298">
        <v>15.9</v>
      </c>
      <c r="E298">
        <v>77</v>
      </c>
      <c r="F298" t="str">
        <f t="shared" si="4"/>
        <v>Economy</v>
      </c>
    </row>
    <row r="299" spans="1:6" x14ac:dyDescent="0.3">
      <c r="A299" t="s">
        <v>169</v>
      </c>
      <c r="B299">
        <v>30</v>
      </c>
      <c r="C299">
        <v>80</v>
      </c>
      <c r="D299">
        <v>14.8</v>
      </c>
      <c r="E299">
        <v>77</v>
      </c>
      <c r="F299" t="str">
        <f t="shared" si="4"/>
        <v>Mid Range</v>
      </c>
    </row>
    <row r="300" spans="1:6" x14ac:dyDescent="0.3">
      <c r="A300" t="s">
        <v>187</v>
      </c>
      <c r="B300">
        <v>25.5</v>
      </c>
      <c r="C300">
        <v>89</v>
      </c>
      <c r="D300">
        <v>15.8</v>
      </c>
      <c r="E300">
        <v>77</v>
      </c>
      <c r="F300" t="str">
        <f t="shared" si="4"/>
        <v>Mid Range</v>
      </c>
    </row>
    <row r="301" spans="1:6" x14ac:dyDescent="0.3">
      <c r="A301" t="s">
        <v>185</v>
      </c>
      <c r="B301">
        <v>24.5</v>
      </c>
      <c r="C301">
        <v>88</v>
      </c>
      <c r="D301">
        <v>16</v>
      </c>
      <c r="E301">
        <v>77</v>
      </c>
      <c r="F301" t="str">
        <f t="shared" si="4"/>
        <v>Mid Range</v>
      </c>
    </row>
    <row r="302" spans="1:6" x14ac:dyDescent="0.3">
      <c r="A302" t="s">
        <v>153</v>
      </c>
      <c r="B302">
        <v>30.5</v>
      </c>
      <c r="C302">
        <v>63</v>
      </c>
      <c r="D302">
        <v>17</v>
      </c>
      <c r="E302">
        <v>77</v>
      </c>
      <c r="F302" t="str">
        <f t="shared" si="4"/>
        <v>Mid Range</v>
      </c>
    </row>
    <row r="303" spans="1:6" x14ac:dyDescent="0.3">
      <c r="A303" t="s">
        <v>176</v>
      </c>
      <c r="B303">
        <v>17.5</v>
      </c>
      <c r="C303">
        <v>110</v>
      </c>
      <c r="D303">
        <v>16.399999999999999</v>
      </c>
      <c r="E303">
        <v>77</v>
      </c>
      <c r="F303" t="str">
        <f t="shared" si="4"/>
        <v>Economy</v>
      </c>
    </row>
    <row r="304" spans="1:6" x14ac:dyDescent="0.3">
      <c r="A304" t="s">
        <v>177</v>
      </c>
      <c r="B304">
        <v>20.5</v>
      </c>
      <c r="C304">
        <v>105</v>
      </c>
      <c r="D304">
        <v>16.899999999999999</v>
      </c>
      <c r="E304">
        <v>77</v>
      </c>
      <c r="F304" t="str">
        <f t="shared" si="4"/>
        <v>Economy</v>
      </c>
    </row>
    <row r="305" spans="1:6" x14ac:dyDescent="0.3">
      <c r="A305" t="s">
        <v>179</v>
      </c>
      <c r="B305">
        <v>18.5</v>
      </c>
      <c r="C305">
        <v>98</v>
      </c>
      <c r="D305">
        <v>19</v>
      </c>
      <c r="E305">
        <v>77</v>
      </c>
      <c r="F305" t="str">
        <f t="shared" si="4"/>
        <v>Mid Range</v>
      </c>
    </row>
    <row r="306" spans="1:6" x14ac:dyDescent="0.3">
      <c r="A306" t="s">
        <v>178</v>
      </c>
      <c r="B306">
        <v>19</v>
      </c>
      <c r="C306">
        <v>100</v>
      </c>
      <c r="D306">
        <v>17.7</v>
      </c>
      <c r="E306">
        <v>77</v>
      </c>
      <c r="F306" t="str">
        <f t="shared" si="4"/>
        <v>Mid Range</v>
      </c>
    </row>
    <row r="307" spans="1:6" x14ac:dyDescent="0.3">
      <c r="A307" t="s">
        <v>182</v>
      </c>
      <c r="B307">
        <v>15.5</v>
      </c>
      <c r="C307">
        <v>190</v>
      </c>
      <c r="D307">
        <v>12.2</v>
      </c>
      <c r="E307">
        <v>77</v>
      </c>
      <c r="F307" t="str">
        <f t="shared" si="4"/>
        <v>Economy</v>
      </c>
    </row>
    <row r="308" spans="1:6" x14ac:dyDescent="0.3">
      <c r="A308" t="s">
        <v>180</v>
      </c>
      <c r="B308">
        <v>16</v>
      </c>
      <c r="C308">
        <v>180</v>
      </c>
      <c r="D308">
        <v>11.1</v>
      </c>
      <c r="E308">
        <v>77</v>
      </c>
      <c r="F308" t="str">
        <f t="shared" si="4"/>
        <v>Economy</v>
      </c>
    </row>
    <row r="309" spans="1:6" x14ac:dyDescent="0.3">
      <c r="A309" t="s">
        <v>181</v>
      </c>
      <c r="B309">
        <v>15.5</v>
      </c>
      <c r="C309">
        <v>170</v>
      </c>
      <c r="D309">
        <v>11.4</v>
      </c>
      <c r="E309">
        <v>77</v>
      </c>
      <c r="F309" t="str">
        <f t="shared" si="4"/>
        <v>Economy</v>
      </c>
    </row>
    <row r="310" spans="1:6" x14ac:dyDescent="0.3">
      <c r="A310" t="s">
        <v>92</v>
      </c>
      <c r="B310">
        <v>17.5</v>
      </c>
      <c r="C310">
        <v>145</v>
      </c>
      <c r="D310">
        <v>12.5</v>
      </c>
      <c r="E310">
        <v>77</v>
      </c>
      <c r="F310" t="str">
        <f t="shared" si="4"/>
        <v>Economy</v>
      </c>
    </row>
    <row r="311" spans="1:6" x14ac:dyDescent="0.3">
      <c r="A311" t="s">
        <v>174</v>
      </c>
      <c r="B311">
        <v>15.5</v>
      </c>
      <c r="C311">
        <v>145</v>
      </c>
      <c r="D311">
        <v>13.7</v>
      </c>
      <c r="E311">
        <v>77</v>
      </c>
      <c r="F311" t="str">
        <f t="shared" si="4"/>
        <v>Economy</v>
      </c>
    </row>
    <row r="312" spans="1:6" x14ac:dyDescent="0.3">
      <c r="A312" t="s">
        <v>183</v>
      </c>
      <c r="B312">
        <v>16</v>
      </c>
      <c r="C312">
        <v>149</v>
      </c>
      <c r="D312">
        <v>14.5</v>
      </c>
      <c r="E312">
        <v>77</v>
      </c>
      <c r="F312" t="str">
        <f t="shared" si="4"/>
        <v>Economy</v>
      </c>
    </row>
    <row r="313" spans="1:6" x14ac:dyDescent="0.3">
      <c r="A313" t="s">
        <v>175</v>
      </c>
      <c r="B313">
        <v>15</v>
      </c>
      <c r="C313">
        <v>130</v>
      </c>
      <c r="D313">
        <v>14.9</v>
      </c>
      <c r="E313">
        <v>77</v>
      </c>
      <c r="F313" t="str">
        <f t="shared" si="4"/>
        <v>Economy</v>
      </c>
    </row>
    <row r="314" spans="1:6" x14ac:dyDescent="0.3">
      <c r="A314" t="s">
        <v>173</v>
      </c>
      <c r="B314">
        <v>17</v>
      </c>
      <c r="C314">
        <v>110</v>
      </c>
      <c r="D314">
        <v>19</v>
      </c>
      <c r="E314">
        <v>77</v>
      </c>
      <c r="F314" t="str">
        <f t="shared" si="4"/>
        <v>Economy</v>
      </c>
    </row>
    <row r="315" spans="1:6" x14ac:dyDescent="0.3">
      <c r="A315" t="s">
        <v>215</v>
      </c>
      <c r="B315">
        <v>23.2</v>
      </c>
      <c r="C315">
        <v>105</v>
      </c>
      <c r="D315">
        <v>16.7</v>
      </c>
      <c r="E315">
        <v>78</v>
      </c>
      <c r="F315" t="str">
        <f t="shared" si="4"/>
        <v>Economy</v>
      </c>
    </row>
    <row r="316" spans="1:6" x14ac:dyDescent="0.3">
      <c r="A316" t="s">
        <v>194</v>
      </c>
      <c r="B316">
        <v>36.1</v>
      </c>
      <c r="C316">
        <v>66</v>
      </c>
      <c r="D316">
        <v>14.4</v>
      </c>
      <c r="E316">
        <v>78</v>
      </c>
      <c r="F316" t="str">
        <f t="shared" si="4"/>
        <v>Economy</v>
      </c>
    </row>
    <row r="317" spans="1:6" x14ac:dyDescent="0.3">
      <c r="A317" t="s">
        <v>213</v>
      </c>
      <c r="B317">
        <v>30.9</v>
      </c>
      <c r="C317">
        <v>75</v>
      </c>
      <c r="D317">
        <v>14.5</v>
      </c>
      <c r="E317">
        <v>78</v>
      </c>
      <c r="F317" t="str">
        <f t="shared" si="4"/>
        <v>Mid Range</v>
      </c>
    </row>
    <row r="318" spans="1:6" x14ac:dyDescent="0.3">
      <c r="A318" t="s">
        <v>202</v>
      </c>
      <c r="B318">
        <v>25.1</v>
      </c>
      <c r="C318">
        <v>88</v>
      </c>
      <c r="D318">
        <v>15.4</v>
      </c>
      <c r="E318">
        <v>78</v>
      </c>
      <c r="F318" t="str">
        <f t="shared" si="4"/>
        <v>Mid Range</v>
      </c>
    </row>
    <row r="319" spans="1:6" x14ac:dyDescent="0.3">
      <c r="A319" t="s">
        <v>153</v>
      </c>
      <c r="B319">
        <v>30</v>
      </c>
      <c r="C319">
        <v>68</v>
      </c>
      <c r="D319">
        <v>16.5</v>
      </c>
      <c r="E319">
        <v>78</v>
      </c>
      <c r="F319" t="str">
        <f t="shared" si="4"/>
        <v>Mid Range</v>
      </c>
    </row>
    <row r="320" spans="1:6" x14ac:dyDescent="0.3">
      <c r="A320" t="s">
        <v>216</v>
      </c>
      <c r="B320">
        <v>23.8</v>
      </c>
      <c r="C320">
        <v>85</v>
      </c>
      <c r="D320">
        <v>17.600000000000001</v>
      </c>
      <c r="E320">
        <v>78</v>
      </c>
      <c r="F320" t="str">
        <f t="shared" si="4"/>
        <v>Mid Range</v>
      </c>
    </row>
    <row r="321" spans="1:6" x14ac:dyDescent="0.3">
      <c r="A321" t="s">
        <v>209</v>
      </c>
      <c r="B321">
        <v>17.7</v>
      </c>
      <c r="C321">
        <v>165</v>
      </c>
      <c r="D321">
        <v>13.4</v>
      </c>
      <c r="E321">
        <v>78</v>
      </c>
      <c r="F321" t="str">
        <f t="shared" si="4"/>
        <v>Economy</v>
      </c>
    </row>
    <row r="322" spans="1:6" x14ac:dyDescent="0.3">
      <c r="A322" t="s">
        <v>208</v>
      </c>
      <c r="B322">
        <v>18.100000000000001</v>
      </c>
      <c r="C322">
        <v>120</v>
      </c>
      <c r="D322">
        <v>15.1</v>
      </c>
      <c r="E322">
        <v>78</v>
      </c>
      <c r="F322" t="str">
        <f t="shared" ref="F322:F385" si="5">IF(AND(C322&gt;100,D322&lt;13,B322&gt;32.5),"High Performance",IF(AND(C322&lt;= 100,C322&gt;=60,D322&gt;=13,D322&lt;=19,B322&gt;=17,B322&lt;=32.5),"Mid Range","Economy"))</f>
        <v>Economy</v>
      </c>
    </row>
    <row r="323" spans="1:6" x14ac:dyDescent="0.3">
      <c r="A323" t="s">
        <v>205</v>
      </c>
      <c r="B323">
        <v>20.6</v>
      </c>
      <c r="C323">
        <v>105</v>
      </c>
      <c r="D323">
        <v>15.8</v>
      </c>
      <c r="E323">
        <v>78</v>
      </c>
      <c r="F323" t="str">
        <f t="shared" si="5"/>
        <v>Economy</v>
      </c>
    </row>
    <row r="324" spans="1:6" x14ac:dyDescent="0.3">
      <c r="A324" t="s">
        <v>207</v>
      </c>
      <c r="B324">
        <v>18.600000000000001</v>
      </c>
      <c r="C324">
        <v>110</v>
      </c>
      <c r="D324">
        <v>18.7</v>
      </c>
      <c r="E324">
        <v>78</v>
      </c>
      <c r="F324" t="str">
        <f t="shared" si="5"/>
        <v>Economy</v>
      </c>
    </row>
    <row r="325" spans="1:6" x14ac:dyDescent="0.3">
      <c r="A325" t="s">
        <v>88</v>
      </c>
      <c r="B325">
        <v>20.5</v>
      </c>
      <c r="C325">
        <v>95</v>
      </c>
      <c r="D325">
        <v>18.2</v>
      </c>
      <c r="E325">
        <v>78</v>
      </c>
      <c r="F325" t="str">
        <f t="shared" si="5"/>
        <v>Mid Range</v>
      </c>
    </row>
    <row r="326" spans="1:6" x14ac:dyDescent="0.3">
      <c r="A326" t="s">
        <v>200</v>
      </c>
      <c r="B326">
        <v>19.2</v>
      </c>
      <c r="C326">
        <v>105</v>
      </c>
      <c r="D326">
        <v>19.2</v>
      </c>
      <c r="E326">
        <v>78</v>
      </c>
      <c r="F326" t="str">
        <f t="shared" si="5"/>
        <v>Economy</v>
      </c>
    </row>
    <row r="327" spans="1:6" x14ac:dyDescent="0.3">
      <c r="A327" t="s">
        <v>203</v>
      </c>
      <c r="B327">
        <v>20.5</v>
      </c>
      <c r="C327">
        <v>100</v>
      </c>
      <c r="D327">
        <v>17.2</v>
      </c>
      <c r="E327">
        <v>78</v>
      </c>
      <c r="F327" t="str">
        <f t="shared" si="5"/>
        <v>Mid Range</v>
      </c>
    </row>
    <row r="328" spans="1:6" x14ac:dyDescent="0.3">
      <c r="A328" t="s">
        <v>201</v>
      </c>
      <c r="B328">
        <v>20.2</v>
      </c>
      <c r="C328">
        <v>85</v>
      </c>
      <c r="D328">
        <v>15.8</v>
      </c>
      <c r="E328">
        <v>78</v>
      </c>
      <c r="F328" t="str">
        <f t="shared" si="5"/>
        <v>Mid Range</v>
      </c>
    </row>
    <row r="329" spans="1:6" x14ac:dyDescent="0.3">
      <c r="A329" t="s">
        <v>204</v>
      </c>
      <c r="B329">
        <v>19.399999999999999</v>
      </c>
      <c r="C329">
        <v>90</v>
      </c>
      <c r="D329">
        <v>17.2</v>
      </c>
      <c r="E329">
        <v>78</v>
      </c>
      <c r="F329" t="str">
        <f t="shared" si="5"/>
        <v>Mid Range</v>
      </c>
    </row>
    <row r="330" spans="1:6" x14ac:dyDescent="0.3">
      <c r="A330" t="s">
        <v>206</v>
      </c>
      <c r="B330">
        <v>20.8</v>
      </c>
      <c r="C330">
        <v>85</v>
      </c>
      <c r="D330">
        <v>16.7</v>
      </c>
      <c r="E330">
        <v>78</v>
      </c>
      <c r="F330" t="str">
        <f t="shared" si="5"/>
        <v>Mid Range</v>
      </c>
    </row>
    <row r="331" spans="1:6" x14ac:dyDescent="0.3">
      <c r="A331" t="s">
        <v>210</v>
      </c>
      <c r="B331">
        <v>18.100000000000001</v>
      </c>
      <c r="C331">
        <v>139</v>
      </c>
      <c r="D331">
        <v>11.2</v>
      </c>
      <c r="E331">
        <v>78</v>
      </c>
      <c r="F331" t="str">
        <f t="shared" si="5"/>
        <v>Economy</v>
      </c>
    </row>
    <row r="332" spans="1:6" x14ac:dyDescent="0.3">
      <c r="A332" t="s">
        <v>181</v>
      </c>
      <c r="B332">
        <v>19.2</v>
      </c>
      <c r="C332">
        <v>145</v>
      </c>
      <c r="D332">
        <v>13.2</v>
      </c>
      <c r="E332">
        <v>78</v>
      </c>
      <c r="F332" t="str">
        <f t="shared" si="5"/>
        <v>Economy</v>
      </c>
    </row>
    <row r="333" spans="1:6" x14ac:dyDescent="0.3">
      <c r="A333" t="s">
        <v>199</v>
      </c>
      <c r="B333">
        <v>20.2</v>
      </c>
      <c r="C333">
        <v>139</v>
      </c>
      <c r="D333">
        <v>12.8</v>
      </c>
      <c r="E333">
        <v>78</v>
      </c>
      <c r="F333" t="str">
        <f t="shared" si="5"/>
        <v>Economy</v>
      </c>
    </row>
    <row r="334" spans="1:6" x14ac:dyDescent="0.3">
      <c r="A334" t="s">
        <v>198</v>
      </c>
      <c r="B334">
        <v>19.399999999999999</v>
      </c>
      <c r="C334">
        <v>140</v>
      </c>
      <c r="D334">
        <v>13.2</v>
      </c>
      <c r="E334">
        <v>78</v>
      </c>
      <c r="F334" t="str">
        <f t="shared" si="5"/>
        <v>Economy</v>
      </c>
    </row>
    <row r="335" spans="1:6" x14ac:dyDescent="0.3">
      <c r="A335" t="s">
        <v>211</v>
      </c>
      <c r="B335">
        <v>17.5</v>
      </c>
      <c r="C335">
        <v>140</v>
      </c>
      <c r="D335">
        <v>13.7</v>
      </c>
      <c r="E335">
        <v>78</v>
      </c>
      <c r="F335" t="str">
        <f t="shared" si="5"/>
        <v>Economy</v>
      </c>
    </row>
    <row r="336" spans="1:6" x14ac:dyDescent="0.3">
      <c r="A336" t="s">
        <v>197</v>
      </c>
      <c r="B336">
        <v>19.899999999999999</v>
      </c>
      <c r="C336">
        <v>110</v>
      </c>
      <c r="D336">
        <v>15.5</v>
      </c>
      <c r="E336">
        <v>78</v>
      </c>
      <c r="F336" t="str">
        <f t="shared" si="5"/>
        <v>Economy</v>
      </c>
    </row>
    <row r="337" spans="1:6" x14ac:dyDescent="0.3">
      <c r="A337" t="s">
        <v>236</v>
      </c>
      <c r="B337">
        <v>35.700000000000003</v>
      </c>
      <c r="C337">
        <v>80</v>
      </c>
      <c r="D337">
        <v>14.4</v>
      </c>
      <c r="E337">
        <v>79</v>
      </c>
      <c r="F337" t="str">
        <f t="shared" si="5"/>
        <v>Economy</v>
      </c>
    </row>
    <row r="338" spans="1:6" x14ac:dyDescent="0.3">
      <c r="A338" t="s">
        <v>247</v>
      </c>
      <c r="B338">
        <v>33.5</v>
      </c>
      <c r="C338">
        <v>90</v>
      </c>
      <c r="D338">
        <v>13.2</v>
      </c>
      <c r="E338">
        <v>79</v>
      </c>
      <c r="F338" t="str">
        <f t="shared" si="5"/>
        <v>Economy</v>
      </c>
    </row>
    <row r="339" spans="1:6" x14ac:dyDescent="0.3">
      <c r="A339" t="s">
        <v>244</v>
      </c>
      <c r="B339">
        <v>28.4</v>
      </c>
      <c r="C339">
        <v>90</v>
      </c>
      <c r="D339">
        <v>16</v>
      </c>
      <c r="E339">
        <v>79</v>
      </c>
      <c r="F339" t="str">
        <f t="shared" si="5"/>
        <v>Mid Range</v>
      </c>
    </row>
    <row r="340" spans="1:6" x14ac:dyDescent="0.3">
      <c r="A340" t="s">
        <v>241</v>
      </c>
      <c r="B340">
        <v>34.5</v>
      </c>
      <c r="C340">
        <v>70</v>
      </c>
      <c r="D340">
        <v>14.9</v>
      </c>
      <c r="E340">
        <v>79</v>
      </c>
      <c r="F340" t="str">
        <f t="shared" si="5"/>
        <v>Economy</v>
      </c>
    </row>
    <row r="341" spans="1:6" x14ac:dyDescent="0.3">
      <c r="A341" t="s">
        <v>240</v>
      </c>
      <c r="B341">
        <v>34.200000000000003</v>
      </c>
      <c r="C341">
        <v>70</v>
      </c>
      <c r="D341">
        <v>13.2</v>
      </c>
      <c r="E341">
        <v>79</v>
      </c>
      <c r="F341" t="str">
        <f t="shared" si="5"/>
        <v>Economy</v>
      </c>
    </row>
    <row r="342" spans="1:6" x14ac:dyDescent="0.3">
      <c r="A342" t="s">
        <v>226</v>
      </c>
      <c r="B342">
        <v>22.3</v>
      </c>
      <c r="C342">
        <v>88</v>
      </c>
      <c r="D342">
        <v>17.3</v>
      </c>
      <c r="E342">
        <v>79</v>
      </c>
      <c r="F342" t="str">
        <f t="shared" si="5"/>
        <v>Mid Range</v>
      </c>
    </row>
    <row r="343" spans="1:6" x14ac:dyDescent="0.3">
      <c r="A343" t="s">
        <v>237</v>
      </c>
      <c r="B343">
        <v>27.4</v>
      </c>
      <c r="C343">
        <v>80</v>
      </c>
      <c r="D343">
        <v>15</v>
      </c>
      <c r="E343">
        <v>79</v>
      </c>
      <c r="F343" t="str">
        <f t="shared" si="5"/>
        <v>Mid Range</v>
      </c>
    </row>
    <row r="344" spans="1:6" x14ac:dyDescent="0.3">
      <c r="A344" t="s">
        <v>245</v>
      </c>
      <c r="B344">
        <v>28.8</v>
      </c>
      <c r="C344">
        <v>115</v>
      </c>
      <c r="D344">
        <v>11.3</v>
      </c>
      <c r="E344">
        <v>79</v>
      </c>
      <c r="F344" t="str">
        <f t="shared" si="5"/>
        <v>Economy</v>
      </c>
    </row>
    <row r="345" spans="1:6" x14ac:dyDescent="0.3">
      <c r="A345" t="s">
        <v>246</v>
      </c>
      <c r="B345">
        <v>26.8</v>
      </c>
      <c r="C345">
        <v>115</v>
      </c>
      <c r="D345">
        <v>12.9</v>
      </c>
      <c r="E345">
        <v>79</v>
      </c>
      <c r="F345" t="str">
        <f t="shared" si="5"/>
        <v>Economy</v>
      </c>
    </row>
    <row r="346" spans="1:6" x14ac:dyDescent="0.3">
      <c r="A346" t="s">
        <v>224</v>
      </c>
      <c r="B346">
        <v>21.5</v>
      </c>
      <c r="C346">
        <v>115</v>
      </c>
      <c r="D346">
        <v>15.4</v>
      </c>
      <c r="E346">
        <v>79</v>
      </c>
      <c r="F346" t="str">
        <f t="shared" si="5"/>
        <v>Economy</v>
      </c>
    </row>
    <row r="347" spans="1:6" x14ac:dyDescent="0.3">
      <c r="A347" t="s">
        <v>228</v>
      </c>
      <c r="B347">
        <v>20.6</v>
      </c>
      <c r="C347">
        <v>110</v>
      </c>
      <c r="D347">
        <v>16.600000000000001</v>
      </c>
      <c r="E347">
        <v>79</v>
      </c>
      <c r="F347" t="str">
        <f t="shared" si="5"/>
        <v>Economy</v>
      </c>
    </row>
    <row r="348" spans="1:6" x14ac:dyDescent="0.3">
      <c r="A348" t="s">
        <v>225</v>
      </c>
      <c r="B348">
        <v>19.8</v>
      </c>
      <c r="C348">
        <v>85</v>
      </c>
      <c r="D348">
        <v>18.2</v>
      </c>
      <c r="E348">
        <v>79</v>
      </c>
      <c r="F348" t="str">
        <f t="shared" si="5"/>
        <v>Mid Range</v>
      </c>
    </row>
    <row r="349" spans="1:6" x14ac:dyDescent="0.3">
      <c r="A349" t="s">
        <v>227</v>
      </c>
      <c r="B349">
        <v>20.2</v>
      </c>
      <c r="C349">
        <v>90</v>
      </c>
      <c r="D349">
        <v>18.2</v>
      </c>
      <c r="E349">
        <v>79</v>
      </c>
      <c r="F349" t="str">
        <f t="shared" si="5"/>
        <v>Mid Range</v>
      </c>
    </row>
    <row r="350" spans="1:6" x14ac:dyDescent="0.3">
      <c r="A350" t="s">
        <v>233</v>
      </c>
      <c r="B350">
        <v>18.5</v>
      </c>
      <c r="C350">
        <v>150</v>
      </c>
      <c r="D350">
        <v>13</v>
      </c>
      <c r="E350">
        <v>79</v>
      </c>
      <c r="F350" t="str">
        <f t="shared" si="5"/>
        <v>Economy</v>
      </c>
    </row>
    <row r="351" spans="1:6" x14ac:dyDescent="0.3">
      <c r="A351" t="s">
        <v>23</v>
      </c>
      <c r="B351">
        <v>16.899999999999999</v>
      </c>
      <c r="C351">
        <v>155</v>
      </c>
      <c r="D351">
        <v>14.9</v>
      </c>
      <c r="E351">
        <v>79</v>
      </c>
      <c r="F351" t="str">
        <f t="shared" si="5"/>
        <v>Economy</v>
      </c>
    </row>
    <row r="352" spans="1:6" x14ac:dyDescent="0.3">
      <c r="A352" t="s">
        <v>231</v>
      </c>
      <c r="B352">
        <v>18.2</v>
      </c>
      <c r="C352">
        <v>135</v>
      </c>
      <c r="D352">
        <v>15.2</v>
      </c>
      <c r="E352">
        <v>79</v>
      </c>
      <c r="F352" t="str">
        <f t="shared" si="5"/>
        <v>Economy</v>
      </c>
    </row>
    <row r="353" spans="1:6" x14ac:dyDescent="0.3">
      <c r="A353" t="s">
        <v>49</v>
      </c>
      <c r="B353">
        <v>15.5</v>
      </c>
      <c r="C353">
        <v>142</v>
      </c>
      <c r="D353">
        <v>14.3</v>
      </c>
      <c r="E353">
        <v>79</v>
      </c>
      <c r="F353" t="str">
        <f t="shared" si="5"/>
        <v>Economy</v>
      </c>
    </row>
    <row r="354" spans="1:6" x14ac:dyDescent="0.3">
      <c r="A354" t="s">
        <v>230</v>
      </c>
      <c r="B354">
        <v>16.5</v>
      </c>
      <c r="C354">
        <v>138</v>
      </c>
      <c r="D354">
        <v>13.2</v>
      </c>
      <c r="E354">
        <v>79</v>
      </c>
      <c r="F354" t="str">
        <f t="shared" si="5"/>
        <v>Economy</v>
      </c>
    </row>
    <row r="355" spans="1:6" x14ac:dyDescent="0.3">
      <c r="A355" t="s">
        <v>232</v>
      </c>
      <c r="B355">
        <v>19.2</v>
      </c>
      <c r="C355">
        <v>125</v>
      </c>
      <c r="D355">
        <v>15</v>
      </c>
      <c r="E355">
        <v>79</v>
      </c>
      <c r="F355" t="str">
        <f t="shared" si="5"/>
        <v>Economy</v>
      </c>
    </row>
    <row r="356" spans="1:6" x14ac:dyDescent="0.3">
      <c r="A356" t="s">
        <v>229</v>
      </c>
      <c r="B356">
        <v>17.600000000000001</v>
      </c>
      <c r="C356">
        <v>129</v>
      </c>
      <c r="D356">
        <v>13.4</v>
      </c>
      <c r="E356">
        <v>79</v>
      </c>
      <c r="F356" t="str">
        <f t="shared" si="5"/>
        <v>Economy</v>
      </c>
    </row>
    <row r="357" spans="1:6" x14ac:dyDescent="0.3">
      <c r="A357" t="s">
        <v>92</v>
      </c>
      <c r="B357">
        <v>17</v>
      </c>
      <c r="C357">
        <v>130</v>
      </c>
      <c r="D357">
        <v>15.4</v>
      </c>
      <c r="E357">
        <v>79</v>
      </c>
      <c r="F357" t="str">
        <f t="shared" si="5"/>
        <v>Economy</v>
      </c>
    </row>
    <row r="358" spans="1:6" x14ac:dyDescent="0.3">
      <c r="A358" t="s">
        <v>239</v>
      </c>
      <c r="B358">
        <v>23</v>
      </c>
      <c r="C358">
        <v>125</v>
      </c>
      <c r="D358">
        <v>17.399999999999999</v>
      </c>
      <c r="E358">
        <v>79</v>
      </c>
      <c r="F358" t="str">
        <f t="shared" si="5"/>
        <v>Economy</v>
      </c>
    </row>
    <row r="359" spans="1:6" x14ac:dyDescent="0.3">
      <c r="A359" t="s">
        <v>197</v>
      </c>
      <c r="B359">
        <v>23.9</v>
      </c>
      <c r="C359">
        <v>90</v>
      </c>
      <c r="D359">
        <v>22.2</v>
      </c>
      <c r="E359">
        <v>79</v>
      </c>
      <c r="F359" t="str">
        <f t="shared" si="5"/>
        <v>Economy</v>
      </c>
    </row>
    <row r="360" spans="1:6" x14ac:dyDescent="0.3">
      <c r="A360" t="s">
        <v>128</v>
      </c>
      <c r="B360">
        <v>27.9</v>
      </c>
      <c r="C360">
        <v>105</v>
      </c>
      <c r="D360">
        <v>14.4</v>
      </c>
      <c r="E360">
        <v>80</v>
      </c>
      <c r="F360" t="str">
        <f t="shared" si="5"/>
        <v>Economy</v>
      </c>
    </row>
    <row r="361" spans="1:6" x14ac:dyDescent="0.3">
      <c r="A361" t="s">
        <v>245</v>
      </c>
      <c r="B361">
        <v>28</v>
      </c>
      <c r="C361">
        <v>90</v>
      </c>
      <c r="D361">
        <v>16.5</v>
      </c>
      <c r="E361">
        <v>80</v>
      </c>
      <c r="F361" t="str">
        <f t="shared" si="5"/>
        <v>Mid Range</v>
      </c>
    </row>
    <row r="362" spans="1:6" x14ac:dyDescent="0.3">
      <c r="A362" t="s">
        <v>153</v>
      </c>
      <c r="B362">
        <v>32.1</v>
      </c>
      <c r="C362">
        <v>70</v>
      </c>
      <c r="D362">
        <v>15.5</v>
      </c>
      <c r="E362">
        <v>80</v>
      </c>
      <c r="F362" t="str">
        <f t="shared" si="5"/>
        <v>Mid Range</v>
      </c>
    </row>
    <row r="363" spans="1:6" x14ac:dyDescent="0.3">
      <c r="A363" t="s">
        <v>250</v>
      </c>
      <c r="B363">
        <v>26.4</v>
      </c>
      <c r="C363">
        <v>88</v>
      </c>
      <c r="D363">
        <v>18.100000000000001</v>
      </c>
      <c r="E363">
        <v>80</v>
      </c>
      <c r="F363" t="str">
        <f t="shared" si="5"/>
        <v>Mid Range</v>
      </c>
    </row>
    <row r="364" spans="1:6" x14ac:dyDescent="0.3">
      <c r="A364" t="s">
        <v>204</v>
      </c>
      <c r="B364">
        <v>24.3</v>
      </c>
      <c r="C364">
        <v>90</v>
      </c>
      <c r="D364">
        <v>20.100000000000001</v>
      </c>
      <c r="E364">
        <v>80</v>
      </c>
      <c r="F364" t="str">
        <f t="shared" si="5"/>
        <v>Economy</v>
      </c>
    </row>
    <row r="365" spans="1:6" x14ac:dyDescent="0.3">
      <c r="A365" t="s">
        <v>266</v>
      </c>
      <c r="B365">
        <v>23.6</v>
      </c>
      <c r="D365">
        <v>14.3</v>
      </c>
      <c r="E365">
        <v>80</v>
      </c>
      <c r="F365" t="str">
        <f t="shared" si="5"/>
        <v>Economy</v>
      </c>
    </row>
    <row r="366" spans="1:6" x14ac:dyDescent="0.3">
      <c r="A366" t="s">
        <v>207</v>
      </c>
      <c r="B366">
        <v>19.100000000000001</v>
      </c>
      <c r="C366">
        <v>90</v>
      </c>
      <c r="D366">
        <v>18.7</v>
      </c>
      <c r="E366">
        <v>80</v>
      </c>
      <c r="F366" t="str">
        <f t="shared" si="5"/>
        <v>Mid Range</v>
      </c>
    </row>
    <row r="367" spans="1:6" x14ac:dyDescent="0.3">
      <c r="A367" t="s">
        <v>268</v>
      </c>
      <c r="B367">
        <v>30</v>
      </c>
      <c r="C367">
        <v>84</v>
      </c>
      <c r="D367">
        <v>12.9</v>
      </c>
      <c r="E367">
        <v>81</v>
      </c>
      <c r="F367" t="str">
        <f t="shared" si="5"/>
        <v>Economy</v>
      </c>
    </row>
    <row r="368" spans="1:6" x14ac:dyDescent="0.3">
      <c r="A368" t="s">
        <v>269</v>
      </c>
      <c r="B368">
        <v>25.8</v>
      </c>
      <c r="C368">
        <v>92</v>
      </c>
      <c r="D368">
        <v>14.4</v>
      </c>
      <c r="E368">
        <v>81</v>
      </c>
      <c r="F368" t="str">
        <f t="shared" si="5"/>
        <v>Mid Range</v>
      </c>
    </row>
    <row r="369" spans="1:6" x14ac:dyDescent="0.3">
      <c r="A369" t="s">
        <v>271</v>
      </c>
      <c r="B369">
        <v>39</v>
      </c>
      <c r="C369">
        <v>64</v>
      </c>
      <c r="D369">
        <v>16.399999999999999</v>
      </c>
      <c r="E369">
        <v>81</v>
      </c>
      <c r="F369" t="str">
        <f t="shared" si="5"/>
        <v>Economy</v>
      </c>
    </row>
    <row r="370" spans="1:6" x14ac:dyDescent="0.3">
      <c r="A370" t="s">
        <v>268</v>
      </c>
      <c r="B370">
        <v>27.2</v>
      </c>
      <c r="C370">
        <v>84</v>
      </c>
      <c r="D370">
        <v>15.7</v>
      </c>
      <c r="E370">
        <v>81</v>
      </c>
      <c r="F370" t="str">
        <f t="shared" si="5"/>
        <v>Mid Range</v>
      </c>
    </row>
    <row r="371" spans="1:6" x14ac:dyDescent="0.3">
      <c r="A371" t="s">
        <v>177</v>
      </c>
      <c r="B371">
        <v>26.6</v>
      </c>
      <c r="C371">
        <v>84</v>
      </c>
      <c r="D371">
        <v>16.399999999999999</v>
      </c>
      <c r="E371">
        <v>81</v>
      </c>
      <c r="F371" t="str">
        <f t="shared" si="5"/>
        <v>Mid Range</v>
      </c>
    </row>
    <row r="372" spans="1:6" x14ac:dyDescent="0.3">
      <c r="A372" t="s">
        <v>277</v>
      </c>
      <c r="B372">
        <v>34.4</v>
      </c>
      <c r="C372">
        <v>65</v>
      </c>
      <c r="D372">
        <v>16.2</v>
      </c>
      <c r="E372">
        <v>81</v>
      </c>
      <c r="F372" t="str">
        <f t="shared" si="5"/>
        <v>Economy</v>
      </c>
    </row>
    <row r="373" spans="1:6" x14ac:dyDescent="0.3">
      <c r="A373" t="s">
        <v>276</v>
      </c>
      <c r="B373">
        <v>34.700000000000003</v>
      </c>
      <c r="C373">
        <v>63</v>
      </c>
      <c r="D373">
        <v>14.9</v>
      </c>
      <c r="E373">
        <v>81</v>
      </c>
      <c r="F373" t="str">
        <f t="shared" si="5"/>
        <v>Economy</v>
      </c>
    </row>
    <row r="374" spans="1:6" x14ac:dyDescent="0.3">
      <c r="A374" t="s">
        <v>278</v>
      </c>
      <c r="B374">
        <v>29.9</v>
      </c>
      <c r="C374">
        <v>65</v>
      </c>
      <c r="D374">
        <v>20.7</v>
      </c>
      <c r="E374">
        <v>81</v>
      </c>
      <c r="F374" t="str">
        <f t="shared" si="5"/>
        <v>Economy</v>
      </c>
    </row>
    <row r="375" spans="1:6" x14ac:dyDescent="0.3">
      <c r="A375" t="s">
        <v>245</v>
      </c>
      <c r="B375">
        <v>23.5</v>
      </c>
      <c r="C375">
        <v>110</v>
      </c>
      <c r="D375">
        <v>12.6</v>
      </c>
      <c r="E375">
        <v>81</v>
      </c>
      <c r="F375" t="str">
        <f t="shared" si="5"/>
        <v>Economy</v>
      </c>
    </row>
    <row r="376" spans="1:6" x14ac:dyDescent="0.3">
      <c r="A376" t="s">
        <v>137</v>
      </c>
      <c r="B376">
        <v>22.4</v>
      </c>
      <c r="C376">
        <v>110</v>
      </c>
      <c r="D376">
        <v>15.8</v>
      </c>
      <c r="E376">
        <v>81</v>
      </c>
      <c r="F376" t="str">
        <f t="shared" si="5"/>
        <v>Economy</v>
      </c>
    </row>
    <row r="377" spans="1:6" x14ac:dyDescent="0.3">
      <c r="A377" t="s">
        <v>288</v>
      </c>
      <c r="B377">
        <v>20.2</v>
      </c>
      <c r="C377">
        <v>88</v>
      </c>
      <c r="D377">
        <v>17.100000000000001</v>
      </c>
      <c r="E377">
        <v>81</v>
      </c>
      <c r="F377" t="str">
        <f t="shared" si="5"/>
        <v>Mid Range</v>
      </c>
    </row>
    <row r="378" spans="1:6" x14ac:dyDescent="0.3">
      <c r="A378" t="s">
        <v>289</v>
      </c>
      <c r="B378">
        <v>17.600000000000001</v>
      </c>
      <c r="C378">
        <v>85</v>
      </c>
      <c r="D378">
        <v>16.600000000000001</v>
      </c>
      <c r="E378">
        <v>81</v>
      </c>
      <c r="F378" t="str">
        <f t="shared" si="5"/>
        <v>Mid Range</v>
      </c>
    </row>
    <row r="379" spans="1:6" x14ac:dyDescent="0.3">
      <c r="A379" t="s">
        <v>287</v>
      </c>
      <c r="B379">
        <v>26.6</v>
      </c>
      <c r="C379">
        <v>105</v>
      </c>
      <c r="D379">
        <v>19</v>
      </c>
      <c r="E379">
        <v>81</v>
      </c>
      <c r="F379" t="str">
        <f t="shared" si="5"/>
        <v>Economy</v>
      </c>
    </row>
    <row r="380" spans="1:6" x14ac:dyDescent="0.3">
      <c r="A380" t="s">
        <v>292</v>
      </c>
      <c r="B380">
        <v>34</v>
      </c>
      <c r="C380">
        <v>88</v>
      </c>
      <c r="D380">
        <v>18</v>
      </c>
      <c r="E380">
        <v>82</v>
      </c>
      <c r="F380" t="str">
        <f t="shared" si="5"/>
        <v>Economy</v>
      </c>
    </row>
    <row r="381" spans="1:6" x14ac:dyDescent="0.3">
      <c r="A381" t="s">
        <v>314</v>
      </c>
      <c r="B381">
        <v>32</v>
      </c>
      <c r="C381">
        <v>84</v>
      </c>
      <c r="D381">
        <v>11.6</v>
      </c>
      <c r="E381">
        <v>82</v>
      </c>
      <c r="F381" t="str">
        <f t="shared" si="5"/>
        <v>Economy</v>
      </c>
    </row>
    <row r="382" spans="1:6" x14ac:dyDescent="0.3">
      <c r="A382" t="s">
        <v>307</v>
      </c>
      <c r="B382">
        <v>26</v>
      </c>
      <c r="C382">
        <v>92</v>
      </c>
      <c r="D382">
        <v>14.5</v>
      </c>
      <c r="E382">
        <v>82</v>
      </c>
      <c r="F382" t="str">
        <f t="shared" si="5"/>
        <v>Mid Range</v>
      </c>
    </row>
    <row r="383" spans="1:6" x14ac:dyDescent="0.3">
      <c r="A383" t="s">
        <v>310</v>
      </c>
      <c r="B383">
        <v>36</v>
      </c>
      <c r="C383">
        <v>84</v>
      </c>
      <c r="D383">
        <v>13</v>
      </c>
      <c r="E383">
        <v>82</v>
      </c>
      <c r="F383" t="str">
        <f t="shared" si="5"/>
        <v>Economy</v>
      </c>
    </row>
    <row r="384" spans="1:6" x14ac:dyDescent="0.3">
      <c r="A384" t="s">
        <v>290</v>
      </c>
      <c r="B384">
        <v>28</v>
      </c>
      <c r="C384">
        <v>88</v>
      </c>
      <c r="D384">
        <v>19.600000000000001</v>
      </c>
      <c r="E384">
        <v>82</v>
      </c>
      <c r="F384" t="str">
        <f t="shared" si="5"/>
        <v>Economy</v>
      </c>
    </row>
    <row r="385" spans="1:6" x14ac:dyDescent="0.3">
      <c r="A385" t="s">
        <v>291</v>
      </c>
      <c r="B385">
        <v>27</v>
      </c>
      <c r="C385">
        <v>88</v>
      </c>
      <c r="D385">
        <v>18.600000000000001</v>
      </c>
      <c r="E385">
        <v>82</v>
      </c>
      <c r="F385" t="str">
        <f t="shared" si="5"/>
        <v>Mid Range</v>
      </c>
    </row>
    <row r="386" spans="1:6" x14ac:dyDescent="0.3">
      <c r="A386" t="s">
        <v>294</v>
      </c>
      <c r="B386">
        <v>29</v>
      </c>
      <c r="C386">
        <v>84</v>
      </c>
      <c r="D386">
        <v>16</v>
      </c>
      <c r="E386">
        <v>82</v>
      </c>
      <c r="F386" t="str">
        <f t="shared" ref="F386:F399" si="6">IF(AND(C386&gt;100,D386&lt;13,B386&gt;32.5),"High Performance",IF(AND(C386&lt;= 100,C386&gt;=60,D386&gt;=13,D386&lt;=19,B386&gt;=17,B386&lt;=32.5),"Mid Range","Economy"))</f>
        <v>Mid Range</v>
      </c>
    </row>
    <row r="387" spans="1:6" x14ac:dyDescent="0.3">
      <c r="A387" t="s">
        <v>293</v>
      </c>
      <c r="B387">
        <v>31</v>
      </c>
      <c r="C387">
        <v>85</v>
      </c>
      <c r="D387">
        <v>16.2</v>
      </c>
      <c r="E387">
        <v>82</v>
      </c>
      <c r="F387" t="str">
        <f t="shared" si="6"/>
        <v>Mid Range</v>
      </c>
    </row>
    <row r="388" spans="1:6" x14ac:dyDescent="0.3">
      <c r="A388" t="s">
        <v>301</v>
      </c>
      <c r="B388">
        <v>36</v>
      </c>
      <c r="C388">
        <v>70</v>
      </c>
      <c r="D388">
        <v>17.3</v>
      </c>
      <c r="E388">
        <v>82</v>
      </c>
      <c r="F388" t="str">
        <f t="shared" si="6"/>
        <v>Economy</v>
      </c>
    </row>
    <row r="389" spans="1:6" x14ac:dyDescent="0.3">
      <c r="A389" t="s">
        <v>247</v>
      </c>
      <c r="B389">
        <v>27</v>
      </c>
      <c r="C389">
        <v>90</v>
      </c>
      <c r="D389">
        <v>18</v>
      </c>
      <c r="E389">
        <v>82</v>
      </c>
      <c r="F389" t="str">
        <f t="shared" si="6"/>
        <v>Mid Range</v>
      </c>
    </row>
    <row r="390" spans="1:6" x14ac:dyDescent="0.3">
      <c r="A390" t="s">
        <v>295</v>
      </c>
      <c r="B390">
        <v>24</v>
      </c>
      <c r="C390">
        <v>92</v>
      </c>
      <c r="D390">
        <v>16.399999999999999</v>
      </c>
      <c r="E390">
        <v>82</v>
      </c>
      <c r="F390" t="str">
        <f t="shared" si="6"/>
        <v>Mid Range</v>
      </c>
    </row>
    <row r="391" spans="1:6" x14ac:dyDescent="0.3">
      <c r="A391" t="s">
        <v>312</v>
      </c>
      <c r="B391">
        <v>27</v>
      </c>
      <c r="C391">
        <v>86</v>
      </c>
      <c r="D391">
        <v>15.6</v>
      </c>
      <c r="E391">
        <v>82</v>
      </c>
      <c r="F391" t="str">
        <f t="shared" si="6"/>
        <v>Mid Range</v>
      </c>
    </row>
    <row r="392" spans="1:6" x14ac:dyDescent="0.3">
      <c r="A392" t="s">
        <v>311</v>
      </c>
      <c r="B392">
        <v>27</v>
      </c>
      <c r="C392">
        <v>90</v>
      </c>
      <c r="D392">
        <v>17.3</v>
      </c>
      <c r="E392">
        <v>82</v>
      </c>
      <c r="F392" t="str">
        <f t="shared" si="6"/>
        <v>Mid Range</v>
      </c>
    </row>
    <row r="393" spans="1:6" x14ac:dyDescent="0.3">
      <c r="A393" t="s">
        <v>316</v>
      </c>
      <c r="B393">
        <v>31</v>
      </c>
      <c r="C393">
        <v>82</v>
      </c>
      <c r="D393">
        <v>19.399999999999999</v>
      </c>
      <c r="E393">
        <v>82</v>
      </c>
      <c r="F393" t="str">
        <f t="shared" si="6"/>
        <v>Economy</v>
      </c>
    </row>
    <row r="394" spans="1:6" x14ac:dyDescent="0.3">
      <c r="A394" t="s">
        <v>315</v>
      </c>
      <c r="B394">
        <v>28</v>
      </c>
      <c r="C394">
        <v>79</v>
      </c>
      <c r="D394">
        <v>18.600000000000001</v>
      </c>
      <c r="E394">
        <v>82</v>
      </c>
      <c r="F394" t="str">
        <f t="shared" si="6"/>
        <v>Mid Range</v>
      </c>
    </row>
    <row r="395" spans="1:6" x14ac:dyDescent="0.3">
      <c r="A395" t="s">
        <v>300</v>
      </c>
      <c r="B395">
        <v>38</v>
      </c>
      <c r="C395">
        <v>63</v>
      </c>
      <c r="D395">
        <v>14.7</v>
      </c>
      <c r="E395">
        <v>82</v>
      </c>
      <c r="F395" t="str">
        <f t="shared" si="6"/>
        <v>Economy</v>
      </c>
    </row>
    <row r="396" spans="1:6" x14ac:dyDescent="0.3">
      <c r="A396" t="s">
        <v>296</v>
      </c>
      <c r="B396">
        <v>23</v>
      </c>
      <c r="D396">
        <v>20.5</v>
      </c>
      <c r="E396">
        <v>82</v>
      </c>
      <c r="F396" t="str">
        <f t="shared" si="6"/>
        <v>Economy</v>
      </c>
    </row>
    <row r="397" spans="1:6" x14ac:dyDescent="0.3">
      <c r="A397" t="s">
        <v>308</v>
      </c>
      <c r="B397">
        <v>22</v>
      </c>
      <c r="C397">
        <v>112</v>
      </c>
      <c r="D397">
        <v>14.7</v>
      </c>
      <c r="E397">
        <v>82</v>
      </c>
      <c r="F397" t="str">
        <f t="shared" si="6"/>
        <v>Economy</v>
      </c>
    </row>
    <row r="398" spans="1:6" x14ac:dyDescent="0.3">
      <c r="A398" t="s">
        <v>305</v>
      </c>
      <c r="B398">
        <v>25</v>
      </c>
      <c r="C398">
        <v>110</v>
      </c>
      <c r="D398">
        <v>16.399999999999999</v>
      </c>
      <c r="E398">
        <v>82</v>
      </c>
      <c r="F398" t="str">
        <f t="shared" si="6"/>
        <v>Economy</v>
      </c>
    </row>
    <row r="399" spans="1:6" x14ac:dyDescent="0.3">
      <c r="A399" t="s">
        <v>306</v>
      </c>
      <c r="B399">
        <v>38</v>
      </c>
      <c r="C399">
        <v>85</v>
      </c>
      <c r="D399">
        <v>17</v>
      </c>
      <c r="E399">
        <v>82</v>
      </c>
      <c r="F399" t="str">
        <f t="shared" si="6"/>
        <v>Economy</v>
      </c>
    </row>
  </sheetData>
  <pageMargins left="0.7" right="0.7" top="0.75" bottom="0.75" header="0.3" footer="0.3"/>
  <ignoredErrors>
    <ignoredError sqref="U22:U24" calculatedColumn="1"/>
  </ignoredErrors>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2377D-736A-4F62-911D-661AAA190120}">
  <dimension ref="A1:K393"/>
  <sheetViews>
    <sheetView workbookViewId="0">
      <selection activeCell="I17" sqref="I17"/>
    </sheetView>
  </sheetViews>
  <sheetFormatPr defaultRowHeight="14.4" x14ac:dyDescent="0.3"/>
  <cols>
    <col min="1" max="1" width="11.6640625" customWidth="1"/>
    <col min="3" max="3" width="12.88671875" customWidth="1"/>
    <col min="7" max="7" width="28.6640625" bestFit="1" customWidth="1"/>
    <col min="8" max="8" width="11.5546875" customWidth="1"/>
    <col min="11" max="11" width="12" bestFit="1" customWidth="1"/>
  </cols>
  <sheetData>
    <row r="1" spans="1:11" ht="57.6" x14ac:dyDescent="0.3">
      <c r="A1" s="1" t="s">
        <v>4</v>
      </c>
      <c r="B1" s="1" t="s">
        <v>2</v>
      </c>
      <c r="C1" s="1" t="s">
        <v>3</v>
      </c>
      <c r="D1" s="1" t="s">
        <v>5</v>
      </c>
      <c r="E1" s="1"/>
      <c r="G1" s="8" t="s">
        <v>421</v>
      </c>
      <c r="H1" s="10" t="s">
        <v>3</v>
      </c>
      <c r="I1" s="10" t="s">
        <v>5</v>
      </c>
      <c r="J1" s="10" t="s">
        <v>2</v>
      </c>
      <c r="K1" s="11" t="s">
        <v>449</v>
      </c>
    </row>
    <row r="2" spans="1:11" x14ac:dyDescent="0.3">
      <c r="A2">
        <v>113</v>
      </c>
      <c r="B2">
        <v>4</v>
      </c>
      <c r="C2">
        <v>121</v>
      </c>
      <c r="D2">
        <v>2234</v>
      </c>
      <c r="G2" s="8" t="s">
        <v>296</v>
      </c>
      <c r="H2" s="8">
        <v>151</v>
      </c>
      <c r="I2" s="8">
        <v>3035</v>
      </c>
      <c r="J2" s="8">
        <v>4</v>
      </c>
      <c r="K2" s="12">
        <v>498.11984725831337</v>
      </c>
    </row>
    <row r="3" spans="1:11" x14ac:dyDescent="0.3">
      <c r="A3">
        <v>95</v>
      </c>
      <c r="B3">
        <v>4</v>
      </c>
      <c r="C3">
        <v>104</v>
      </c>
      <c r="D3">
        <v>2375</v>
      </c>
      <c r="G3" s="8" t="s">
        <v>28</v>
      </c>
      <c r="H3" s="8">
        <v>200</v>
      </c>
      <c r="I3" s="8">
        <v>2875</v>
      </c>
      <c r="J3" s="8">
        <v>6</v>
      </c>
      <c r="K3" s="12">
        <v>306.63037066889922</v>
      </c>
    </row>
    <row r="4" spans="1:11" x14ac:dyDescent="0.3">
      <c r="A4">
        <v>90</v>
      </c>
      <c r="B4">
        <v>4</v>
      </c>
      <c r="C4">
        <v>107</v>
      </c>
      <c r="D4">
        <v>2430</v>
      </c>
      <c r="G4" s="8" t="s">
        <v>266</v>
      </c>
      <c r="H4" s="8">
        <v>140</v>
      </c>
      <c r="I4" s="8">
        <v>2905</v>
      </c>
      <c r="J4" s="8">
        <v>4</v>
      </c>
      <c r="K4" s="12">
        <v>491.45601218328284</v>
      </c>
    </row>
    <row r="5" spans="1:11" x14ac:dyDescent="0.3">
      <c r="A5">
        <v>87</v>
      </c>
      <c r="B5">
        <v>4</v>
      </c>
      <c r="C5">
        <v>110</v>
      </c>
      <c r="D5">
        <v>2672</v>
      </c>
      <c r="G5" s="8" t="s">
        <v>43</v>
      </c>
      <c r="H5" s="8">
        <v>98</v>
      </c>
      <c r="I5" s="8">
        <v>2046</v>
      </c>
      <c r="J5" s="8">
        <v>4</v>
      </c>
      <c r="K5" s="12">
        <v>357.48304318581</v>
      </c>
    </row>
    <row r="6" spans="1:11" x14ac:dyDescent="0.3">
      <c r="A6">
        <v>46</v>
      </c>
      <c r="B6">
        <v>4</v>
      </c>
      <c r="C6">
        <v>97</v>
      </c>
      <c r="D6">
        <v>1835</v>
      </c>
      <c r="G6" s="8" t="s">
        <v>280</v>
      </c>
      <c r="H6" s="8">
        <v>100</v>
      </c>
      <c r="I6" s="8">
        <v>2320</v>
      </c>
      <c r="J6" s="8">
        <v>4</v>
      </c>
      <c r="K6" s="12">
        <v>433.62308109869332</v>
      </c>
    </row>
    <row r="7" spans="1:11" x14ac:dyDescent="0.3">
      <c r="A7">
        <v>90</v>
      </c>
      <c r="B7">
        <v>4</v>
      </c>
      <c r="C7">
        <v>116</v>
      </c>
      <c r="D7">
        <v>2123</v>
      </c>
      <c r="G7" s="8" t="s">
        <v>261</v>
      </c>
      <c r="H7" s="8">
        <v>85</v>
      </c>
      <c r="I7" s="8">
        <v>1835</v>
      </c>
      <c r="J7" s="8">
        <v>4</v>
      </c>
      <c r="K7" s="12">
        <v>332.43990373097154</v>
      </c>
    </row>
    <row r="8" spans="1:11" x14ac:dyDescent="0.3">
      <c r="A8">
        <v>76</v>
      </c>
      <c r="B8">
        <v>4</v>
      </c>
      <c r="C8">
        <v>88</v>
      </c>
      <c r="D8">
        <v>2065</v>
      </c>
    </row>
    <row r="9" spans="1:11" x14ac:dyDescent="0.3">
      <c r="A9">
        <v>70</v>
      </c>
      <c r="B9">
        <v>4</v>
      </c>
      <c r="C9">
        <v>79</v>
      </c>
      <c r="D9">
        <v>2074</v>
      </c>
      <c r="H9" t="s">
        <v>450</v>
      </c>
    </row>
    <row r="10" spans="1:11" x14ac:dyDescent="0.3">
      <c r="A10">
        <v>60</v>
      </c>
      <c r="B10">
        <v>4</v>
      </c>
      <c r="C10">
        <v>97</v>
      </c>
      <c r="D10">
        <v>1834</v>
      </c>
      <c r="H10" t="s">
        <v>451</v>
      </c>
      <c r="I10" t="s">
        <v>452</v>
      </c>
    </row>
    <row r="11" spans="1:11" x14ac:dyDescent="0.3">
      <c r="A11">
        <v>112</v>
      </c>
      <c r="B11">
        <v>4</v>
      </c>
      <c r="C11">
        <v>121</v>
      </c>
      <c r="D11">
        <v>2933</v>
      </c>
      <c r="H11">
        <v>1</v>
      </c>
      <c r="I11" t="s">
        <v>453</v>
      </c>
    </row>
    <row r="12" spans="1:11" x14ac:dyDescent="0.3">
      <c r="A12">
        <v>69</v>
      </c>
      <c r="B12">
        <v>4</v>
      </c>
      <c r="C12">
        <v>96</v>
      </c>
      <c r="D12">
        <v>2189</v>
      </c>
      <c r="H12">
        <v>2</v>
      </c>
      <c r="I12" t="s">
        <v>454</v>
      </c>
    </row>
    <row r="13" spans="1:11" x14ac:dyDescent="0.3">
      <c r="A13">
        <v>76</v>
      </c>
      <c r="B13">
        <v>4</v>
      </c>
      <c r="C13">
        <v>121</v>
      </c>
      <c r="D13">
        <v>2511</v>
      </c>
      <c r="H13">
        <v>3</v>
      </c>
      <c r="I13" t="s">
        <v>455</v>
      </c>
    </row>
    <row r="14" spans="1:11" x14ac:dyDescent="0.3">
      <c r="A14">
        <v>87</v>
      </c>
      <c r="B14">
        <v>4</v>
      </c>
      <c r="C14">
        <v>120</v>
      </c>
      <c r="D14">
        <v>2979</v>
      </c>
      <c r="H14">
        <v>4</v>
      </c>
      <c r="I14" t="s">
        <v>456</v>
      </c>
    </row>
    <row r="15" spans="1:11" x14ac:dyDescent="0.3">
      <c r="A15">
        <v>54</v>
      </c>
      <c r="B15">
        <v>4</v>
      </c>
      <c r="C15">
        <v>97</v>
      </c>
      <c r="D15">
        <v>2254</v>
      </c>
      <c r="H15">
        <v>5</v>
      </c>
      <c r="I15" t="s">
        <v>457</v>
      </c>
    </row>
    <row r="16" spans="1:11" x14ac:dyDescent="0.3">
      <c r="A16">
        <v>110</v>
      </c>
      <c r="B16">
        <v>4</v>
      </c>
      <c r="C16">
        <v>121</v>
      </c>
      <c r="D16">
        <v>2660</v>
      </c>
    </row>
    <row r="17" spans="1:4" x14ac:dyDescent="0.3">
      <c r="A17">
        <v>90</v>
      </c>
      <c r="B17">
        <v>4</v>
      </c>
      <c r="C17">
        <v>98</v>
      </c>
      <c r="D17">
        <v>2265</v>
      </c>
    </row>
    <row r="18" spans="1:4" x14ac:dyDescent="0.3">
      <c r="A18">
        <v>112</v>
      </c>
      <c r="B18">
        <v>4</v>
      </c>
      <c r="C18">
        <v>121</v>
      </c>
      <c r="D18">
        <v>2868</v>
      </c>
    </row>
    <row r="19" spans="1:4" x14ac:dyDescent="0.3">
      <c r="A19">
        <v>91</v>
      </c>
      <c r="B19">
        <v>4</v>
      </c>
      <c r="C19">
        <v>114</v>
      </c>
      <c r="D19">
        <v>2582</v>
      </c>
    </row>
    <row r="20" spans="1:4" x14ac:dyDescent="0.3">
      <c r="A20">
        <v>75</v>
      </c>
      <c r="B20">
        <v>4</v>
      </c>
      <c r="C20">
        <v>116</v>
      </c>
      <c r="D20">
        <v>2158</v>
      </c>
    </row>
    <row r="21" spans="1:4" x14ac:dyDescent="0.3">
      <c r="A21">
        <v>49</v>
      </c>
      <c r="B21">
        <v>4</v>
      </c>
      <c r="C21">
        <v>68</v>
      </c>
      <c r="D21">
        <v>1867</v>
      </c>
    </row>
    <row r="22" spans="1:4" x14ac:dyDescent="0.3">
      <c r="A22">
        <v>46</v>
      </c>
      <c r="B22">
        <v>4</v>
      </c>
      <c r="C22">
        <v>97</v>
      </c>
      <c r="D22">
        <v>1950</v>
      </c>
    </row>
    <row r="23" spans="1:4" x14ac:dyDescent="0.3">
      <c r="A23">
        <v>83</v>
      </c>
      <c r="B23">
        <v>4</v>
      </c>
      <c r="C23">
        <v>98</v>
      </c>
      <c r="D23">
        <v>2219</v>
      </c>
    </row>
    <row r="24" spans="1:4" x14ac:dyDescent="0.3">
      <c r="A24">
        <v>75</v>
      </c>
      <c r="B24">
        <v>4</v>
      </c>
      <c r="C24">
        <v>90</v>
      </c>
      <c r="D24">
        <v>2108</v>
      </c>
    </row>
    <row r="25" spans="1:4" x14ac:dyDescent="0.3">
      <c r="A25">
        <v>67</v>
      </c>
      <c r="B25">
        <v>4</v>
      </c>
      <c r="C25">
        <v>79</v>
      </c>
      <c r="D25">
        <v>1963</v>
      </c>
    </row>
    <row r="26" spans="1:4" x14ac:dyDescent="0.3">
      <c r="A26">
        <v>78</v>
      </c>
      <c r="B26">
        <v>4</v>
      </c>
      <c r="C26">
        <v>97</v>
      </c>
      <c r="D26">
        <v>2300</v>
      </c>
    </row>
    <row r="27" spans="1:4" x14ac:dyDescent="0.3">
      <c r="A27">
        <v>67</v>
      </c>
      <c r="B27">
        <v>4</v>
      </c>
      <c r="C27">
        <v>79</v>
      </c>
      <c r="D27">
        <v>2000</v>
      </c>
    </row>
    <row r="28" spans="1:4" x14ac:dyDescent="0.3">
      <c r="A28">
        <v>75</v>
      </c>
      <c r="B28">
        <v>4</v>
      </c>
      <c r="C28">
        <v>116</v>
      </c>
      <c r="D28">
        <v>2246</v>
      </c>
    </row>
    <row r="29" spans="1:4" x14ac:dyDescent="0.3">
      <c r="A29">
        <v>115</v>
      </c>
      <c r="B29">
        <v>4</v>
      </c>
      <c r="C29">
        <v>121</v>
      </c>
      <c r="D29">
        <v>2671</v>
      </c>
    </row>
    <row r="30" spans="1:4" x14ac:dyDescent="0.3">
      <c r="A30">
        <v>70</v>
      </c>
      <c r="B30">
        <v>4</v>
      </c>
      <c r="C30">
        <v>90</v>
      </c>
      <c r="D30">
        <v>1937</v>
      </c>
    </row>
    <row r="31" spans="1:4" x14ac:dyDescent="0.3">
      <c r="A31">
        <v>95</v>
      </c>
      <c r="B31">
        <v>4</v>
      </c>
      <c r="C31">
        <v>115</v>
      </c>
      <c r="D31">
        <v>2694</v>
      </c>
    </row>
    <row r="32" spans="1:4" x14ac:dyDescent="0.3">
      <c r="A32">
        <v>98</v>
      </c>
      <c r="B32">
        <v>4</v>
      </c>
      <c r="C32">
        <v>121</v>
      </c>
      <c r="D32">
        <v>2945</v>
      </c>
    </row>
    <row r="33" spans="1:4" x14ac:dyDescent="0.3">
      <c r="A33">
        <v>71</v>
      </c>
      <c r="B33">
        <v>4</v>
      </c>
      <c r="C33">
        <v>90</v>
      </c>
      <c r="D33">
        <v>2223</v>
      </c>
    </row>
    <row r="34" spans="1:4" x14ac:dyDescent="0.3">
      <c r="A34">
        <v>88</v>
      </c>
      <c r="B34">
        <v>4</v>
      </c>
      <c r="C34">
        <v>120</v>
      </c>
      <c r="D34">
        <v>2957</v>
      </c>
    </row>
    <row r="35" spans="1:4" x14ac:dyDescent="0.3">
      <c r="A35">
        <v>71</v>
      </c>
      <c r="B35">
        <v>4</v>
      </c>
      <c r="C35">
        <v>97</v>
      </c>
      <c r="D35">
        <v>1825</v>
      </c>
    </row>
    <row r="36" spans="1:4" x14ac:dyDescent="0.3">
      <c r="A36">
        <v>83</v>
      </c>
      <c r="B36">
        <v>4</v>
      </c>
      <c r="C36">
        <v>101</v>
      </c>
      <c r="D36">
        <v>2202</v>
      </c>
    </row>
    <row r="37" spans="1:4" x14ac:dyDescent="0.3">
      <c r="A37">
        <v>81</v>
      </c>
      <c r="B37">
        <v>4</v>
      </c>
      <c r="C37">
        <v>116</v>
      </c>
      <c r="D37">
        <v>2220</v>
      </c>
    </row>
    <row r="38" spans="1:4" x14ac:dyDescent="0.3">
      <c r="A38">
        <v>70</v>
      </c>
      <c r="B38">
        <v>4</v>
      </c>
      <c r="C38">
        <v>90</v>
      </c>
      <c r="D38">
        <v>1937</v>
      </c>
    </row>
    <row r="39" spans="1:4" x14ac:dyDescent="0.3">
      <c r="A39">
        <v>86</v>
      </c>
      <c r="B39">
        <v>4</v>
      </c>
      <c r="C39">
        <v>107</v>
      </c>
      <c r="D39">
        <v>2464</v>
      </c>
    </row>
    <row r="40" spans="1:4" x14ac:dyDescent="0.3">
      <c r="A40">
        <v>102</v>
      </c>
      <c r="B40">
        <v>4</v>
      </c>
      <c r="C40">
        <v>130</v>
      </c>
      <c r="D40">
        <v>3150</v>
      </c>
    </row>
    <row r="41" spans="1:4" x14ac:dyDescent="0.3">
      <c r="A41">
        <v>88</v>
      </c>
      <c r="B41">
        <v>4</v>
      </c>
      <c r="C41">
        <v>120</v>
      </c>
      <c r="D41">
        <v>3270</v>
      </c>
    </row>
    <row r="42" spans="1:4" x14ac:dyDescent="0.3">
      <c r="A42">
        <v>120</v>
      </c>
      <c r="B42">
        <v>6</v>
      </c>
      <c r="C42">
        <v>168</v>
      </c>
      <c r="D42">
        <v>3820</v>
      </c>
    </row>
    <row r="43" spans="1:4" x14ac:dyDescent="0.3">
      <c r="A43">
        <v>110</v>
      </c>
      <c r="B43">
        <v>4</v>
      </c>
      <c r="C43">
        <v>121</v>
      </c>
      <c r="D43">
        <v>2600</v>
      </c>
    </row>
    <row r="44" spans="1:4" x14ac:dyDescent="0.3">
      <c r="A44">
        <v>78</v>
      </c>
      <c r="B44">
        <v>4</v>
      </c>
      <c r="C44">
        <v>97</v>
      </c>
      <c r="D44">
        <v>1940</v>
      </c>
    </row>
    <row r="45" spans="1:4" x14ac:dyDescent="0.3">
      <c r="A45">
        <v>78</v>
      </c>
      <c r="B45">
        <v>4</v>
      </c>
      <c r="C45">
        <v>97</v>
      </c>
      <c r="D45">
        <v>2190</v>
      </c>
    </row>
    <row r="46" spans="1:4" x14ac:dyDescent="0.3">
      <c r="A46">
        <v>58</v>
      </c>
      <c r="B46">
        <v>4</v>
      </c>
      <c r="C46">
        <v>79</v>
      </c>
      <c r="D46">
        <v>1825</v>
      </c>
    </row>
    <row r="47" spans="1:4" x14ac:dyDescent="0.3">
      <c r="A47">
        <v>115</v>
      </c>
      <c r="B47">
        <v>4</v>
      </c>
      <c r="C47">
        <v>121</v>
      </c>
      <c r="D47">
        <v>2795</v>
      </c>
    </row>
    <row r="48" spans="1:4" x14ac:dyDescent="0.3">
      <c r="A48">
        <v>71</v>
      </c>
      <c r="B48">
        <v>4</v>
      </c>
      <c r="C48">
        <v>89</v>
      </c>
      <c r="D48">
        <v>1990</v>
      </c>
    </row>
    <row r="49" spans="1:4" x14ac:dyDescent="0.3">
      <c r="A49">
        <v>48</v>
      </c>
      <c r="B49">
        <v>4</v>
      </c>
      <c r="C49">
        <v>90</v>
      </c>
      <c r="D49">
        <v>1985</v>
      </c>
    </row>
    <row r="50" spans="1:4" x14ac:dyDescent="0.3">
      <c r="A50">
        <v>103</v>
      </c>
      <c r="B50">
        <v>5</v>
      </c>
      <c r="C50">
        <v>131</v>
      </c>
      <c r="D50">
        <v>2830</v>
      </c>
    </row>
    <row r="51" spans="1:4" x14ac:dyDescent="0.3">
      <c r="A51">
        <v>125</v>
      </c>
      <c r="B51">
        <v>6</v>
      </c>
      <c r="C51">
        <v>163</v>
      </c>
      <c r="D51">
        <v>3140</v>
      </c>
    </row>
    <row r="52" spans="1:4" x14ac:dyDescent="0.3">
      <c r="A52">
        <v>133</v>
      </c>
      <c r="B52">
        <v>6</v>
      </c>
      <c r="C52">
        <v>163</v>
      </c>
      <c r="D52">
        <v>3410</v>
      </c>
    </row>
    <row r="53" spans="1:4" x14ac:dyDescent="0.3">
      <c r="A53">
        <v>71</v>
      </c>
      <c r="B53">
        <v>4</v>
      </c>
      <c r="C53">
        <v>89</v>
      </c>
      <c r="D53">
        <v>1925</v>
      </c>
    </row>
    <row r="54" spans="1:4" x14ac:dyDescent="0.3">
      <c r="A54">
        <v>69</v>
      </c>
      <c r="B54">
        <v>4</v>
      </c>
      <c r="C54">
        <v>91</v>
      </c>
      <c r="D54">
        <v>2130</v>
      </c>
    </row>
    <row r="55" spans="1:4" x14ac:dyDescent="0.3">
      <c r="A55">
        <v>71</v>
      </c>
      <c r="B55">
        <v>4</v>
      </c>
      <c r="C55">
        <v>141</v>
      </c>
      <c r="D55">
        <v>3190</v>
      </c>
    </row>
    <row r="56" spans="1:4" x14ac:dyDescent="0.3">
      <c r="A56">
        <v>77</v>
      </c>
      <c r="B56">
        <v>5</v>
      </c>
      <c r="C56">
        <v>183</v>
      </c>
      <c r="D56">
        <v>3530</v>
      </c>
    </row>
    <row r="57" spans="1:4" x14ac:dyDescent="0.3">
      <c r="A57">
        <v>78</v>
      </c>
      <c r="B57">
        <v>4</v>
      </c>
      <c r="C57">
        <v>97</v>
      </c>
      <c r="D57">
        <v>2188</v>
      </c>
    </row>
    <row r="58" spans="1:4" x14ac:dyDescent="0.3">
      <c r="A58">
        <v>76</v>
      </c>
      <c r="B58">
        <v>4</v>
      </c>
      <c r="C58">
        <v>98</v>
      </c>
      <c r="D58">
        <v>2144</v>
      </c>
    </row>
    <row r="59" spans="1:4" x14ac:dyDescent="0.3">
      <c r="A59">
        <v>88</v>
      </c>
      <c r="B59">
        <v>4</v>
      </c>
      <c r="C59">
        <v>122</v>
      </c>
      <c r="D59">
        <v>2500</v>
      </c>
    </row>
    <row r="60" spans="1:4" x14ac:dyDescent="0.3">
      <c r="A60">
        <v>62</v>
      </c>
      <c r="B60">
        <v>4</v>
      </c>
      <c r="C60">
        <v>89</v>
      </c>
      <c r="D60">
        <v>1845</v>
      </c>
    </row>
    <row r="61" spans="1:4" x14ac:dyDescent="0.3">
      <c r="A61">
        <v>48</v>
      </c>
      <c r="B61">
        <v>4</v>
      </c>
      <c r="C61">
        <v>90</v>
      </c>
      <c r="D61">
        <v>2085</v>
      </c>
    </row>
    <row r="62" spans="1:4" x14ac:dyDescent="0.3">
      <c r="A62">
        <v>67</v>
      </c>
      <c r="B62">
        <v>4</v>
      </c>
      <c r="C62">
        <v>146</v>
      </c>
      <c r="D62">
        <v>3250</v>
      </c>
    </row>
    <row r="63" spans="1:4" x14ac:dyDescent="0.3">
      <c r="A63">
        <v>48</v>
      </c>
      <c r="B63">
        <v>4</v>
      </c>
      <c r="C63">
        <v>90</v>
      </c>
      <c r="D63">
        <v>2335</v>
      </c>
    </row>
    <row r="64" spans="1:4" x14ac:dyDescent="0.3">
      <c r="A64">
        <v>67</v>
      </c>
      <c r="B64">
        <v>5</v>
      </c>
      <c r="C64">
        <v>121</v>
      </c>
      <c r="D64">
        <v>2950</v>
      </c>
    </row>
    <row r="65" spans="1:4" x14ac:dyDescent="0.3">
      <c r="A65">
        <v>74</v>
      </c>
      <c r="B65">
        <v>4</v>
      </c>
      <c r="C65">
        <v>105</v>
      </c>
      <c r="D65">
        <v>2190</v>
      </c>
    </row>
    <row r="66" spans="1:4" x14ac:dyDescent="0.3">
      <c r="A66">
        <v>80</v>
      </c>
      <c r="B66">
        <v>4</v>
      </c>
      <c r="C66">
        <v>141</v>
      </c>
      <c r="D66">
        <v>3230</v>
      </c>
    </row>
    <row r="67" spans="1:4" x14ac:dyDescent="0.3">
      <c r="A67">
        <v>76</v>
      </c>
      <c r="B67">
        <v>6</v>
      </c>
      <c r="C67">
        <v>145</v>
      </c>
      <c r="D67">
        <v>3160</v>
      </c>
    </row>
    <row r="68" spans="1:4" x14ac:dyDescent="0.3">
      <c r="A68">
        <v>74</v>
      </c>
      <c r="B68">
        <v>4</v>
      </c>
      <c r="C68">
        <v>105</v>
      </c>
      <c r="D68">
        <v>1980</v>
      </c>
    </row>
    <row r="69" spans="1:4" x14ac:dyDescent="0.3">
      <c r="A69">
        <v>52</v>
      </c>
      <c r="B69">
        <v>4</v>
      </c>
      <c r="C69">
        <v>97</v>
      </c>
      <c r="D69">
        <v>2130</v>
      </c>
    </row>
    <row r="70" spans="1:4" x14ac:dyDescent="0.3">
      <c r="A70">
        <v>88</v>
      </c>
      <c r="B70">
        <v>4</v>
      </c>
      <c r="C70">
        <v>97</v>
      </c>
      <c r="D70">
        <v>2130</v>
      </c>
    </row>
    <row r="71" spans="1:4" x14ac:dyDescent="0.3">
      <c r="A71">
        <v>95</v>
      </c>
      <c r="B71">
        <v>4</v>
      </c>
      <c r="C71">
        <v>113</v>
      </c>
      <c r="D71">
        <v>2372</v>
      </c>
    </row>
    <row r="72" spans="1:4" x14ac:dyDescent="0.3">
      <c r="A72">
        <v>69</v>
      </c>
      <c r="B72">
        <v>4</v>
      </c>
      <c r="C72">
        <v>72</v>
      </c>
      <c r="D72">
        <v>1613</v>
      </c>
    </row>
    <row r="73" spans="1:4" x14ac:dyDescent="0.3">
      <c r="A73">
        <v>95</v>
      </c>
      <c r="B73">
        <v>4</v>
      </c>
      <c r="C73">
        <v>113</v>
      </c>
      <c r="D73">
        <v>2228</v>
      </c>
    </row>
    <row r="74" spans="1:4" x14ac:dyDescent="0.3">
      <c r="A74">
        <v>88</v>
      </c>
      <c r="B74">
        <v>4</v>
      </c>
      <c r="C74">
        <v>97</v>
      </c>
      <c r="D74">
        <v>2130</v>
      </c>
    </row>
    <row r="75" spans="1:4" x14ac:dyDescent="0.3">
      <c r="A75">
        <v>65</v>
      </c>
      <c r="B75">
        <v>4</v>
      </c>
      <c r="C75">
        <v>71</v>
      </c>
      <c r="D75">
        <v>1773</v>
      </c>
    </row>
    <row r="76" spans="1:4" x14ac:dyDescent="0.3">
      <c r="A76">
        <v>97</v>
      </c>
      <c r="B76">
        <v>3</v>
      </c>
      <c r="C76">
        <v>70</v>
      </c>
      <c r="D76">
        <v>2330</v>
      </c>
    </row>
    <row r="77" spans="1:4" x14ac:dyDescent="0.3">
      <c r="A77">
        <v>88</v>
      </c>
      <c r="B77">
        <v>4</v>
      </c>
      <c r="C77">
        <v>97</v>
      </c>
      <c r="D77">
        <v>2100</v>
      </c>
    </row>
    <row r="78" spans="1:4" x14ac:dyDescent="0.3">
      <c r="A78">
        <v>95</v>
      </c>
      <c r="B78">
        <v>4</v>
      </c>
      <c r="C78">
        <v>113</v>
      </c>
      <c r="D78">
        <v>2278</v>
      </c>
    </row>
    <row r="79" spans="1:4" x14ac:dyDescent="0.3">
      <c r="A79">
        <v>92</v>
      </c>
      <c r="B79">
        <v>4</v>
      </c>
      <c r="C79">
        <v>97</v>
      </c>
      <c r="D79">
        <v>2288</v>
      </c>
    </row>
    <row r="80" spans="1:4" x14ac:dyDescent="0.3">
      <c r="A80">
        <v>97</v>
      </c>
      <c r="B80">
        <v>4</v>
      </c>
      <c r="C80">
        <v>120</v>
      </c>
      <c r="D80">
        <v>2506</v>
      </c>
    </row>
    <row r="81" spans="1:4" x14ac:dyDescent="0.3">
      <c r="A81">
        <v>90</v>
      </c>
      <c r="B81">
        <v>3</v>
      </c>
      <c r="C81">
        <v>70</v>
      </c>
      <c r="D81">
        <v>2124</v>
      </c>
    </row>
    <row r="82" spans="1:4" x14ac:dyDescent="0.3">
      <c r="A82">
        <v>94</v>
      </c>
      <c r="B82">
        <v>4</v>
      </c>
      <c r="C82">
        <v>108</v>
      </c>
      <c r="D82">
        <v>2379</v>
      </c>
    </row>
    <row r="83" spans="1:4" x14ac:dyDescent="0.3">
      <c r="A83">
        <v>88</v>
      </c>
      <c r="B83">
        <v>4</v>
      </c>
      <c r="C83">
        <v>97</v>
      </c>
      <c r="D83">
        <v>2279</v>
      </c>
    </row>
    <row r="84" spans="1:4" x14ac:dyDescent="0.3">
      <c r="A84">
        <v>122</v>
      </c>
      <c r="B84">
        <v>6</v>
      </c>
      <c r="C84">
        <v>156</v>
      </c>
      <c r="D84">
        <v>2807</v>
      </c>
    </row>
    <row r="85" spans="1:4" x14ac:dyDescent="0.3">
      <c r="A85">
        <v>97</v>
      </c>
      <c r="B85">
        <v>4</v>
      </c>
      <c r="C85">
        <v>120</v>
      </c>
      <c r="D85">
        <v>2489</v>
      </c>
    </row>
    <row r="86" spans="1:4" x14ac:dyDescent="0.3">
      <c r="A86">
        <v>93</v>
      </c>
      <c r="B86">
        <v>4</v>
      </c>
      <c r="C86">
        <v>108</v>
      </c>
      <c r="D86">
        <v>2391</v>
      </c>
    </row>
    <row r="87" spans="1:4" x14ac:dyDescent="0.3">
      <c r="A87">
        <v>65</v>
      </c>
      <c r="B87">
        <v>4</v>
      </c>
      <c r="C87">
        <v>71</v>
      </c>
      <c r="D87">
        <v>1836</v>
      </c>
    </row>
    <row r="88" spans="1:4" x14ac:dyDescent="0.3">
      <c r="A88">
        <v>67</v>
      </c>
      <c r="B88">
        <v>4</v>
      </c>
      <c r="C88">
        <v>79</v>
      </c>
      <c r="D88">
        <v>1950</v>
      </c>
    </row>
    <row r="89" spans="1:4" x14ac:dyDescent="0.3">
      <c r="A89">
        <v>52</v>
      </c>
      <c r="B89">
        <v>4</v>
      </c>
      <c r="C89">
        <v>76</v>
      </c>
      <c r="D89">
        <v>1649</v>
      </c>
    </row>
    <row r="90" spans="1:4" x14ac:dyDescent="0.3">
      <c r="A90">
        <v>61</v>
      </c>
      <c r="B90">
        <v>4</v>
      </c>
      <c r="C90">
        <v>83</v>
      </c>
      <c r="D90">
        <v>2003</v>
      </c>
    </row>
    <row r="91" spans="1:4" x14ac:dyDescent="0.3">
      <c r="A91">
        <v>97</v>
      </c>
      <c r="B91">
        <v>4</v>
      </c>
      <c r="C91">
        <v>119</v>
      </c>
      <c r="D91">
        <v>2545</v>
      </c>
    </row>
    <row r="92" spans="1:4" x14ac:dyDescent="0.3">
      <c r="A92">
        <v>96</v>
      </c>
      <c r="B92">
        <v>4</v>
      </c>
      <c r="C92">
        <v>134</v>
      </c>
      <c r="D92">
        <v>2702</v>
      </c>
    </row>
    <row r="93" spans="1:4" x14ac:dyDescent="0.3">
      <c r="A93">
        <v>75</v>
      </c>
      <c r="B93">
        <v>4</v>
      </c>
      <c r="C93">
        <v>97</v>
      </c>
      <c r="D93">
        <v>2171</v>
      </c>
    </row>
    <row r="94" spans="1:4" x14ac:dyDescent="0.3">
      <c r="A94">
        <v>53</v>
      </c>
      <c r="B94">
        <v>4</v>
      </c>
      <c r="C94">
        <v>91</v>
      </c>
      <c r="D94">
        <v>1795</v>
      </c>
    </row>
    <row r="95" spans="1:4" x14ac:dyDescent="0.3">
      <c r="A95">
        <v>70</v>
      </c>
      <c r="B95">
        <v>4</v>
      </c>
      <c r="C95">
        <v>85</v>
      </c>
      <c r="D95">
        <v>1990</v>
      </c>
    </row>
    <row r="96" spans="1:4" x14ac:dyDescent="0.3">
      <c r="A96">
        <v>75</v>
      </c>
      <c r="B96">
        <v>4</v>
      </c>
      <c r="C96">
        <v>97</v>
      </c>
      <c r="D96">
        <v>2155</v>
      </c>
    </row>
    <row r="97" spans="1:4" x14ac:dyDescent="0.3">
      <c r="A97">
        <v>53</v>
      </c>
      <c r="B97">
        <v>4</v>
      </c>
      <c r="C97">
        <v>91</v>
      </c>
      <c r="D97">
        <v>1795</v>
      </c>
    </row>
    <row r="98" spans="1:4" x14ac:dyDescent="0.3">
      <c r="A98">
        <v>108</v>
      </c>
      <c r="B98">
        <v>6</v>
      </c>
      <c r="C98">
        <v>156</v>
      </c>
      <c r="D98">
        <v>2930</v>
      </c>
    </row>
    <row r="99" spans="1:4" x14ac:dyDescent="0.3">
      <c r="A99">
        <v>110</v>
      </c>
      <c r="B99">
        <v>3</v>
      </c>
      <c r="C99">
        <v>80</v>
      </c>
      <c r="D99">
        <v>2720</v>
      </c>
    </row>
    <row r="100" spans="1:4" x14ac:dyDescent="0.3">
      <c r="A100">
        <v>70</v>
      </c>
      <c r="B100">
        <v>4</v>
      </c>
      <c r="C100">
        <v>85</v>
      </c>
      <c r="D100">
        <v>1945</v>
      </c>
    </row>
    <row r="101" spans="1:4" x14ac:dyDescent="0.3">
      <c r="A101">
        <v>67</v>
      </c>
      <c r="B101">
        <v>4</v>
      </c>
      <c r="C101">
        <v>97</v>
      </c>
      <c r="D101">
        <v>1985</v>
      </c>
    </row>
    <row r="102" spans="1:4" x14ac:dyDescent="0.3">
      <c r="A102">
        <v>68</v>
      </c>
      <c r="B102">
        <v>4</v>
      </c>
      <c r="C102">
        <v>98</v>
      </c>
      <c r="D102">
        <v>2045</v>
      </c>
    </row>
    <row r="103" spans="1:4" x14ac:dyDescent="0.3">
      <c r="A103">
        <v>75</v>
      </c>
      <c r="B103">
        <v>4</v>
      </c>
      <c r="C103">
        <v>97</v>
      </c>
      <c r="D103">
        <v>2265</v>
      </c>
    </row>
    <row r="104" spans="1:4" x14ac:dyDescent="0.3">
      <c r="A104">
        <v>97</v>
      </c>
      <c r="B104">
        <v>6</v>
      </c>
      <c r="C104">
        <v>146</v>
      </c>
      <c r="D104">
        <v>2815</v>
      </c>
    </row>
    <row r="105" spans="1:4" x14ac:dyDescent="0.3">
      <c r="A105">
        <v>97</v>
      </c>
      <c r="B105">
        <v>4</v>
      </c>
      <c r="C105">
        <v>119</v>
      </c>
      <c r="D105">
        <v>2300</v>
      </c>
    </row>
    <row r="106" spans="1:4" x14ac:dyDescent="0.3">
      <c r="A106">
        <v>97</v>
      </c>
      <c r="B106">
        <v>4</v>
      </c>
      <c r="C106">
        <v>119</v>
      </c>
      <c r="D106">
        <v>2405</v>
      </c>
    </row>
    <row r="107" spans="1:4" x14ac:dyDescent="0.3">
      <c r="A107">
        <v>95</v>
      </c>
      <c r="B107">
        <v>4</v>
      </c>
      <c r="C107">
        <v>134</v>
      </c>
      <c r="D107">
        <v>2515</v>
      </c>
    </row>
    <row r="108" spans="1:4" x14ac:dyDescent="0.3">
      <c r="A108">
        <v>95</v>
      </c>
      <c r="B108">
        <v>4</v>
      </c>
      <c r="C108">
        <v>134</v>
      </c>
      <c r="D108">
        <v>2560</v>
      </c>
    </row>
    <row r="109" spans="1:4" x14ac:dyDescent="0.3">
      <c r="A109">
        <v>70</v>
      </c>
      <c r="B109">
        <v>4</v>
      </c>
      <c r="C109">
        <v>85</v>
      </c>
      <c r="D109">
        <v>2070</v>
      </c>
    </row>
    <row r="110" spans="1:4" x14ac:dyDescent="0.3">
      <c r="A110">
        <v>60</v>
      </c>
      <c r="B110">
        <v>4</v>
      </c>
      <c r="C110">
        <v>91</v>
      </c>
      <c r="D110">
        <v>1800</v>
      </c>
    </row>
    <row r="111" spans="1:4" x14ac:dyDescent="0.3">
      <c r="A111">
        <v>68</v>
      </c>
      <c r="B111">
        <v>4</v>
      </c>
      <c r="C111">
        <v>98</v>
      </c>
      <c r="D111">
        <v>2135</v>
      </c>
    </row>
    <row r="112" spans="1:4" x14ac:dyDescent="0.3">
      <c r="A112">
        <v>52</v>
      </c>
      <c r="B112">
        <v>4</v>
      </c>
      <c r="C112">
        <v>78</v>
      </c>
      <c r="D112">
        <v>1985</v>
      </c>
    </row>
    <row r="113" spans="1:4" x14ac:dyDescent="0.3">
      <c r="A113">
        <v>65</v>
      </c>
      <c r="B113">
        <v>4</v>
      </c>
      <c r="C113">
        <v>86</v>
      </c>
      <c r="D113">
        <v>1975</v>
      </c>
    </row>
    <row r="114" spans="1:4" x14ac:dyDescent="0.3">
      <c r="A114">
        <v>65</v>
      </c>
      <c r="B114">
        <v>4</v>
      </c>
      <c r="C114">
        <v>85</v>
      </c>
      <c r="D114">
        <v>2020</v>
      </c>
    </row>
    <row r="115" spans="1:4" x14ac:dyDescent="0.3">
      <c r="A115">
        <v>100</v>
      </c>
      <c r="B115">
        <v>3</v>
      </c>
      <c r="C115">
        <v>70</v>
      </c>
      <c r="D115">
        <v>2420</v>
      </c>
    </row>
    <row r="116" spans="1:4" x14ac:dyDescent="0.3">
      <c r="A116">
        <v>92</v>
      </c>
      <c r="B116">
        <v>4</v>
      </c>
      <c r="C116">
        <v>119</v>
      </c>
      <c r="D116">
        <v>2434</v>
      </c>
    </row>
    <row r="117" spans="1:4" x14ac:dyDescent="0.3">
      <c r="A117">
        <v>67</v>
      </c>
      <c r="B117">
        <v>4</v>
      </c>
      <c r="C117">
        <v>91</v>
      </c>
      <c r="D117">
        <v>1850</v>
      </c>
    </row>
    <row r="118" spans="1:4" x14ac:dyDescent="0.3">
      <c r="A118">
        <v>90</v>
      </c>
      <c r="B118">
        <v>4</v>
      </c>
      <c r="C118">
        <v>134</v>
      </c>
      <c r="D118">
        <v>2711</v>
      </c>
    </row>
    <row r="119" spans="1:4" x14ac:dyDescent="0.3">
      <c r="A119">
        <v>75</v>
      </c>
      <c r="B119">
        <v>4</v>
      </c>
      <c r="C119">
        <v>108</v>
      </c>
      <c r="D119">
        <v>2265</v>
      </c>
    </row>
    <row r="120" spans="1:4" x14ac:dyDescent="0.3">
      <c r="A120">
        <v>65</v>
      </c>
      <c r="B120">
        <v>4</v>
      </c>
      <c r="C120">
        <v>86</v>
      </c>
      <c r="D120">
        <v>2019</v>
      </c>
    </row>
    <row r="121" spans="1:4" x14ac:dyDescent="0.3">
      <c r="A121">
        <v>72</v>
      </c>
      <c r="B121">
        <v>4</v>
      </c>
      <c r="C121">
        <v>107</v>
      </c>
      <c r="D121">
        <v>2290</v>
      </c>
    </row>
    <row r="122" spans="1:4" x14ac:dyDescent="0.3">
      <c r="A122">
        <v>67</v>
      </c>
      <c r="B122">
        <v>4</v>
      </c>
      <c r="C122">
        <v>97</v>
      </c>
      <c r="D122">
        <v>2145</v>
      </c>
    </row>
    <row r="123" spans="1:4" x14ac:dyDescent="0.3">
      <c r="A123">
        <v>65</v>
      </c>
      <c r="B123">
        <v>4</v>
      </c>
      <c r="C123">
        <v>85</v>
      </c>
      <c r="D123">
        <v>2110</v>
      </c>
    </row>
    <row r="124" spans="1:4" x14ac:dyDescent="0.3">
      <c r="A124">
        <v>65</v>
      </c>
      <c r="B124">
        <v>4</v>
      </c>
      <c r="C124">
        <v>86</v>
      </c>
      <c r="D124">
        <v>2110</v>
      </c>
    </row>
    <row r="125" spans="1:4" x14ac:dyDescent="0.3">
      <c r="A125">
        <v>60</v>
      </c>
      <c r="B125">
        <v>4</v>
      </c>
      <c r="C125">
        <v>89</v>
      </c>
      <c r="D125">
        <v>1968</v>
      </c>
    </row>
    <row r="126" spans="1:4" x14ac:dyDescent="0.3">
      <c r="A126">
        <v>75</v>
      </c>
      <c r="B126">
        <v>4</v>
      </c>
      <c r="C126">
        <v>120</v>
      </c>
      <c r="D126">
        <v>2542</v>
      </c>
    </row>
    <row r="127" spans="1:4" x14ac:dyDescent="0.3">
      <c r="A127">
        <v>132</v>
      </c>
      <c r="B127">
        <v>6</v>
      </c>
      <c r="C127">
        <v>168</v>
      </c>
      <c r="D127">
        <v>2910</v>
      </c>
    </row>
    <row r="128" spans="1:4" x14ac:dyDescent="0.3">
      <c r="A128">
        <v>100</v>
      </c>
      <c r="B128">
        <v>4</v>
      </c>
      <c r="C128">
        <v>119</v>
      </c>
      <c r="D128">
        <v>2615</v>
      </c>
    </row>
    <row r="129" spans="1:4" x14ac:dyDescent="0.3">
      <c r="A129">
        <v>68</v>
      </c>
      <c r="B129">
        <v>4</v>
      </c>
      <c r="C129">
        <v>91</v>
      </c>
      <c r="D129">
        <v>1985</v>
      </c>
    </row>
    <row r="130" spans="1:4" x14ac:dyDescent="0.3">
      <c r="A130">
        <v>60</v>
      </c>
      <c r="B130">
        <v>4</v>
      </c>
      <c r="C130">
        <v>81</v>
      </c>
      <c r="D130">
        <v>1760</v>
      </c>
    </row>
    <row r="131" spans="1:4" x14ac:dyDescent="0.3">
      <c r="A131">
        <v>75</v>
      </c>
      <c r="B131">
        <v>4</v>
      </c>
      <c r="C131">
        <v>107</v>
      </c>
      <c r="D131">
        <v>2210</v>
      </c>
    </row>
    <row r="132" spans="1:4" x14ac:dyDescent="0.3">
      <c r="A132">
        <v>58</v>
      </c>
      <c r="B132">
        <v>4</v>
      </c>
      <c r="C132">
        <v>79</v>
      </c>
      <c r="D132">
        <v>1755</v>
      </c>
    </row>
    <row r="133" spans="1:4" x14ac:dyDescent="0.3">
      <c r="A133">
        <v>65</v>
      </c>
      <c r="B133">
        <v>4</v>
      </c>
      <c r="C133">
        <v>85</v>
      </c>
      <c r="D133">
        <v>1975</v>
      </c>
    </row>
    <row r="134" spans="1:4" x14ac:dyDescent="0.3">
      <c r="A134">
        <v>67</v>
      </c>
      <c r="B134">
        <v>4</v>
      </c>
      <c r="C134">
        <v>97</v>
      </c>
      <c r="D134">
        <v>2065</v>
      </c>
    </row>
    <row r="135" spans="1:4" x14ac:dyDescent="0.3">
      <c r="A135">
        <v>75</v>
      </c>
      <c r="B135">
        <v>4</v>
      </c>
      <c r="C135">
        <v>108</v>
      </c>
      <c r="D135">
        <v>2350</v>
      </c>
    </row>
    <row r="136" spans="1:4" x14ac:dyDescent="0.3">
      <c r="A136">
        <v>62</v>
      </c>
      <c r="B136">
        <v>4</v>
      </c>
      <c r="C136">
        <v>89</v>
      </c>
      <c r="D136">
        <v>2050</v>
      </c>
    </row>
    <row r="137" spans="1:4" x14ac:dyDescent="0.3">
      <c r="A137">
        <v>74</v>
      </c>
      <c r="B137">
        <v>4</v>
      </c>
      <c r="C137">
        <v>120</v>
      </c>
      <c r="D137">
        <v>2635</v>
      </c>
    </row>
    <row r="138" spans="1:4" x14ac:dyDescent="0.3">
      <c r="A138">
        <v>120</v>
      </c>
      <c r="B138">
        <v>6</v>
      </c>
      <c r="C138">
        <v>146</v>
      </c>
      <c r="D138">
        <v>2930</v>
      </c>
    </row>
    <row r="139" spans="1:4" x14ac:dyDescent="0.3">
      <c r="A139">
        <v>116</v>
      </c>
      <c r="B139">
        <v>6</v>
      </c>
      <c r="C139">
        <v>168</v>
      </c>
      <c r="D139">
        <v>2900</v>
      </c>
    </row>
    <row r="140" spans="1:4" x14ac:dyDescent="0.3">
      <c r="A140">
        <v>88</v>
      </c>
      <c r="B140">
        <v>4</v>
      </c>
      <c r="C140">
        <v>120</v>
      </c>
      <c r="D140">
        <v>2160</v>
      </c>
    </row>
    <row r="141" spans="1:4" x14ac:dyDescent="0.3">
      <c r="A141">
        <v>96</v>
      </c>
      <c r="B141">
        <v>4</v>
      </c>
      <c r="C141">
        <v>144</v>
      </c>
      <c r="D141">
        <v>2665</v>
      </c>
    </row>
    <row r="142" spans="1:4" x14ac:dyDescent="0.3">
      <c r="A142">
        <v>68</v>
      </c>
      <c r="B142">
        <v>4</v>
      </c>
      <c r="C142">
        <v>91</v>
      </c>
      <c r="D142">
        <v>1970</v>
      </c>
    </row>
    <row r="143" spans="1:4" x14ac:dyDescent="0.3">
      <c r="A143">
        <v>67</v>
      </c>
      <c r="B143">
        <v>4</v>
      </c>
      <c r="C143">
        <v>91</v>
      </c>
      <c r="D143">
        <v>1965</v>
      </c>
    </row>
    <row r="144" spans="1:4" x14ac:dyDescent="0.3">
      <c r="A144">
        <v>67</v>
      </c>
      <c r="B144">
        <v>4</v>
      </c>
      <c r="C144">
        <v>91</v>
      </c>
      <c r="D144">
        <v>1965</v>
      </c>
    </row>
    <row r="145" spans="1:4" x14ac:dyDescent="0.3">
      <c r="A145">
        <v>75</v>
      </c>
      <c r="B145">
        <v>4</v>
      </c>
      <c r="C145">
        <v>107</v>
      </c>
      <c r="D145">
        <v>2205</v>
      </c>
    </row>
    <row r="146" spans="1:4" x14ac:dyDescent="0.3">
      <c r="A146">
        <v>67</v>
      </c>
      <c r="B146">
        <v>4</v>
      </c>
      <c r="C146">
        <v>91</v>
      </c>
      <c r="D146">
        <v>1995</v>
      </c>
    </row>
    <row r="147" spans="1:4" x14ac:dyDescent="0.3">
      <c r="A147">
        <v>68</v>
      </c>
      <c r="B147">
        <v>4</v>
      </c>
      <c r="C147">
        <v>91</v>
      </c>
      <c r="D147">
        <v>2025</v>
      </c>
    </row>
    <row r="148" spans="1:4" x14ac:dyDescent="0.3">
      <c r="A148">
        <v>70</v>
      </c>
      <c r="B148">
        <v>4</v>
      </c>
      <c r="C148">
        <v>108</v>
      </c>
      <c r="D148">
        <v>2245</v>
      </c>
    </row>
    <row r="149" spans="1:4" x14ac:dyDescent="0.3">
      <c r="A149">
        <v>97</v>
      </c>
      <c r="B149">
        <v>6</v>
      </c>
      <c r="C149">
        <v>199</v>
      </c>
      <c r="D149">
        <v>2774</v>
      </c>
    </row>
    <row r="150" spans="1:4" x14ac:dyDescent="0.3">
      <c r="A150">
        <v>90</v>
      </c>
      <c r="B150">
        <v>6</v>
      </c>
      <c r="C150">
        <v>199</v>
      </c>
      <c r="D150">
        <v>2648</v>
      </c>
    </row>
    <row r="151" spans="1:4" x14ac:dyDescent="0.3">
      <c r="A151">
        <v>95</v>
      </c>
      <c r="B151">
        <v>6</v>
      </c>
      <c r="C151">
        <v>198</v>
      </c>
      <c r="D151">
        <v>2833</v>
      </c>
    </row>
    <row r="152" spans="1:4" x14ac:dyDescent="0.3">
      <c r="A152">
        <v>85</v>
      </c>
      <c r="B152">
        <v>6</v>
      </c>
      <c r="C152">
        <v>200</v>
      </c>
      <c r="D152">
        <v>2587</v>
      </c>
    </row>
    <row r="153" spans="1:4" x14ac:dyDescent="0.3">
      <c r="A153">
        <v>225</v>
      </c>
      <c r="B153">
        <v>8</v>
      </c>
      <c r="C153">
        <v>455</v>
      </c>
      <c r="D153">
        <v>3086</v>
      </c>
    </row>
    <row r="154" spans="1:4" x14ac:dyDescent="0.3">
      <c r="A154">
        <v>225</v>
      </c>
      <c r="B154">
        <v>8</v>
      </c>
      <c r="C154">
        <v>455</v>
      </c>
      <c r="D154">
        <v>4425</v>
      </c>
    </row>
    <row r="155" spans="1:4" x14ac:dyDescent="0.3">
      <c r="A155">
        <v>220</v>
      </c>
      <c r="B155">
        <v>8</v>
      </c>
      <c r="C155">
        <v>454</v>
      </c>
      <c r="D155">
        <v>4354</v>
      </c>
    </row>
    <row r="156" spans="1:4" x14ac:dyDescent="0.3">
      <c r="A156">
        <v>215</v>
      </c>
      <c r="B156">
        <v>8</v>
      </c>
      <c r="C156">
        <v>440</v>
      </c>
      <c r="D156">
        <v>4312</v>
      </c>
    </row>
    <row r="157" spans="1:4" x14ac:dyDescent="0.3">
      <c r="A157">
        <v>190</v>
      </c>
      <c r="B157">
        <v>8</v>
      </c>
      <c r="C157">
        <v>390</v>
      </c>
      <c r="D157">
        <v>3850</v>
      </c>
    </row>
    <row r="158" spans="1:4" x14ac:dyDescent="0.3">
      <c r="A158">
        <v>210</v>
      </c>
      <c r="B158">
        <v>8</v>
      </c>
      <c r="C158">
        <v>318</v>
      </c>
      <c r="D158">
        <v>4382</v>
      </c>
    </row>
    <row r="159" spans="1:4" x14ac:dyDescent="0.3">
      <c r="A159">
        <v>170</v>
      </c>
      <c r="B159">
        <v>8</v>
      </c>
      <c r="C159">
        <v>383</v>
      </c>
      <c r="D159">
        <v>3563</v>
      </c>
    </row>
    <row r="160" spans="1:4" x14ac:dyDescent="0.3">
      <c r="A160">
        <v>215</v>
      </c>
      <c r="B160">
        <v>8</v>
      </c>
      <c r="C160">
        <v>360</v>
      </c>
      <c r="D160">
        <v>4615</v>
      </c>
    </row>
    <row r="161" spans="1:4" x14ac:dyDescent="0.3">
      <c r="A161">
        <v>200</v>
      </c>
      <c r="B161">
        <v>8</v>
      </c>
      <c r="C161">
        <v>307</v>
      </c>
      <c r="D161">
        <v>4376</v>
      </c>
    </row>
    <row r="162" spans="1:4" x14ac:dyDescent="0.3">
      <c r="A162">
        <v>198</v>
      </c>
      <c r="B162">
        <v>8</v>
      </c>
      <c r="C162">
        <v>429</v>
      </c>
      <c r="D162">
        <v>4341</v>
      </c>
    </row>
    <row r="163" spans="1:4" x14ac:dyDescent="0.3">
      <c r="A163">
        <v>165</v>
      </c>
      <c r="B163">
        <v>8</v>
      </c>
      <c r="C163">
        <v>350</v>
      </c>
      <c r="D163">
        <v>3693</v>
      </c>
    </row>
    <row r="164" spans="1:4" x14ac:dyDescent="0.3">
      <c r="A164">
        <v>160</v>
      </c>
      <c r="B164">
        <v>8</v>
      </c>
      <c r="C164">
        <v>340</v>
      </c>
      <c r="D164">
        <v>3609</v>
      </c>
    </row>
    <row r="165" spans="1:4" x14ac:dyDescent="0.3">
      <c r="A165">
        <v>150</v>
      </c>
      <c r="B165">
        <v>8</v>
      </c>
      <c r="C165">
        <v>304</v>
      </c>
      <c r="D165">
        <v>3433</v>
      </c>
    </row>
    <row r="166" spans="1:4" x14ac:dyDescent="0.3">
      <c r="A166">
        <v>150</v>
      </c>
      <c r="B166">
        <v>8</v>
      </c>
      <c r="C166">
        <v>318</v>
      </c>
      <c r="D166">
        <v>3436</v>
      </c>
    </row>
    <row r="167" spans="1:4" x14ac:dyDescent="0.3">
      <c r="A167">
        <v>193</v>
      </c>
      <c r="B167">
        <v>8</v>
      </c>
      <c r="C167">
        <v>304</v>
      </c>
      <c r="D167">
        <v>4732</v>
      </c>
    </row>
    <row r="168" spans="1:4" x14ac:dyDescent="0.3">
      <c r="A168">
        <v>140</v>
      </c>
      <c r="B168">
        <v>8</v>
      </c>
      <c r="C168">
        <v>302</v>
      </c>
      <c r="D168">
        <v>3449</v>
      </c>
    </row>
    <row r="169" spans="1:4" x14ac:dyDescent="0.3">
      <c r="A169">
        <v>150</v>
      </c>
      <c r="B169">
        <v>8</v>
      </c>
      <c r="C169">
        <v>400</v>
      </c>
      <c r="D169">
        <v>3761</v>
      </c>
    </row>
    <row r="170" spans="1:4" x14ac:dyDescent="0.3">
      <c r="A170">
        <v>130</v>
      </c>
      <c r="B170">
        <v>8</v>
      </c>
      <c r="C170">
        <v>307</v>
      </c>
      <c r="D170">
        <v>3504</v>
      </c>
    </row>
    <row r="171" spans="1:4" x14ac:dyDescent="0.3">
      <c r="A171">
        <v>90</v>
      </c>
      <c r="B171">
        <v>4</v>
      </c>
      <c r="C171">
        <v>140</v>
      </c>
      <c r="D171">
        <v>2264</v>
      </c>
    </row>
    <row r="172" spans="1:4" x14ac:dyDescent="0.3">
      <c r="A172">
        <v>86</v>
      </c>
      <c r="B172">
        <v>4</v>
      </c>
      <c r="C172">
        <v>122</v>
      </c>
      <c r="D172">
        <v>2220</v>
      </c>
    </row>
    <row r="173" spans="1:4" x14ac:dyDescent="0.3">
      <c r="A173">
        <v>70</v>
      </c>
      <c r="B173">
        <v>4</v>
      </c>
      <c r="C173">
        <v>91</v>
      </c>
      <c r="D173">
        <v>1955</v>
      </c>
    </row>
    <row r="174" spans="1:4" x14ac:dyDescent="0.3">
      <c r="A174">
        <v>72</v>
      </c>
      <c r="B174">
        <v>4</v>
      </c>
      <c r="C174">
        <v>140</v>
      </c>
      <c r="D174">
        <v>2408</v>
      </c>
    </row>
    <row r="175" spans="1:4" x14ac:dyDescent="0.3">
      <c r="A175">
        <v>100</v>
      </c>
      <c r="B175">
        <v>6</v>
      </c>
      <c r="C175">
        <v>232</v>
      </c>
      <c r="D175">
        <v>2634</v>
      </c>
    </row>
    <row r="176" spans="1:4" x14ac:dyDescent="0.3">
      <c r="A176">
        <v>110</v>
      </c>
      <c r="B176">
        <v>6</v>
      </c>
      <c r="C176">
        <v>258</v>
      </c>
      <c r="D176">
        <v>2962</v>
      </c>
    </row>
    <row r="177" spans="1:4" x14ac:dyDescent="0.3">
      <c r="A177">
        <v>105</v>
      </c>
      <c r="B177">
        <v>6</v>
      </c>
      <c r="C177">
        <v>225</v>
      </c>
      <c r="D177">
        <v>3439</v>
      </c>
    </row>
    <row r="178" spans="1:4" x14ac:dyDescent="0.3">
      <c r="A178">
        <v>100</v>
      </c>
      <c r="B178">
        <v>6</v>
      </c>
      <c r="C178">
        <v>250</v>
      </c>
      <c r="D178">
        <v>3282</v>
      </c>
    </row>
    <row r="179" spans="1:4" x14ac:dyDescent="0.3">
      <c r="A179">
        <v>100</v>
      </c>
      <c r="B179">
        <v>6</v>
      </c>
      <c r="C179">
        <v>232</v>
      </c>
      <c r="D179">
        <v>3288</v>
      </c>
    </row>
    <row r="180" spans="1:4" x14ac:dyDescent="0.3">
      <c r="A180">
        <v>100</v>
      </c>
      <c r="B180">
        <v>6</v>
      </c>
      <c r="C180">
        <v>250</v>
      </c>
      <c r="D180">
        <v>3329</v>
      </c>
    </row>
    <row r="181" spans="1:4" x14ac:dyDescent="0.3">
      <c r="A181">
        <v>88</v>
      </c>
      <c r="B181">
        <v>6</v>
      </c>
      <c r="C181">
        <v>250</v>
      </c>
      <c r="D181">
        <v>3139</v>
      </c>
    </row>
    <row r="182" spans="1:4" x14ac:dyDescent="0.3">
      <c r="A182">
        <v>88</v>
      </c>
      <c r="B182">
        <v>6</v>
      </c>
      <c r="C182">
        <v>250</v>
      </c>
      <c r="D182">
        <v>3302</v>
      </c>
    </row>
    <row r="183" spans="1:4" x14ac:dyDescent="0.3">
      <c r="A183">
        <v>165</v>
      </c>
      <c r="B183">
        <v>8</v>
      </c>
      <c r="C183">
        <v>350</v>
      </c>
      <c r="D183">
        <v>4209</v>
      </c>
    </row>
    <row r="184" spans="1:4" x14ac:dyDescent="0.3">
      <c r="A184">
        <v>175</v>
      </c>
      <c r="B184">
        <v>8</v>
      </c>
      <c r="C184">
        <v>400</v>
      </c>
      <c r="D184">
        <v>4464</v>
      </c>
    </row>
    <row r="185" spans="1:4" x14ac:dyDescent="0.3">
      <c r="A185">
        <v>153</v>
      </c>
      <c r="B185">
        <v>8</v>
      </c>
      <c r="C185">
        <v>351</v>
      </c>
      <c r="D185">
        <v>4154</v>
      </c>
    </row>
    <row r="186" spans="1:4" x14ac:dyDescent="0.3">
      <c r="A186">
        <v>150</v>
      </c>
      <c r="B186">
        <v>8</v>
      </c>
      <c r="C186">
        <v>318</v>
      </c>
      <c r="D186">
        <v>4096</v>
      </c>
    </row>
    <row r="187" spans="1:4" x14ac:dyDescent="0.3">
      <c r="A187">
        <v>180</v>
      </c>
      <c r="B187">
        <v>8</v>
      </c>
      <c r="C187">
        <v>383</v>
      </c>
      <c r="D187">
        <v>4955</v>
      </c>
    </row>
    <row r="188" spans="1:4" x14ac:dyDescent="0.3">
      <c r="A188">
        <v>170</v>
      </c>
      <c r="B188">
        <v>8</v>
      </c>
      <c r="C188">
        <v>400</v>
      </c>
      <c r="D188">
        <v>4746</v>
      </c>
    </row>
    <row r="189" spans="1:4" x14ac:dyDescent="0.3">
      <c r="A189">
        <v>175</v>
      </c>
      <c r="B189">
        <v>8</v>
      </c>
      <c r="C189">
        <v>400</v>
      </c>
      <c r="D189">
        <v>5140</v>
      </c>
    </row>
    <row r="190" spans="1:4" x14ac:dyDescent="0.3">
      <c r="A190">
        <v>86</v>
      </c>
      <c r="B190">
        <v>4</v>
      </c>
      <c r="C190">
        <v>122</v>
      </c>
      <c r="D190">
        <v>2226</v>
      </c>
    </row>
    <row r="191" spans="1:4" x14ac:dyDescent="0.3">
      <c r="A191">
        <v>80</v>
      </c>
      <c r="B191">
        <v>4</v>
      </c>
      <c r="C191">
        <v>97.5</v>
      </c>
      <c r="D191">
        <v>2126</v>
      </c>
    </row>
    <row r="192" spans="1:4" x14ac:dyDescent="0.3">
      <c r="A192">
        <v>90</v>
      </c>
      <c r="B192">
        <v>4</v>
      </c>
      <c r="C192">
        <v>140</v>
      </c>
      <c r="D192">
        <v>2408</v>
      </c>
    </row>
    <row r="193" spans="1:4" x14ac:dyDescent="0.3">
      <c r="A193">
        <v>80</v>
      </c>
      <c r="B193">
        <v>4</v>
      </c>
      <c r="C193">
        <v>98</v>
      </c>
      <c r="D193">
        <v>2164</v>
      </c>
    </row>
    <row r="194" spans="1:4" x14ac:dyDescent="0.3">
      <c r="A194">
        <v>86</v>
      </c>
      <c r="B194">
        <v>4</v>
      </c>
      <c r="C194">
        <v>122</v>
      </c>
      <c r="D194">
        <v>2395</v>
      </c>
    </row>
    <row r="195" spans="1:4" x14ac:dyDescent="0.3">
      <c r="A195">
        <v>208</v>
      </c>
      <c r="B195">
        <v>8</v>
      </c>
      <c r="C195">
        <v>429</v>
      </c>
      <c r="D195">
        <v>4633</v>
      </c>
    </row>
    <row r="196" spans="1:4" x14ac:dyDescent="0.3">
      <c r="A196">
        <v>190</v>
      </c>
      <c r="B196">
        <v>8</v>
      </c>
      <c r="C196">
        <v>400</v>
      </c>
      <c r="D196">
        <v>4422</v>
      </c>
    </row>
    <row r="197" spans="1:4" x14ac:dyDescent="0.3">
      <c r="A197">
        <v>150</v>
      </c>
      <c r="B197">
        <v>8</v>
      </c>
      <c r="C197">
        <v>304</v>
      </c>
      <c r="D197">
        <v>3672</v>
      </c>
    </row>
    <row r="198" spans="1:4" x14ac:dyDescent="0.3">
      <c r="A198">
        <v>175</v>
      </c>
      <c r="B198">
        <v>8</v>
      </c>
      <c r="C198">
        <v>400</v>
      </c>
      <c r="D198">
        <v>4385</v>
      </c>
    </row>
    <row r="199" spans="1:4" x14ac:dyDescent="0.3">
      <c r="A199">
        <v>165</v>
      </c>
      <c r="B199">
        <v>8</v>
      </c>
      <c r="C199">
        <v>350</v>
      </c>
      <c r="D199">
        <v>4274</v>
      </c>
    </row>
    <row r="200" spans="1:4" x14ac:dyDescent="0.3">
      <c r="A200">
        <v>150</v>
      </c>
      <c r="B200">
        <v>8</v>
      </c>
      <c r="C200">
        <v>304</v>
      </c>
      <c r="D200">
        <v>3892</v>
      </c>
    </row>
    <row r="201" spans="1:4" x14ac:dyDescent="0.3">
      <c r="A201">
        <v>153</v>
      </c>
      <c r="B201">
        <v>8</v>
      </c>
      <c r="C201">
        <v>351</v>
      </c>
      <c r="D201">
        <v>4129</v>
      </c>
    </row>
    <row r="202" spans="1:4" x14ac:dyDescent="0.3">
      <c r="A202">
        <v>150</v>
      </c>
      <c r="B202">
        <v>8</v>
      </c>
      <c r="C202">
        <v>318</v>
      </c>
      <c r="D202">
        <v>4077</v>
      </c>
    </row>
    <row r="203" spans="1:4" x14ac:dyDescent="0.3">
      <c r="A203">
        <v>150</v>
      </c>
      <c r="B203">
        <v>8</v>
      </c>
      <c r="C203">
        <v>318</v>
      </c>
      <c r="D203">
        <v>4135</v>
      </c>
    </row>
    <row r="204" spans="1:4" x14ac:dyDescent="0.3">
      <c r="A204">
        <v>160</v>
      </c>
      <c r="B204">
        <v>8</v>
      </c>
      <c r="C204">
        <v>350</v>
      </c>
      <c r="D204">
        <v>4456</v>
      </c>
    </row>
    <row r="205" spans="1:4" x14ac:dyDescent="0.3">
      <c r="A205">
        <v>155</v>
      </c>
      <c r="B205">
        <v>8</v>
      </c>
      <c r="C205">
        <v>350</v>
      </c>
      <c r="D205">
        <v>4502</v>
      </c>
    </row>
    <row r="206" spans="1:4" x14ac:dyDescent="0.3">
      <c r="A206">
        <v>140</v>
      </c>
      <c r="B206">
        <v>8</v>
      </c>
      <c r="C206">
        <v>302</v>
      </c>
      <c r="D206">
        <v>4294</v>
      </c>
    </row>
    <row r="207" spans="1:4" x14ac:dyDescent="0.3">
      <c r="A207">
        <v>130</v>
      </c>
      <c r="B207">
        <v>8</v>
      </c>
      <c r="C207">
        <v>307</v>
      </c>
      <c r="D207">
        <v>4098</v>
      </c>
    </row>
    <row r="208" spans="1:4" x14ac:dyDescent="0.3">
      <c r="A208">
        <v>85</v>
      </c>
      <c r="B208">
        <v>4</v>
      </c>
      <c r="C208">
        <v>122</v>
      </c>
      <c r="D208">
        <v>2310</v>
      </c>
    </row>
    <row r="209" spans="1:4" x14ac:dyDescent="0.3">
      <c r="A209">
        <v>72</v>
      </c>
      <c r="B209">
        <v>4</v>
      </c>
      <c r="C209">
        <v>140</v>
      </c>
      <c r="D209">
        <v>2401</v>
      </c>
    </row>
    <row r="210" spans="1:4" x14ac:dyDescent="0.3">
      <c r="A210">
        <v>107</v>
      </c>
      <c r="B210">
        <v>6</v>
      </c>
      <c r="C210">
        <v>155</v>
      </c>
      <c r="D210">
        <v>2472</v>
      </c>
    </row>
    <row r="211" spans="1:4" x14ac:dyDescent="0.3">
      <c r="A211">
        <v>100</v>
      </c>
      <c r="B211">
        <v>6</v>
      </c>
      <c r="C211">
        <v>232</v>
      </c>
      <c r="D211">
        <v>2789</v>
      </c>
    </row>
    <row r="212" spans="1:4" x14ac:dyDescent="0.3">
      <c r="A212">
        <v>100</v>
      </c>
      <c r="B212">
        <v>6</v>
      </c>
      <c r="C212">
        <v>232</v>
      </c>
      <c r="D212">
        <v>2945</v>
      </c>
    </row>
    <row r="213" spans="1:4" x14ac:dyDescent="0.3">
      <c r="A213">
        <v>105</v>
      </c>
      <c r="B213">
        <v>6</v>
      </c>
      <c r="C213">
        <v>225</v>
      </c>
      <c r="D213">
        <v>3121</v>
      </c>
    </row>
    <row r="214" spans="1:4" x14ac:dyDescent="0.3">
      <c r="A214">
        <v>95</v>
      </c>
      <c r="B214">
        <v>6</v>
      </c>
      <c r="C214">
        <v>198</v>
      </c>
      <c r="D214">
        <v>2904</v>
      </c>
    </row>
    <row r="215" spans="1:4" x14ac:dyDescent="0.3">
      <c r="A215">
        <v>100</v>
      </c>
      <c r="B215">
        <v>6</v>
      </c>
      <c r="C215">
        <v>250</v>
      </c>
      <c r="D215">
        <v>3278</v>
      </c>
    </row>
    <row r="216" spans="1:4" x14ac:dyDescent="0.3">
      <c r="A216">
        <v>88</v>
      </c>
      <c r="B216">
        <v>6</v>
      </c>
      <c r="C216">
        <v>250</v>
      </c>
      <c r="D216">
        <v>3021</v>
      </c>
    </row>
    <row r="217" spans="1:4" x14ac:dyDescent="0.3">
      <c r="A217">
        <v>230</v>
      </c>
      <c r="B217">
        <v>8</v>
      </c>
      <c r="C217">
        <v>400</v>
      </c>
      <c r="D217">
        <v>4278</v>
      </c>
    </row>
    <row r="218" spans="1:4" x14ac:dyDescent="0.3">
      <c r="A218">
        <v>180</v>
      </c>
      <c r="B218">
        <v>8</v>
      </c>
      <c r="C218">
        <v>350</v>
      </c>
      <c r="D218">
        <v>3664</v>
      </c>
    </row>
    <row r="219" spans="1:4" x14ac:dyDescent="0.3">
      <c r="A219">
        <v>175</v>
      </c>
      <c r="B219">
        <v>8</v>
      </c>
      <c r="C219">
        <v>360</v>
      </c>
      <c r="D219">
        <v>3821</v>
      </c>
    </row>
    <row r="220" spans="1:4" x14ac:dyDescent="0.3">
      <c r="A220">
        <v>225</v>
      </c>
      <c r="B220">
        <v>8</v>
      </c>
      <c r="C220">
        <v>455</v>
      </c>
      <c r="D220">
        <v>4951</v>
      </c>
    </row>
    <row r="221" spans="1:4" x14ac:dyDescent="0.3">
      <c r="A221">
        <v>215</v>
      </c>
      <c r="B221">
        <v>8</v>
      </c>
      <c r="C221">
        <v>440</v>
      </c>
      <c r="D221">
        <v>4735</v>
      </c>
    </row>
    <row r="222" spans="1:4" x14ac:dyDescent="0.3">
      <c r="A222">
        <v>150</v>
      </c>
      <c r="B222">
        <v>8</v>
      </c>
      <c r="C222">
        <v>318</v>
      </c>
      <c r="D222">
        <v>3399</v>
      </c>
    </row>
    <row r="223" spans="1:4" x14ac:dyDescent="0.3">
      <c r="A223">
        <v>175</v>
      </c>
      <c r="B223">
        <v>8</v>
      </c>
      <c r="C223">
        <v>350</v>
      </c>
      <c r="D223">
        <v>4100</v>
      </c>
    </row>
    <row r="224" spans="1:4" x14ac:dyDescent="0.3">
      <c r="A224">
        <v>150</v>
      </c>
      <c r="B224">
        <v>8</v>
      </c>
      <c r="C224">
        <v>304</v>
      </c>
      <c r="D224">
        <v>3672</v>
      </c>
    </row>
    <row r="225" spans="1:4" x14ac:dyDescent="0.3">
      <c r="A225">
        <v>198</v>
      </c>
      <c r="B225">
        <v>8</v>
      </c>
      <c r="C225">
        <v>429</v>
      </c>
      <c r="D225">
        <v>4952</v>
      </c>
    </row>
    <row r="226" spans="1:4" x14ac:dyDescent="0.3">
      <c r="A226">
        <v>180</v>
      </c>
      <c r="B226">
        <v>8</v>
      </c>
      <c r="C226">
        <v>350</v>
      </c>
      <c r="D226">
        <v>4499</v>
      </c>
    </row>
    <row r="227" spans="1:4" x14ac:dyDescent="0.3">
      <c r="A227">
        <v>150</v>
      </c>
      <c r="B227">
        <v>8</v>
      </c>
      <c r="C227">
        <v>318</v>
      </c>
      <c r="D227">
        <v>3777</v>
      </c>
    </row>
    <row r="228" spans="1:4" x14ac:dyDescent="0.3">
      <c r="A228">
        <v>170</v>
      </c>
      <c r="B228">
        <v>8</v>
      </c>
      <c r="C228">
        <v>360</v>
      </c>
      <c r="D228">
        <v>4654</v>
      </c>
    </row>
    <row r="229" spans="1:4" x14ac:dyDescent="0.3">
      <c r="A229">
        <v>145</v>
      </c>
      <c r="B229">
        <v>8</v>
      </c>
      <c r="C229">
        <v>350</v>
      </c>
      <c r="D229">
        <v>3988</v>
      </c>
    </row>
    <row r="230" spans="1:4" x14ac:dyDescent="0.3">
      <c r="A230">
        <v>158</v>
      </c>
      <c r="B230">
        <v>8</v>
      </c>
      <c r="C230">
        <v>351</v>
      </c>
      <c r="D230">
        <v>4363</v>
      </c>
    </row>
    <row r="231" spans="1:4" x14ac:dyDescent="0.3">
      <c r="A231">
        <v>145</v>
      </c>
      <c r="B231">
        <v>8</v>
      </c>
      <c r="C231">
        <v>350</v>
      </c>
      <c r="D231">
        <v>4082</v>
      </c>
    </row>
    <row r="232" spans="1:4" x14ac:dyDescent="0.3">
      <c r="A232">
        <v>150</v>
      </c>
      <c r="B232">
        <v>8</v>
      </c>
      <c r="C232">
        <v>318</v>
      </c>
      <c r="D232">
        <v>4237</v>
      </c>
    </row>
    <row r="233" spans="1:4" x14ac:dyDescent="0.3">
      <c r="A233">
        <v>167</v>
      </c>
      <c r="B233">
        <v>8</v>
      </c>
      <c r="C233">
        <v>400</v>
      </c>
      <c r="D233">
        <v>4906</v>
      </c>
    </row>
    <row r="234" spans="1:4" x14ac:dyDescent="0.3">
      <c r="A234">
        <v>137</v>
      </c>
      <c r="B234">
        <v>8</v>
      </c>
      <c r="C234">
        <v>302</v>
      </c>
      <c r="D234">
        <v>4042</v>
      </c>
    </row>
    <row r="235" spans="1:4" x14ac:dyDescent="0.3">
      <c r="A235">
        <v>150</v>
      </c>
      <c r="B235">
        <v>8</v>
      </c>
      <c r="C235">
        <v>400</v>
      </c>
      <c r="D235">
        <v>4464</v>
      </c>
    </row>
    <row r="236" spans="1:4" x14ac:dyDescent="0.3">
      <c r="A236">
        <v>150</v>
      </c>
      <c r="B236">
        <v>8</v>
      </c>
      <c r="C236">
        <v>400</v>
      </c>
      <c r="D236">
        <v>4997</v>
      </c>
    </row>
    <row r="237" spans="1:4" x14ac:dyDescent="0.3">
      <c r="A237">
        <v>75</v>
      </c>
      <c r="B237">
        <v>4</v>
      </c>
      <c r="C237">
        <v>90</v>
      </c>
      <c r="D237">
        <v>2125</v>
      </c>
    </row>
    <row r="238" spans="1:4" x14ac:dyDescent="0.3">
      <c r="A238">
        <v>80</v>
      </c>
      <c r="B238">
        <v>4</v>
      </c>
      <c r="C238">
        <v>122</v>
      </c>
      <c r="D238">
        <v>2451</v>
      </c>
    </row>
    <row r="239" spans="1:4" x14ac:dyDescent="0.3">
      <c r="A239">
        <v>75</v>
      </c>
      <c r="B239">
        <v>4</v>
      </c>
      <c r="C239">
        <v>140</v>
      </c>
      <c r="D239">
        <v>2542</v>
      </c>
    </row>
    <row r="240" spans="1:4" x14ac:dyDescent="0.3">
      <c r="A240">
        <v>100</v>
      </c>
      <c r="B240">
        <v>6</v>
      </c>
      <c r="C240">
        <v>232</v>
      </c>
      <c r="D240">
        <v>2901</v>
      </c>
    </row>
    <row r="241" spans="1:4" x14ac:dyDescent="0.3">
      <c r="A241">
        <v>95</v>
      </c>
      <c r="B241">
        <v>6</v>
      </c>
      <c r="C241">
        <v>198</v>
      </c>
      <c r="D241">
        <v>3102</v>
      </c>
    </row>
    <row r="242" spans="1:4" x14ac:dyDescent="0.3">
      <c r="A242">
        <v>110</v>
      </c>
      <c r="B242">
        <v>6</v>
      </c>
      <c r="C242">
        <v>258</v>
      </c>
      <c r="D242">
        <v>3632</v>
      </c>
    </row>
    <row r="243" spans="1:4" x14ac:dyDescent="0.3">
      <c r="A243">
        <v>100</v>
      </c>
      <c r="B243">
        <v>6</v>
      </c>
      <c r="C243">
        <v>250</v>
      </c>
      <c r="D243">
        <v>3336</v>
      </c>
    </row>
    <row r="244" spans="1:4" x14ac:dyDescent="0.3">
      <c r="A244">
        <v>105</v>
      </c>
      <c r="B244">
        <v>6</v>
      </c>
      <c r="C244">
        <v>225</v>
      </c>
      <c r="D244">
        <v>3613</v>
      </c>
    </row>
    <row r="245" spans="1:4" x14ac:dyDescent="0.3">
      <c r="A245">
        <v>100</v>
      </c>
      <c r="B245">
        <v>6</v>
      </c>
      <c r="C245">
        <v>250</v>
      </c>
      <c r="D245">
        <v>3781</v>
      </c>
    </row>
    <row r="246" spans="1:4" x14ac:dyDescent="0.3">
      <c r="A246">
        <v>150</v>
      </c>
      <c r="B246">
        <v>8</v>
      </c>
      <c r="C246">
        <v>304</v>
      </c>
      <c r="D246">
        <v>4257</v>
      </c>
    </row>
    <row r="247" spans="1:4" x14ac:dyDescent="0.3">
      <c r="A247">
        <v>140</v>
      </c>
      <c r="B247">
        <v>8</v>
      </c>
      <c r="C247">
        <v>302</v>
      </c>
      <c r="D247">
        <v>4141</v>
      </c>
    </row>
    <row r="248" spans="1:4" x14ac:dyDescent="0.3">
      <c r="A248">
        <v>150</v>
      </c>
      <c r="B248">
        <v>8</v>
      </c>
      <c r="C248">
        <v>318</v>
      </c>
      <c r="D248">
        <v>4457</v>
      </c>
    </row>
    <row r="249" spans="1:4" x14ac:dyDescent="0.3">
      <c r="A249">
        <v>150</v>
      </c>
      <c r="B249">
        <v>8</v>
      </c>
      <c r="C249">
        <v>350</v>
      </c>
      <c r="D249">
        <v>4699</v>
      </c>
    </row>
    <row r="250" spans="1:4" x14ac:dyDescent="0.3">
      <c r="A250">
        <v>140</v>
      </c>
      <c r="B250">
        <v>8</v>
      </c>
      <c r="C250">
        <v>302</v>
      </c>
      <c r="D250">
        <v>4638</v>
      </c>
    </row>
    <row r="251" spans="1:4" x14ac:dyDescent="0.3">
      <c r="A251">
        <v>83</v>
      </c>
      <c r="B251">
        <v>4</v>
      </c>
      <c r="C251">
        <v>140</v>
      </c>
      <c r="D251">
        <v>2639</v>
      </c>
    </row>
    <row r="252" spans="1:4" x14ac:dyDescent="0.3">
      <c r="A252">
        <v>78</v>
      </c>
      <c r="B252">
        <v>4</v>
      </c>
      <c r="C252">
        <v>140</v>
      </c>
      <c r="D252">
        <v>2592</v>
      </c>
    </row>
    <row r="253" spans="1:4" x14ac:dyDescent="0.3">
      <c r="A253">
        <v>110</v>
      </c>
      <c r="B253">
        <v>6</v>
      </c>
      <c r="C253">
        <v>231</v>
      </c>
      <c r="D253">
        <v>3039</v>
      </c>
    </row>
    <row r="254" spans="1:4" x14ac:dyDescent="0.3">
      <c r="A254">
        <v>100</v>
      </c>
      <c r="B254">
        <v>6</v>
      </c>
      <c r="C254">
        <v>232</v>
      </c>
      <c r="D254">
        <v>2914</v>
      </c>
    </row>
    <row r="255" spans="1:4" x14ac:dyDescent="0.3">
      <c r="A255">
        <v>97</v>
      </c>
      <c r="B255">
        <v>6</v>
      </c>
      <c r="C255">
        <v>171</v>
      </c>
      <c r="D255">
        <v>2984</v>
      </c>
    </row>
    <row r="256" spans="1:4" x14ac:dyDescent="0.3">
      <c r="A256">
        <v>105</v>
      </c>
      <c r="B256">
        <v>6</v>
      </c>
      <c r="C256">
        <v>250</v>
      </c>
      <c r="D256">
        <v>3459</v>
      </c>
    </row>
    <row r="257" spans="1:4" x14ac:dyDescent="0.3">
      <c r="A257">
        <v>110</v>
      </c>
      <c r="B257">
        <v>6</v>
      </c>
      <c r="C257">
        <v>258</v>
      </c>
      <c r="D257">
        <v>3730</v>
      </c>
    </row>
    <row r="258" spans="1:4" x14ac:dyDescent="0.3">
      <c r="A258">
        <v>95</v>
      </c>
      <c r="B258">
        <v>6</v>
      </c>
      <c r="C258">
        <v>225</v>
      </c>
      <c r="D258">
        <v>3264</v>
      </c>
    </row>
    <row r="259" spans="1:4" x14ac:dyDescent="0.3">
      <c r="A259">
        <v>110</v>
      </c>
      <c r="B259">
        <v>6</v>
      </c>
      <c r="C259">
        <v>231</v>
      </c>
      <c r="D259">
        <v>3907</v>
      </c>
    </row>
    <row r="260" spans="1:4" x14ac:dyDescent="0.3">
      <c r="A260">
        <v>90</v>
      </c>
      <c r="B260">
        <v>6</v>
      </c>
      <c r="C260">
        <v>232</v>
      </c>
      <c r="D260">
        <v>3211</v>
      </c>
    </row>
    <row r="261" spans="1:4" x14ac:dyDescent="0.3">
      <c r="A261">
        <v>105</v>
      </c>
      <c r="B261">
        <v>6</v>
      </c>
      <c r="C261">
        <v>250</v>
      </c>
      <c r="D261">
        <v>3897</v>
      </c>
    </row>
    <row r="262" spans="1:4" x14ac:dyDescent="0.3">
      <c r="A262">
        <v>95</v>
      </c>
      <c r="B262">
        <v>6</v>
      </c>
      <c r="C262">
        <v>225</v>
      </c>
      <c r="D262">
        <v>3785</v>
      </c>
    </row>
    <row r="263" spans="1:4" x14ac:dyDescent="0.3">
      <c r="A263">
        <v>72</v>
      </c>
      <c r="B263">
        <v>6</v>
      </c>
      <c r="C263">
        <v>250</v>
      </c>
      <c r="D263">
        <v>3158</v>
      </c>
    </row>
    <row r="264" spans="1:4" x14ac:dyDescent="0.3">
      <c r="A264">
        <v>72</v>
      </c>
      <c r="B264">
        <v>6</v>
      </c>
      <c r="C264">
        <v>250</v>
      </c>
      <c r="D264">
        <v>3432</v>
      </c>
    </row>
    <row r="265" spans="1:4" x14ac:dyDescent="0.3">
      <c r="A265">
        <v>129</v>
      </c>
      <c r="B265">
        <v>8</v>
      </c>
      <c r="C265">
        <v>302</v>
      </c>
      <c r="D265">
        <v>3169</v>
      </c>
    </row>
    <row r="266" spans="1:4" x14ac:dyDescent="0.3">
      <c r="A266">
        <v>170</v>
      </c>
      <c r="B266">
        <v>8</v>
      </c>
      <c r="C266">
        <v>400</v>
      </c>
      <c r="D266">
        <v>4668</v>
      </c>
    </row>
    <row r="267" spans="1:4" x14ac:dyDescent="0.3">
      <c r="A267">
        <v>110</v>
      </c>
      <c r="B267">
        <v>8</v>
      </c>
      <c r="C267">
        <v>262</v>
      </c>
      <c r="D267">
        <v>3221</v>
      </c>
    </row>
    <row r="268" spans="1:4" x14ac:dyDescent="0.3">
      <c r="A268">
        <v>150</v>
      </c>
      <c r="B268">
        <v>8</v>
      </c>
      <c r="C268">
        <v>318</v>
      </c>
      <c r="D268">
        <v>4498</v>
      </c>
    </row>
    <row r="269" spans="1:4" x14ac:dyDescent="0.3">
      <c r="A269">
        <v>145</v>
      </c>
      <c r="B269">
        <v>8</v>
      </c>
      <c r="C269">
        <v>350</v>
      </c>
      <c r="D269">
        <v>4440</v>
      </c>
    </row>
    <row r="270" spans="1:4" x14ac:dyDescent="0.3">
      <c r="A270">
        <v>148</v>
      </c>
      <c r="B270">
        <v>8</v>
      </c>
      <c r="C270">
        <v>351</v>
      </c>
      <c r="D270">
        <v>4657</v>
      </c>
    </row>
    <row r="271" spans="1:4" x14ac:dyDescent="0.3">
      <c r="A271">
        <v>92</v>
      </c>
      <c r="B271">
        <v>4</v>
      </c>
      <c r="C271">
        <v>140</v>
      </c>
      <c r="D271">
        <v>2572</v>
      </c>
    </row>
    <row r="272" spans="1:4" x14ac:dyDescent="0.3">
      <c r="A272">
        <v>79</v>
      </c>
      <c r="B272">
        <v>4</v>
      </c>
      <c r="C272">
        <v>98</v>
      </c>
      <c r="D272">
        <v>2255</v>
      </c>
    </row>
    <row r="273" spans="1:4" x14ac:dyDescent="0.3">
      <c r="A273">
        <v>72</v>
      </c>
      <c r="B273">
        <v>4</v>
      </c>
      <c r="C273">
        <v>140</v>
      </c>
      <c r="D273">
        <v>2565</v>
      </c>
    </row>
    <row r="274" spans="1:4" x14ac:dyDescent="0.3">
      <c r="A274">
        <v>60</v>
      </c>
      <c r="B274">
        <v>4</v>
      </c>
      <c r="C274">
        <v>98</v>
      </c>
      <c r="D274">
        <v>2164</v>
      </c>
    </row>
    <row r="275" spans="1:4" x14ac:dyDescent="0.3">
      <c r="A275">
        <v>52</v>
      </c>
      <c r="B275">
        <v>4</v>
      </c>
      <c r="C275">
        <v>85</v>
      </c>
      <c r="D275">
        <v>2035</v>
      </c>
    </row>
    <row r="276" spans="1:4" x14ac:dyDescent="0.3">
      <c r="A276">
        <v>105</v>
      </c>
      <c r="B276">
        <v>6</v>
      </c>
      <c r="C276">
        <v>250</v>
      </c>
      <c r="D276">
        <v>3353</v>
      </c>
    </row>
    <row r="277" spans="1:4" x14ac:dyDescent="0.3">
      <c r="A277">
        <v>100</v>
      </c>
      <c r="B277">
        <v>6</v>
      </c>
      <c r="C277">
        <v>225</v>
      </c>
      <c r="D277">
        <v>3233</v>
      </c>
    </row>
    <row r="278" spans="1:4" x14ac:dyDescent="0.3">
      <c r="A278">
        <v>110</v>
      </c>
      <c r="B278">
        <v>6</v>
      </c>
      <c r="C278">
        <v>250</v>
      </c>
      <c r="D278">
        <v>3645</v>
      </c>
    </row>
    <row r="279" spans="1:4" x14ac:dyDescent="0.3">
      <c r="A279">
        <v>95</v>
      </c>
      <c r="B279">
        <v>6</v>
      </c>
      <c r="C279">
        <v>258</v>
      </c>
      <c r="D279">
        <v>3193</v>
      </c>
    </row>
    <row r="280" spans="1:4" x14ac:dyDescent="0.3">
      <c r="A280">
        <v>90</v>
      </c>
      <c r="B280">
        <v>6</v>
      </c>
      <c r="C280">
        <v>232</v>
      </c>
      <c r="D280">
        <v>3085</v>
      </c>
    </row>
    <row r="281" spans="1:4" x14ac:dyDescent="0.3">
      <c r="A281">
        <v>100</v>
      </c>
      <c r="B281">
        <v>6</v>
      </c>
      <c r="C281">
        <v>225</v>
      </c>
      <c r="D281">
        <v>3651</v>
      </c>
    </row>
    <row r="282" spans="1:4" x14ac:dyDescent="0.3">
      <c r="A282">
        <v>81</v>
      </c>
      <c r="B282">
        <v>6</v>
      </c>
      <c r="C282">
        <v>200</v>
      </c>
      <c r="D282">
        <v>3012</v>
      </c>
    </row>
    <row r="283" spans="1:4" x14ac:dyDescent="0.3">
      <c r="A283">
        <v>78</v>
      </c>
      <c r="B283">
        <v>6</v>
      </c>
      <c r="C283">
        <v>250</v>
      </c>
      <c r="D283">
        <v>3574</v>
      </c>
    </row>
    <row r="284" spans="1:4" x14ac:dyDescent="0.3">
      <c r="A284">
        <v>180</v>
      </c>
      <c r="B284">
        <v>8</v>
      </c>
      <c r="C284">
        <v>350</v>
      </c>
      <c r="D284">
        <v>4380</v>
      </c>
    </row>
    <row r="285" spans="1:4" x14ac:dyDescent="0.3">
      <c r="A285">
        <v>150</v>
      </c>
      <c r="B285">
        <v>8</v>
      </c>
      <c r="C285">
        <v>318</v>
      </c>
      <c r="D285">
        <v>3755</v>
      </c>
    </row>
    <row r="286" spans="1:4" x14ac:dyDescent="0.3">
      <c r="A286">
        <v>150</v>
      </c>
      <c r="B286">
        <v>8</v>
      </c>
      <c r="C286">
        <v>318</v>
      </c>
      <c r="D286">
        <v>3940</v>
      </c>
    </row>
    <row r="287" spans="1:4" x14ac:dyDescent="0.3">
      <c r="A287">
        <v>152</v>
      </c>
      <c r="B287">
        <v>8</v>
      </c>
      <c r="C287">
        <v>351</v>
      </c>
      <c r="D287">
        <v>4215</v>
      </c>
    </row>
    <row r="288" spans="1:4" x14ac:dyDescent="0.3">
      <c r="A288">
        <v>145</v>
      </c>
      <c r="B288">
        <v>8</v>
      </c>
      <c r="C288">
        <v>350</v>
      </c>
      <c r="D288">
        <v>4055</v>
      </c>
    </row>
    <row r="289" spans="1:4" x14ac:dyDescent="0.3">
      <c r="A289">
        <v>150</v>
      </c>
      <c r="B289">
        <v>8</v>
      </c>
      <c r="C289">
        <v>318</v>
      </c>
      <c r="D289">
        <v>4190</v>
      </c>
    </row>
    <row r="290" spans="1:4" x14ac:dyDescent="0.3">
      <c r="A290">
        <v>130</v>
      </c>
      <c r="B290">
        <v>8</v>
      </c>
      <c r="C290">
        <v>302</v>
      </c>
      <c r="D290">
        <v>3870</v>
      </c>
    </row>
    <row r="291" spans="1:4" x14ac:dyDescent="0.3">
      <c r="A291">
        <v>140</v>
      </c>
      <c r="B291">
        <v>8</v>
      </c>
      <c r="C291">
        <v>305</v>
      </c>
      <c r="D291">
        <v>4215</v>
      </c>
    </row>
    <row r="292" spans="1:4" x14ac:dyDescent="0.3">
      <c r="A292">
        <v>120</v>
      </c>
      <c r="B292">
        <v>8</v>
      </c>
      <c r="C292">
        <v>304</v>
      </c>
      <c r="D292">
        <v>3962</v>
      </c>
    </row>
    <row r="293" spans="1:4" x14ac:dyDescent="0.3">
      <c r="A293">
        <v>96</v>
      </c>
      <c r="B293">
        <v>4</v>
      </c>
      <c r="C293">
        <v>122</v>
      </c>
      <c r="D293">
        <v>2300</v>
      </c>
    </row>
    <row r="294" spans="1:4" x14ac:dyDescent="0.3">
      <c r="A294">
        <v>83</v>
      </c>
      <c r="B294">
        <v>4</v>
      </c>
      <c r="C294">
        <v>98</v>
      </c>
      <c r="D294">
        <v>2075</v>
      </c>
    </row>
    <row r="295" spans="1:4" x14ac:dyDescent="0.3">
      <c r="A295">
        <v>80</v>
      </c>
      <c r="B295">
        <v>4</v>
      </c>
      <c r="C295">
        <v>111</v>
      </c>
      <c r="D295">
        <v>2155</v>
      </c>
    </row>
    <row r="296" spans="1:4" x14ac:dyDescent="0.3">
      <c r="A296">
        <v>89</v>
      </c>
      <c r="B296">
        <v>4</v>
      </c>
      <c r="C296">
        <v>140</v>
      </c>
      <c r="D296">
        <v>2755</v>
      </c>
    </row>
    <row r="297" spans="1:4" x14ac:dyDescent="0.3">
      <c r="A297">
        <v>88</v>
      </c>
      <c r="B297">
        <v>4</v>
      </c>
      <c r="C297">
        <v>151</v>
      </c>
      <c r="D297">
        <v>2740</v>
      </c>
    </row>
    <row r="298" spans="1:4" x14ac:dyDescent="0.3">
      <c r="A298">
        <v>63</v>
      </c>
      <c r="B298">
        <v>4</v>
      </c>
      <c r="C298">
        <v>98</v>
      </c>
      <c r="D298">
        <v>2051</v>
      </c>
    </row>
    <row r="299" spans="1:4" x14ac:dyDescent="0.3">
      <c r="A299">
        <v>110</v>
      </c>
      <c r="B299">
        <v>6</v>
      </c>
      <c r="C299">
        <v>250</v>
      </c>
      <c r="D299">
        <v>3520</v>
      </c>
    </row>
    <row r="300" spans="1:4" x14ac:dyDescent="0.3">
      <c r="A300">
        <v>105</v>
      </c>
      <c r="B300">
        <v>6</v>
      </c>
      <c r="C300">
        <v>231</v>
      </c>
      <c r="D300">
        <v>3425</v>
      </c>
    </row>
    <row r="301" spans="1:4" x14ac:dyDescent="0.3">
      <c r="A301">
        <v>98</v>
      </c>
      <c r="B301">
        <v>6</v>
      </c>
      <c r="C301">
        <v>250</v>
      </c>
      <c r="D301">
        <v>3525</v>
      </c>
    </row>
    <row r="302" spans="1:4" x14ac:dyDescent="0.3">
      <c r="A302">
        <v>100</v>
      </c>
      <c r="B302">
        <v>6</v>
      </c>
      <c r="C302">
        <v>225</v>
      </c>
      <c r="D302">
        <v>3630</v>
      </c>
    </row>
    <row r="303" spans="1:4" x14ac:dyDescent="0.3">
      <c r="A303">
        <v>190</v>
      </c>
      <c r="B303">
        <v>8</v>
      </c>
      <c r="C303">
        <v>400</v>
      </c>
      <c r="D303">
        <v>4325</v>
      </c>
    </row>
    <row r="304" spans="1:4" x14ac:dyDescent="0.3">
      <c r="A304">
        <v>180</v>
      </c>
      <c r="B304">
        <v>8</v>
      </c>
      <c r="C304">
        <v>400</v>
      </c>
      <c r="D304">
        <v>4220</v>
      </c>
    </row>
    <row r="305" spans="1:4" x14ac:dyDescent="0.3">
      <c r="A305">
        <v>170</v>
      </c>
      <c r="B305">
        <v>8</v>
      </c>
      <c r="C305">
        <v>350</v>
      </c>
      <c r="D305">
        <v>4165</v>
      </c>
    </row>
    <row r="306" spans="1:4" x14ac:dyDescent="0.3">
      <c r="A306">
        <v>145</v>
      </c>
      <c r="B306">
        <v>8</v>
      </c>
      <c r="C306">
        <v>305</v>
      </c>
      <c r="D306">
        <v>3880</v>
      </c>
    </row>
    <row r="307" spans="1:4" x14ac:dyDescent="0.3">
      <c r="A307">
        <v>145</v>
      </c>
      <c r="B307">
        <v>8</v>
      </c>
      <c r="C307">
        <v>318</v>
      </c>
      <c r="D307">
        <v>4140</v>
      </c>
    </row>
    <row r="308" spans="1:4" x14ac:dyDescent="0.3">
      <c r="A308">
        <v>149</v>
      </c>
      <c r="B308">
        <v>8</v>
      </c>
      <c r="C308">
        <v>351</v>
      </c>
      <c r="D308">
        <v>4335</v>
      </c>
    </row>
    <row r="309" spans="1:4" x14ac:dyDescent="0.3">
      <c r="A309">
        <v>130</v>
      </c>
      <c r="B309">
        <v>8</v>
      </c>
      <c r="C309">
        <v>302</v>
      </c>
      <c r="D309">
        <v>4295</v>
      </c>
    </row>
    <row r="310" spans="1:4" x14ac:dyDescent="0.3">
      <c r="A310">
        <v>110</v>
      </c>
      <c r="B310">
        <v>8</v>
      </c>
      <c r="C310">
        <v>260</v>
      </c>
      <c r="D310">
        <v>4060</v>
      </c>
    </row>
    <row r="311" spans="1:4" x14ac:dyDescent="0.3">
      <c r="A311">
        <v>105</v>
      </c>
      <c r="B311">
        <v>4</v>
      </c>
      <c r="C311">
        <v>156</v>
      </c>
      <c r="D311">
        <v>2745</v>
      </c>
    </row>
    <row r="312" spans="1:4" x14ac:dyDescent="0.3">
      <c r="A312">
        <v>66</v>
      </c>
      <c r="B312">
        <v>4</v>
      </c>
      <c r="C312">
        <v>98</v>
      </c>
      <c r="D312">
        <v>1800</v>
      </c>
    </row>
    <row r="313" spans="1:4" x14ac:dyDescent="0.3">
      <c r="A313">
        <v>75</v>
      </c>
      <c r="B313">
        <v>4</v>
      </c>
      <c r="C313">
        <v>105</v>
      </c>
      <c r="D313">
        <v>2230</v>
      </c>
    </row>
    <row r="314" spans="1:4" x14ac:dyDescent="0.3">
      <c r="A314">
        <v>88</v>
      </c>
      <c r="B314">
        <v>4</v>
      </c>
      <c r="C314">
        <v>140</v>
      </c>
      <c r="D314">
        <v>2720</v>
      </c>
    </row>
    <row r="315" spans="1:4" x14ac:dyDescent="0.3">
      <c r="A315">
        <v>68</v>
      </c>
      <c r="B315">
        <v>4</v>
      </c>
      <c r="C315">
        <v>98</v>
      </c>
      <c r="D315">
        <v>2155</v>
      </c>
    </row>
    <row r="316" spans="1:4" x14ac:dyDescent="0.3">
      <c r="A316">
        <v>85</v>
      </c>
      <c r="B316">
        <v>4</v>
      </c>
      <c r="C316">
        <v>151</v>
      </c>
      <c r="D316">
        <v>2855</v>
      </c>
    </row>
    <row r="317" spans="1:4" x14ac:dyDescent="0.3">
      <c r="A317">
        <v>165</v>
      </c>
      <c r="B317">
        <v>6</v>
      </c>
      <c r="C317">
        <v>231</v>
      </c>
      <c r="D317">
        <v>3445</v>
      </c>
    </row>
    <row r="318" spans="1:4" x14ac:dyDescent="0.3">
      <c r="A318">
        <v>120</v>
      </c>
      <c r="B318">
        <v>6</v>
      </c>
      <c r="C318">
        <v>258</v>
      </c>
      <c r="D318">
        <v>3410</v>
      </c>
    </row>
    <row r="319" spans="1:4" x14ac:dyDescent="0.3">
      <c r="A319">
        <v>105</v>
      </c>
      <c r="B319">
        <v>6</v>
      </c>
      <c r="C319">
        <v>231</v>
      </c>
      <c r="D319">
        <v>3380</v>
      </c>
    </row>
    <row r="320" spans="1:4" x14ac:dyDescent="0.3">
      <c r="A320">
        <v>110</v>
      </c>
      <c r="B320">
        <v>6</v>
      </c>
      <c r="C320">
        <v>225</v>
      </c>
      <c r="D320">
        <v>3620</v>
      </c>
    </row>
    <row r="321" spans="1:4" x14ac:dyDescent="0.3">
      <c r="A321">
        <v>95</v>
      </c>
      <c r="B321">
        <v>6</v>
      </c>
      <c r="C321">
        <v>200</v>
      </c>
      <c r="D321">
        <v>3155</v>
      </c>
    </row>
    <row r="322" spans="1:4" x14ac:dyDescent="0.3">
      <c r="A322">
        <v>105</v>
      </c>
      <c r="B322">
        <v>6</v>
      </c>
      <c r="C322">
        <v>231</v>
      </c>
      <c r="D322">
        <v>3535</v>
      </c>
    </row>
    <row r="323" spans="1:4" x14ac:dyDescent="0.3">
      <c r="A323">
        <v>100</v>
      </c>
      <c r="B323">
        <v>6</v>
      </c>
      <c r="C323">
        <v>225</v>
      </c>
      <c r="D323">
        <v>3430</v>
      </c>
    </row>
    <row r="324" spans="1:4" x14ac:dyDescent="0.3">
      <c r="A324">
        <v>85</v>
      </c>
      <c r="B324">
        <v>6</v>
      </c>
      <c r="C324">
        <v>200</v>
      </c>
      <c r="D324">
        <v>2965</v>
      </c>
    </row>
    <row r="325" spans="1:4" x14ac:dyDescent="0.3">
      <c r="A325">
        <v>90</v>
      </c>
      <c r="B325">
        <v>6</v>
      </c>
      <c r="C325">
        <v>232</v>
      </c>
      <c r="D325">
        <v>3210</v>
      </c>
    </row>
    <row r="326" spans="1:4" x14ac:dyDescent="0.3">
      <c r="A326">
        <v>85</v>
      </c>
      <c r="B326">
        <v>6</v>
      </c>
      <c r="C326">
        <v>200</v>
      </c>
      <c r="D326">
        <v>3070</v>
      </c>
    </row>
    <row r="327" spans="1:4" x14ac:dyDescent="0.3">
      <c r="A327">
        <v>139</v>
      </c>
      <c r="B327">
        <v>8</v>
      </c>
      <c r="C327">
        <v>302</v>
      </c>
      <c r="D327">
        <v>3205</v>
      </c>
    </row>
    <row r="328" spans="1:4" x14ac:dyDescent="0.3">
      <c r="A328">
        <v>145</v>
      </c>
      <c r="B328">
        <v>8</v>
      </c>
      <c r="C328">
        <v>305</v>
      </c>
      <c r="D328">
        <v>3425</v>
      </c>
    </row>
    <row r="329" spans="1:4" x14ac:dyDescent="0.3">
      <c r="A329">
        <v>139</v>
      </c>
      <c r="B329">
        <v>8</v>
      </c>
      <c r="C329">
        <v>302</v>
      </c>
      <c r="D329">
        <v>3570</v>
      </c>
    </row>
    <row r="330" spans="1:4" x14ac:dyDescent="0.3">
      <c r="A330">
        <v>140</v>
      </c>
      <c r="B330">
        <v>8</v>
      </c>
      <c r="C330">
        <v>318</v>
      </c>
      <c r="D330">
        <v>3735</v>
      </c>
    </row>
    <row r="331" spans="1:4" x14ac:dyDescent="0.3">
      <c r="A331">
        <v>140</v>
      </c>
      <c r="B331">
        <v>8</v>
      </c>
      <c r="C331">
        <v>318</v>
      </c>
      <c r="D331">
        <v>4080</v>
      </c>
    </row>
    <row r="332" spans="1:4" x14ac:dyDescent="0.3">
      <c r="A332">
        <v>110</v>
      </c>
      <c r="B332">
        <v>8</v>
      </c>
      <c r="C332">
        <v>260</v>
      </c>
      <c r="D332">
        <v>3365</v>
      </c>
    </row>
    <row r="333" spans="1:4" x14ac:dyDescent="0.3">
      <c r="A333">
        <v>80</v>
      </c>
      <c r="B333">
        <v>4</v>
      </c>
      <c r="C333">
        <v>98</v>
      </c>
      <c r="D333">
        <v>1915</v>
      </c>
    </row>
    <row r="334" spans="1:4" x14ac:dyDescent="0.3">
      <c r="A334">
        <v>90</v>
      </c>
      <c r="B334">
        <v>4</v>
      </c>
      <c r="C334">
        <v>151</v>
      </c>
      <c r="D334">
        <v>2556</v>
      </c>
    </row>
    <row r="335" spans="1:4" x14ac:dyDescent="0.3">
      <c r="A335">
        <v>90</v>
      </c>
      <c r="B335">
        <v>4</v>
      </c>
      <c r="C335">
        <v>151</v>
      </c>
      <c r="D335">
        <v>2670</v>
      </c>
    </row>
    <row r="336" spans="1:4" x14ac:dyDescent="0.3">
      <c r="A336">
        <v>70</v>
      </c>
      <c r="B336">
        <v>4</v>
      </c>
      <c r="C336">
        <v>105</v>
      </c>
      <c r="D336">
        <v>2150</v>
      </c>
    </row>
    <row r="337" spans="1:4" x14ac:dyDescent="0.3">
      <c r="A337">
        <v>70</v>
      </c>
      <c r="B337">
        <v>4</v>
      </c>
      <c r="C337">
        <v>105</v>
      </c>
      <c r="D337">
        <v>2200</v>
      </c>
    </row>
    <row r="338" spans="1:4" x14ac:dyDescent="0.3">
      <c r="A338">
        <v>88</v>
      </c>
      <c r="B338">
        <v>4</v>
      </c>
      <c r="C338">
        <v>140</v>
      </c>
      <c r="D338">
        <v>2890</v>
      </c>
    </row>
    <row r="339" spans="1:4" x14ac:dyDescent="0.3">
      <c r="A339">
        <v>80</v>
      </c>
      <c r="B339">
        <v>4</v>
      </c>
      <c r="C339">
        <v>121</v>
      </c>
      <c r="D339">
        <v>2670</v>
      </c>
    </row>
    <row r="340" spans="1:4" x14ac:dyDescent="0.3">
      <c r="A340">
        <v>115</v>
      </c>
      <c r="B340">
        <v>6</v>
      </c>
      <c r="C340">
        <v>173</v>
      </c>
      <c r="D340">
        <v>2595</v>
      </c>
    </row>
    <row r="341" spans="1:4" x14ac:dyDescent="0.3">
      <c r="A341">
        <v>115</v>
      </c>
      <c r="B341">
        <v>6</v>
      </c>
      <c r="C341">
        <v>173</v>
      </c>
      <c r="D341">
        <v>2700</v>
      </c>
    </row>
    <row r="342" spans="1:4" x14ac:dyDescent="0.3">
      <c r="A342">
        <v>115</v>
      </c>
      <c r="B342">
        <v>6</v>
      </c>
      <c r="C342">
        <v>231</v>
      </c>
      <c r="D342">
        <v>3245</v>
      </c>
    </row>
    <row r="343" spans="1:4" x14ac:dyDescent="0.3">
      <c r="A343">
        <v>110</v>
      </c>
      <c r="B343">
        <v>6</v>
      </c>
      <c r="C343">
        <v>225</v>
      </c>
      <c r="D343">
        <v>3360</v>
      </c>
    </row>
    <row r="344" spans="1:4" x14ac:dyDescent="0.3">
      <c r="A344">
        <v>85</v>
      </c>
      <c r="B344">
        <v>6</v>
      </c>
      <c r="C344">
        <v>200</v>
      </c>
      <c r="D344">
        <v>2990</v>
      </c>
    </row>
    <row r="345" spans="1:4" x14ac:dyDescent="0.3">
      <c r="A345">
        <v>90</v>
      </c>
      <c r="B345">
        <v>6</v>
      </c>
      <c r="C345">
        <v>232</v>
      </c>
      <c r="D345">
        <v>3265</v>
      </c>
    </row>
    <row r="346" spans="1:4" x14ac:dyDescent="0.3">
      <c r="A346">
        <v>150</v>
      </c>
      <c r="B346">
        <v>8</v>
      </c>
      <c r="C346">
        <v>360</v>
      </c>
      <c r="D346">
        <v>3940</v>
      </c>
    </row>
    <row r="347" spans="1:4" x14ac:dyDescent="0.3">
      <c r="A347">
        <v>155</v>
      </c>
      <c r="B347">
        <v>8</v>
      </c>
      <c r="C347">
        <v>350</v>
      </c>
      <c r="D347">
        <v>4360</v>
      </c>
    </row>
    <row r="348" spans="1:4" x14ac:dyDescent="0.3">
      <c r="A348">
        <v>135</v>
      </c>
      <c r="B348">
        <v>8</v>
      </c>
      <c r="C348">
        <v>318</v>
      </c>
      <c r="D348">
        <v>3830</v>
      </c>
    </row>
    <row r="349" spans="1:4" x14ac:dyDescent="0.3">
      <c r="A349">
        <v>142</v>
      </c>
      <c r="B349">
        <v>8</v>
      </c>
      <c r="C349">
        <v>351</v>
      </c>
      <c r="D349">
        <v>4054</v>
      </c>
    </row>
    <row r="350" spans="1:4" x14ac:dyDescent="0.3">
      <c r="A350">
        <v>138</v>
      </c>
      <c r="B350">
        <v>8</v>
      </c>
      <c r="C350">
        <v>351</v>
      </c>
      <c r="D350">
        <v>3955</v>
      </c>
    </row>
    <row r="351" spans="1:4" x14ac:dyDescent="0.3">
      <c r="A351">
        <v>125</v>
      </c>
      <c r="B351">
        <v>8</v>
      </c>
      <c r="C351">
        <v>267</v>
      </c>
      <c r="D351">
        <v>3605</v>
      </c>
    </row>
    <row r="352" spans="1:4" x14ac:dyDescent="0.3">
      <c r="A352">
        <v>129</v>
      </c>
      <c r="B352">
        <v>8</v>
      </c>
      <c r="C352">
        <v>302</v>
      </c>
      <c r="D352">
        <v>3725</v>
      </c>
    </row>
    <row r="353" spans="1:4" x14ac:dyDescent="0.3">
      <c r="A353">
        <v>130</v>
      </c>
      <c r="B353">
        <v>8</v>
      </c>
      <c r="C353">
        <v>305</v>
      </c>
      <c r="D353">
        <v>3840</v>
      </c>
    </row>
    <row r="354" spans="1:4" x14ac:dyDescent="0.3">
      <c r="A354">
        <v>125</v>
      </c>
      <c r="B354">
        <v>8</v>
      </c>
      <c r="C354">
        <v>350</v>
      </c>
      <c r="D354">
        <v>3900</v>
      </c>
    </row>
    <row r="355" spans="1:4" x14ac:dyDescent="0.3">
      <c r="A355">
        <v>90</v>
      </c>
      <c r="B355">
        <v>8</v>
      </c>
      <c r="C355">
        <v>260</v>
      </c>
      <c r="D355">
        <v>3420</v>
      </c>
    </row>
    <row r="356" spans="1:4" x14ac:dyDescent="0.3">
      <c r="A356">
        <v>105</v>
      </c>
      <c r="B356">
        <v>4</v>
      </c>
      <c r="C356">
        <v>156</v>
      </c>
      <c r="D356">
        <v>2800</v>
      </c>
    </row>
    <row r="357" spans="1:4" x14ac:dyDescent="0.3">
      <c r="A357">
        <v>90</v>
      </c>
      <c r="B357">
        <v>4</v>
      </c>
      <c r="C357">
        <v>151</v>
      </c>
      <c r="D357">
        <v>2678</v>
      </c>
    </row>
    <row r="358" spans="1:4" x14ac:dyDescent="0.3">
      <c r="A358">
        <v>70</v>
      </c>
      <c r="B358">
        <v>4</v>
      </c>
      <c r="C358">
        <v>98</v>
      </c>
      <c r="D358">
        <v>2120</v>
      </c>
    </row>
    <row r="359" spans="1:4" x14ac:dyDescent="0.3">
      <c r="A359">
        <v>88</v>
      </c>
      <c r="B359">
        <v>4</v>
      </c>
      <c r="C359">
        <v>140</v>
      </c>
      <c r="D359">
        <v>2870</v>
      </c>
    </row>
    <row r="360" spans="1:4" x14ac:dyDescent="0.3">
      <c r="A360">
        <v>90</v>
      </c>
      <c r="B360">
        <v>4</v>
      </c>
      <c r="C360">
        <v>151</v>
      </c>
      <c r="D360">
        <v>3003</v>
      </c>
    </row>
    <row r="361" spans="1:4" x14ac:dyDescent="0.3">
      <c r="A361">
        <v>90</v>
      </c>
      <c r="B361">
        <v>6</v>
      </c>
      <c r="C361">
        <v>225</v>
      </c>
      <c r="D361">
        <v>3381</v>
      </c>
    </row>
    <row r="362" spans="1:4" x14ac:dyDescent="0.3">
      <c r="A362">
        <v>84</v>
      </c>
      <c r="B362">
        <v>4</v>
      </c>
      <c r="C362">
        <v>135</v>
      </c>
      <c r="D362">
        <v>2385</v>
      </c>
    </row>
    <row r="363" spans="1:4" x14ac:dyDescent="0.3">
      <c r="A363">
        <v>92</v>
      </c>
      <c r="B363">
        <v>4</v>
      </c>
      <c r="C363">
        <v>156</v>
      </c>
      <c r="D363">
        <v>2620</v>
      </c>
    </row>
    <row r="364" spans="1:4" x14ac:dyDescent="0.3">
      <c r="A364">
        <v>64</v>
      </c>
      <c r="B364">
        <v>4</v>
      </c>
      <c r="C364">
        <v>86</v>
      </c>
      <c r="D364">
        <v>1875</v>
      </c>
    </row>
    <row r="365" spans="1:4" x14ac:dyDescent="0.3">
      <c r="A365">
        <v>84</v>
      </c>
      <c r="B365">
        <v>4</v>
      </c>
      <c r="C365">
        <v>135</v>
      </c>
      <c r="D365">
        <v>2490</v>
      </c>
    </row>
    <row r="366" spans="1:4" x14ac:dyDescent="0.3">
      <c r="A366">
        <v>84</v>
      </c>
      <c r="B366">
        <v>4</v>
      </c>
      <c r="C366">
        <v>151</v>
      </c>
      <c r="D366">
        <v>2635</v>
      </c>
    </row>
    <row r="367" spans="1:4" x14ac:dyDescent="0.3">
      <c r="A367">
        <v>65</v>
      </c>
      <c r="B367">
        <v>4</v>
      </c>
      <c r="C367">
        <v>98</v>
      </c>
      <c r="D367">
        <v>2045</v>
      </c>
    </row>
    <row r="368" spans="1:4" x14ac:dyDescent="0.3">
      <c r="A368">
        <v>63</v>
      </c>
      <c r="B368">
        <v>4</v>
      </c>
      <c r="C368">
        <v>105</v>
      </c>
      <c r="D368">
        <v>2215</v>
      </c>
    </row>
    <row r="369" spans="1:4" x14ac:dyDescent="0.3">
      <c r="A369">
        <v>65</v>
      </c>
      <c r="B369">
        <v>4</v>
      </c>
      <c r="C369">
        <v>98</v>
      </c>
      <c r="D369">
        <v>2380</v>
      </c>
    </row>
    <row r="370" spans="1:4" x14ac:dyDescent="0.3">
      <c r="A370">
        <v>110</v>
      </c>
      <c r="B370">
        <v>6</v>
      </c>
      <c r="C370">
        <v>173</v>
      </c>
      <c r="D370">
        <v>2725</v>
      </c>
    </row>
    <row r="371" spans="1:4" x14ac:dyDescent="0.3">
      <c r="A371">
        <v>110</v>
      </c>
      <c r="B371">
        <v>6</v>
      </c>
      <c r="C371">
        <v>231</v>
      </c>
      <c r="D371">
        <v>3415</v>
      </c>
    </row>
    <row r="372" spans="1:4" x14ac:dyDescent="0.3">
      <c r="A372">
        <v>88</v>
      </c>
      <c r="B372">
        <v>6</v>
      </c>
      <c r="C372">
        <v>200</v>
      </c>
      <c r="D372">
        <v>3060</v>
      </c>
    </row>
    <row r="373" spans="1:4" x14ac:dyDescent="0.3">
      <c r="A373">
        <v>85</v>
      </c>
      <c r="B373">
        <v>6</v>
      </c>
      <c r="C373">
        <v>225</v>
      </c>
      <c r="D373">
        <v>3465</v>
      </c>
    </row>
    <row r="374" spans="1:4" x14ac:dyDescent="0.3">
      <c r="A374">
        <v>105</v>
      </c>
      <c r="B374">
        <v>8</v>
      </c>
      <c r="C374">
        <v>350</v>
      </c>
      <c r="D374">
        <v>3725</v>
      </c>
    </row>
    <row r="375" spans="1:4" x14ac:dyDescent="0.3">
      <c r="A375">
        <v>88</v>
      </c>
      <c r="B375">
        <v>4</v>
      </c>
      <c r="C375">
        <v>112</v>
      </c>
      <c r="D375">
        <v>2395</v>
      </c>
    </row>
    <row r="376" spans="1:4" x14ac:dyDescent="0.3">
      <c r="A376">
        <v>84</v>
      </c>
      <c r="B376">
        <v>4</v>
      </c>
      <c r="C376">
        <v>135</v>
      </c>
      <c r="D376">
        <v>2295</v>
      </c>
    </row>
    <row r="377" spans="1:4" x14ac:dyDescent="0.3">
      <c r="A377">
        <v>92</v>
      </c>
      <c r="B377">
        <v>4</v>
      </c>
      <c r="C377">
        <v>156</v>
      </c>
      <c r="D377">
        <v>2585</v>
      </c>
    </row>
    <row r="378" spans="1:4" x14ac:dyDescent="0.3">
      <c r="A378">
        <v>84</v>
      </c>
      <c r="B378">
        <v>4</v>
      </c>
      <c r="C378">
        <v>135</v>
      </c>
      <c r="D378">
        <v>2370</v>
      </c>
    </row>
    <row r="379" spans="1:4" x14ac:dyDescent="0.3">
      <c r="A379">
        <v>88</v>
      </c>
      <c r="B379">
        <v>4</v>
      </c>
      <c r="C379">
        <v>112</v>
      </c>
      <c r="D379">
        <v>2605</v>
      </c>
    </row>
    <row r="380" spans="1:4" x14ac:dyDescent="0.3">
      <c r="A380">
        <v>88</v>
      </c>
      <c r="B380">
        <v>4</v>
      </c>
      <c r="C380">
        <v>112</v>
      </c>
      <c r="D380">
        <v>2640</v>
      </c>
    </row>
    <row r="381" spans="1:4" x14ac:dyDescent="0.3">
      <c r="A381">
        <v>84</v>
      </c>
      <c r="B381">
        <v>4</v>
      </c>
      <c r="C381">
        <v>135</v>
      </c>
      <c r="D381">
        <v>2525</v>
      </c>
    </row>
    <row r="382" spans="1:4" x14ac:dyDescent="0.3">
      <c r="A382">
        <v>85</v>
      </c>
      <c r="B382">
        <v>4</v>
      </c>
      <c r="C382">
        <v>112</v>
      </c>
      <c r="D382">
        <v>2575</v>
      </c>
    </row>
    <row r="383" spans="1:4" x14ac:dyDescent="0.3">
      <c r="A383">
        <v>70</v>
      </c>
      <c r="B383">
        <v>4</v>
      </c>
      <c r="C383">
        <v>98</v>
      </c>
      <c r="D383">
        <v>2125</v>
      </c>
    </row>
    <row r="384" spans="1:4" x14ac:dyDescent="0.3">
      <c r="A384">
        <v>90</v>
      </c>
      <c r="B384">
        <v>4</v>
      </c>
      <c r="C384">
        <v>151</v>
      </c>
      <c r="D384">
        <v>2735</v>
      </c>
    </row>
    <row r="385" spans="1:4" x14ac:dyDescent="0.3">
      <c r="A385">
        <v>92</v>
      </c>
      <c r="B385">
        <v>4</v>
      </c>
      <c r="C385">
        <v>140</v>
      </c>
      <c r="D385">
        <v>2865</v>
      </c>
    </row>
    <row r="386" spans="1:4" x14ac:dyDescent="0.3">
      <c r="A386">
        <v>86</v>
      </c>
      <c r="B386">
        <v>4</v>
      </c>
      <c r="C386">
        <v>140</v>
      </c>
      <c r="D386">
        <v>2790</v>
      </c>
    </row>
    <row r="387" spans="1:4" x14ac:dyDescent="0.3">
      <c r="A387">
        <v>90</v>
      </c>
      <c r="B387">
        <v>4</v>
      </c>
      <c r="C387">
        <v>151</v>
      </c>
      <c r="D387">
        <v>2950</v>
      </c>
    </row>
    <row r="388" spans="1:4" x14ac:dyDescent="0.3">
      <c r="A388">
        <v>82</v>
      </c>
      <c r="B388">
        <v>4</v>
      </c>
      <c r="C388">
        <v>119</v>
      </c>
      <c r="D388">
        <v>2720</v>
      </c>
    </row>
    <row r="389" spans="1:4" x14ac:dyDescent="0.3">
      <c r="A389">
        <v>79</v>
      </c>
      <c r="B389">
        <v>4</v>
      </c>
      <c r="C389">
        <v>120</v>
      </c>
      <c r="D389">
        <v>2625</v>
      </c>
    </row>
    <row r="390" spans="1:4" x14ac:dyDescent="0.3">
      <c r="A390">
        <v>63</v>
      </c>
      <c r="B390">
        <v>4</v>
      </c>
      <c r="C390">
        <v>105</v>
      </c>
      <c r="D390">
        <v>2125</v>
      </c>
    </row>
    <row r="391" spans="1:4" x14ac:dyDescent="0.3">
      <c r="A391">
        <v>112</v>
      </c>
      <c r="B391">
        <v>6</v>
      </c>
      <c r="C391">
        <v>232</v>
      </c>
      <c r="D391">
        <v>2835</v>
      </c>
    </row>
    <row r="392" spans="1:4" x14ac:dyDescent="0.3">
      <c r="A392">
        <v>110</v>
      </c>
      <c r="B392">
        <v>6</v>
      </c>
      <c r="C392">
        <v>181</v>
      </c>
      <c r="D392">
        <v>2945</v>
      </c>
    </row>
    <row r="393" spans="1:4" x14ac:dyDescent="0.3">
      <c r="A393">
        <v>85</v>
      </c>
      <c r="B393">
        <v>6</v>
      </c>
      <c r="C393">
        <v>262</v>
      </c>
      <c r="D393">
        <v>3015</v>
      </c>
    </row>
  </sheetData>
  <conditionalFormatting sqref="G2:G7 H9">
    <cfRule type="containsBlanks" dxfId="357" priority="2">
      <formula>LEN(TRIM(G2))=0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74CAE-E2EC-4826-9C18-865E3FD752E5}">
  <dimension ref="A1:N20"/>
  <sheetViews>
    <sheetView workbookViewId="0">
      <selection activeCell="M19" sqref="M19"/>
    </sheetView>
  </sheetViews>
  <sheetFormatPr defaultRowHeight="14.4" x14ac:dyDescent="0.3"/>
  <cols>
    <col min="1" max="1" width="17.44140625" bestFit="1" customWidth="1"/>
    <col min="2" max="2" width="12" bestFit="1" customWidth="1"/>
    <col min="3" max="3" width="13.44140625" bestFit="1" customWidth="1"/>
    <col min="4" max="4" width="12.6640625" bestFit="1" customWidth="1"/>
    <col min="5" max="5" width="12" bestFit="1" customWidth="1"/>
    <col min="6" max="6" width="12.6640625" bestFit="1" customWidth="1"/>
    <col min="7" max="7" width="12" bestFit="1" customWidth="1"/>
    <col min="8" max="8" width="12.6640625" bestFit="1" customWidth="1"/>
    <col min="9" max="9" width="12.109375" bestFit="1" customWidth="1"/>
    <col min="10" max="10" width="28.6640625" bestFit="1" customWidth="1"/>
    <col min="11" max="11" width="7.5546875" bestFit="1" customWidth="1"/>
  </cols>
  <sheetData>
    <row r="1" spans="1:14" x14ac:dyDescent="0.3">
      <c r="A1" t="s">
        <v>422</v>
      </c>
      <c r="J1" t="s">
        <v>447</v>
      </c>
    </row>
    <row r="2" spans="1:14" ht="43.8" thickBot="1" x14ac:dyDescent="0.35">
      <c r="J2" s="8" t="s">
        <v>421</v>
      </c>
      <c r="K2" s="10" t="s">
        <v>3</v>
      </c>
      <c r="L2" s="10" t="s">
        <v>5</v>
      </c>
      <c r="M2" s="10" t="s">
        <v>2</v>
      </c>
      <c r="N2" s="13" t="s">
        <v>448</v>
      </c>
    </row>
    <row r="3" spans="1:14" x14ac:dyDescent="0.3">
      <c r="A3" s="7" t="s">
        <v>423</v>
      </c>
      <c r="B3" s="7"/>
      <c r="J3" s="8" t="s">
        <v>261</v>
      </c>
      <c r="K3" s="8">
        <v>85</v>
      </c>
      <c r="L3" s="8">
        <v>1835</v>
      </c>
      <c r="M3" s="8">
        <v>4</v>
      </c>
      <c r="N3" s="14">
        <f>$B$17 + ($B$18 * K3) + ($B$19 * L3) + ($B$20 * M3)</f>
        <v>332.43990373097154</v>
      </c>
    </row>
    <row r="4" spans="1:14" x14ac:dyDescent="0.3">
      <c r="A4" t="s">
        <v>424</v>
      </c>
      <c r="B4">
        <v>0.90137226862314968</v>
      </c>
      <c r="J4" s="8" t="s">
        <v>280</v>
      </c>
      <c r="K4" s="8">
        <v>100</v>
      </c>
      <c r="L4" s="8">
        <v>2320</v>
      </c>
      <c r="M4" s="8">
        <v>4</v>
      </c>
      <c r="N4" s="14">
        <f t="shared" ref="N4:N8" si="0">$B$17 + ($B$18 * K4) + ($B$19 * L4) + ($B$20 * M4)</f>
        <v>433.62308109869332</v>
      </c>
    </row>
    <row r="5" spans="1:14" x14ac:dyDescent="0.3">
      <c r="A5" t="s">
        <v>425</v>
      </c>
      <c r="B5">
        <v>0.81247196664284349</v>
      </c>
      <c r="J5" s="8" t="s">
        <v>43</v>
      </c>
      <c r="K5" s="8">
        <v>98</v>
      </c>
      <c r="L5" s="8">
        <v>2046</v>
      </c>
      <c r="M5" s="8">
        <v>4</v>
      </c>
      <c r="N5" s="14">
        <f>$B$17 + ($B$18 * K5) + ($B$19 * L5) + ($B$20 * M5)</f>
        <v>357.48304318581</v>
      </c>
    </row>
    <row r="6" spans="1:14" x14ac:dyDescent="0.3">
      <c r="A6" t="s">
        <v>426</v>
      </c>
      <c r="B6">
        <v>0.81102200762204069</v>
      </c>
      <c r="J6" s="8" t="s">
        <v>28</v>
      </c>
      <c r="K6" s="8">
        <v>200</v>
      </c>
      <c r="L6" s="8">
        <v>2875</v>
      </c>
      <c r="M6" s="8">
        <v>6</v>
      </c>
      <c r="N6" s="14">
        <f>$B$17 + ($B$18 * K6) + ($B$19 * L6) + ($B$20 * M6)</f>
        <v>306.63037066889922</v>
      </c>
    </row>
    <row r="7" spans="1:14" x14ac:dyDescent="0.3">
      <c r="A7" t="s">
        <v>391</v>
      </c>
      <c r="B7">
        <v>16.732722714877234</v>
      </c>
      <c r="J7" s="8" t="s">
        <v>266</v>
      </c>
      <c r="K7" s="8">
        <v>140</v>
      </c>
      <c r="L7" s="8">
        <v>2905</v>
      </c>
      <c r="M7" s="8">
        <v>4</v>
      </c>
      <c r="N7" s="14">
        <f t="shared" si="0"/>
        <v>491.45601218328284</v>
      </c>
    </row>
    <row r="8" spans="1:14" ht="15" thickBot="1" x14ac:dyDescent="0.35">
      <c r="A8" s="6" t="s">
        <v>427</v>
      </c>
      <c r="B8" s="6">
        <v>392</v>
      </c>
      <c r="J8" s="8" t="s">
        <v>296</v>
      </c>
      <c r="K8" s="8">
        <v>151</v>
      </c>
      <c r="L8" s="8">
        <v>3035</v>
      </c>
      <c r="M8" s="8">
        <v>4</v>
      </c>
      <c r="N8" s="14">
        <f t="shared" si="0"/>
        <v>498.11984725831337</v>
      </c>
    </row>
    <row r="10" spans="1:14" ht="15" thickBot="1" x14ac:dyDescent="0.35">
      <c r="A10" t="s">
        <v>428</v>
      </c>
    </row>
    <row r="11" spans="1:14" x14ac:dyDescent="0.3">
      <c r="A11" s="9"/>
      <c r="B11" s="9" t="s">
        <v>432</v>
      </c>
      <c r="C11" s="9" t="s">
        <v>433</v>
      </c>
      <c r="D11" s="9" t="s">
        <v>434</v>
      </c>
      <c r="E11" s="9" t="s">
        <v>435</v>
      </c>
      <c r="F11" s="9" t="s">
        <v>436</v>
      </c>
    </row>
    <row r="12" spans="1:14" x14ac:dyDescent="0.3">
      <c r="A12" t="s">
        <v>429</v>
      </c>
      <c r="B12">
        <v>3</v>
      </c>
      <c r="C12">
        <v>470659.83698531019</v>
      </c>
      <c r="D12">
        <v>156886.61232843672</v>
      </c>
      <c r="E12">
        <v>560.3413303315466</v>
      </c>
      <c r="F12">
        <v>1.3402863411082927E-140</v>
      </c>
    </row>
    <row r="13" spans="1:14" x14ac:dyDescent="0.3">
      <c r="A13" t="s">
        <v>430</v>
      </c>
      <c r="B13">
        <v>388</v>
      </c>
      <c r="C13">
        <v>108633.79566775181</v>
      </c>
      <c r="D13">
        <v>279.98400945296856</v>
      </c>
    </row>
    <row r="14" spans="1:14" ht="15" thickBot="1" x14ac:dyDescent="0.35">
      <c r="A14" s="6" t="s">
        <v>349</v>
      </c>
      <c r="B14" s="6">
        <v>391</v>
      </c>
      <c r="C14" s="6">
        <v>579293.632653062</v>
      </c>
      <c r="D14" s="6"/>
      <c r="E14" s="6"/>
      <c r="F14" s="6"/>
    </row>
    <row r="15" spans="1:14" ht="15" thickBot="1" x14ac:dyDescent="0.35"/>
    <row r="16" spans="1:14" x14ac:dyDescent="0.3">
      <c r="A16" s="9"/>
      <c r="B16" s="9" t="s">
        <v>437</v>
      </c>
      <c r="C16" s="9" t="s">
        <v>391</v>
      </c>
      <c r="D16" s="9" t="s">
        <v>438</v>
      </c>
      <c r="E16" s="9" t="s">
        <v>439</v>
      </c>
      <c r="F16" s="9" t="s">
        <v>440</v>
      </c>
      <c r="G16" s="9" t="s">
        <v>441</v>
      </c>
      <c r="H16" s="9" t="s">
        <v>442</v>
      </c>
      <c r="I16" s="9" t="s">
        <v>443</v>
      </c>
    </row>
    <row r="17" spans="1:9" x14ac:dyDescent="0.3">
      <c r="A17" t="s">
        <v>431</v>
      </c>
      <c r="B17">
        <v>32.369273363310853</v>
      </c>
      <c r="C17">
        <v>5.7664876291311096</v>
      </c>
      <c r="D17">
        <v>5.6133430686277626</v>
      </c>
      <c r="E17">
        <v>3.7847906055796825E-8</v>
      </c>
      <c r="F17">
        <v>21.03180003785576</v>
      </c>
      <c r="G17">
        <v>43.706746688765946</v>
      </c>
      <c r="H17">
        <v>21.03180003785576</v>
      </c>
      <c r="I17">
        <v>43.706746688765946</v>
      </c>
    </row>
    <row r="18" spans="1:9" x14ac:dyDescent="0.3">
      <c r="A18" t="s">
        <v>444</v>
      </c>
      <c r="B18">
        <v>-2.9311234996791815</v>
      </c>
      <c r="C18">
        <v>1.6086794515826432</v>
      </c>
      <c r="D18">
        <v>-1.8220680924316512</v>
      </c>
      <c r="E18">
        <v>6.9214340656917964E-2</v>
      </c>
      <c r="F18">
        <v>-6.0939431473602941</v>
      </c>
      <c r="G18">
        <v>0.23169614800193061</v>
      </c>
      <c r="H18">
        <v>-6.0939431473602941</v>
      </c>
      <c r="I18">
        <v>0.23169614800193061</v>
      </c>
    </row>
    <row r="19" spans="1:9" x14ac:dyDescent="0.3">
      <c r="A19" t="s">
        <v>445</v>
      </c>
      <c r="B19">
        <v>0.29927841208847311</v>
      </c>
      <c r="C19">
        <v>3.2129665252985537E-2</v>
      </c>
      <c r="D19">
        <v>9.3147068210013089</v>
      </c>
      <c r="E19">
        <v>9.2934315610798203E-19</v>
      </c>
      <c r="F19">
        <v>0.23610837753896471</v>
      </c>
      <c r="G19">
        <v>0.36244844663798148</v>
      </c>
      <c r="H19">
        <v>0.23610837753896471</v>
      </c>
      <c r="I19">
        <v>0.36244844663798148</v>
      </c>
    </row>
    <row r="20" spans="1:9" ht="15" thickBot="1" x14ac:dyDescent="0.35">
      <c r="A20" s="6" t="s">
        <v>446</v>
      </c>
      <c r="B20" s="6">
        <v>1.0060414510751249E-2</v>
      </c>
      <c r="C20" s="6">
        <v>2.7803381114456967E-3</v>
      </c>
      <c r="D20" s="6">
        <v>3.6184140588283054</v>
      </c>
      <c r="E20" s="6">
        <v>3.3562279555425734E-4</v>
      </c>
      <c r="F20" s="6">
        <v>4.5940004296702334E-3</v>
      </c>
      <c r="G20" s="6">
        <v>1.5526828591832263E-2</v>
      </c>
      <c r="H20" s="6">
        <v>4.5940004296702334E-3</v>
      </c>
      <c r="I20" s="6">
        <v>1.5526828591832263E-2</v>
      </c>
    </row>
  </sheetData>
  <conditionalFormatting sqref="J3:J8">
    <cfRule type="containsBlanks" dxfId="356" priority="1">
      <formula>LEN(TRIM(J3))=0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B0761-103D-45A0-9598-CE91AB549876}">
  <dimension ref="A1:K399"/>
  <sheetViews>
    <sheetView workbookViewId="0"/>
  </sheetViews>
  <sheetFormatPr defaultRowHeight="14.4" x14ac:dyDescent="0.3"/>
  <cols>
    <col min="1" max="1" width="20.88671875" style="15" customWidth="1"/>
    <col min="2" max="2" width="31.88671875" bestFit="1" customWidth="1"/>
    <col min="4" max="4" width="10.33203125" customWidth="1"/>
    <col min="5" max="5" width="9" customWidth="1"/>
    <col min="7" max="7" width="14.109375" customWidth="1"/>
    <col min="8" max="8" width="12.88671875" customWidth="1"/>
    <col min="10" max="10" width="17.33203125" customWidth="1"/>
    <col min="11" max="11" width="13.109375" customWidth="1"/>
    <col min="12" max="12" width="12.88671875" customWidth="1"/>
  </cols>
  <sheetData>
    <row r="1" spans="2:11" ht="28.8" x14ac:dyDescent="0.3">
      <c r="B1" s="1" t="s">
        <v>0</v>
      </c>
      <c r="C1" s="1" t="s">
        <v>2</v>
      </c>
      <c r="D1" s="1" t="s">
        <v>1</v>
      </c>
      <c r="E1" s="1" t="s">
        <v>5</v>
      </c>
      <c r="F1" s="1" t="s">
        <v>3</v>
      </c>
      <c r="G1" s="1" t="s">
        <v>4</v>
      </c>
      <c r="H1" s="1" t="s">
        <v>338</v>
      </c>
      <c r="I1" s="1" t="s">
        <v>6</v>
      </c>
      <c r="J1" s="1" t="s">
        <v>7</v>
      </c>
      <c r="K1" s="1" t="s">
        <v>8</v>
      </c>
    </row>
    <row r="2" spans="2:11" x14ac:dyDescent="0.3">
      <c r="B2" t="s">
        <v>35</v>
      </c>
      <c r="C2">
        <v>4</v>
      </c>
      <c r="D2">
        <v>26</v>
      </c>
      <c r="E2">
        <v>2234</v>
      </c>
      <c r="F2">
        <v>121</v>
      </c>
      <c r="G2">
        <v>113</v>
      </c>
      <c r="H2">
        <f t="shared" ref="H2:H65" si="0">IFERROR(G2/E2, "")</f>
        <v>5.0581915846016116E-2</v>
      </c>
      <c r="I2">
        <v>12.5</v>
      </c>
      <c r="J2">
        <v>70</v>
      </c>
      <c r="K2" t="s">
        <v>31</v>
      </c>
    </row>
    <row r="3" spans="2:11" x14ac:dyDescent="0.3">
      <c r="B3" t="s">
        <v>34</v>
      </c>
      <c r="C3">
        <v>4</v>
      </c>
      <c r="D3">
        <v>25</v>
      </c>
      <c r="E3">
        <v>2375</v>
      </c>
      <c r="F3">
        <v>104</v>
      </c>
      <c r="G3">
        <v>95</v>
      </c>
      <c r="H3">
        <f t="shared" si="0"/>
        <v>0.04</v>
      </c>
      <c r="I3">
        <v>17.5</v>
      </c>
      <c r="J3">
        <v>70</v>
      </c>
      <c r="K3" t="s">
        <v>31</v>
      </c>
    </row>
    <row r="4" spans="2:11" x14ac:dyDescent="0.3">
      <c r="B4" t="s">
        <v>33</v>
      </c>
      <c r="C4">
        <v>4</v>
      </c>
      <c r="D4">
        <v>24</v>
      </c>
      <c r="E4">
        <v>2430</v>
      </c>
      <c r="F4">
        <v>107</v>
      </c>
      <c r="G4">
        <v>90</v>
      </c>
      <c r="H4">
        <f t="shared" si="0"/>
        <v>3.7037037037037035E-2</v>
      </c>
      <c r="I4">
        <v>14.5</v>
      </c>
      <c r="J4">
        <v>70</v>
      </c>
      <c r="K4" t="s">
        <v>31</v>
      </c>
    </row>
    <row r="5" spans="2:11" x14ac:dyDescent="0.3">
      <c r="B5" t="s">
        <v>32</v>
      </c>
      <c r="C5">
        <v>4</v>
      </c>
      <c r="D5">
        <v>25</v>
      </c>
      <c r="E5">
        <v>2672</v>
      </c>
      <c r="F5">
        <v>110</v>
      </c>
      <c r="G5">
        <v>87</v>
      </c>
      <c r="H5">
        <f t="shared" si="0"/>
        <v>3.2559880239520958E-2</v>
      </c>
      <c r="I5">
        <v>17.5</v>
      </c>
      <c r="J5">
        <v>70</v>
      </c>
      <c r="K5" t="s">
        <v>31</v>
      </c>
    </row>
    <row r="6" spans="2:11" x14ac:dyDescent="0.3">
      <c r="B6" t="s">
        <v>30</v>
      </c>
      <c r="C6">
        <v>4</v>
      </c>
      <c r="D6">
        <v>26</v>
      </c>
      <c r="E6">
        <v>1835</v>
      </c>
      <c r="F6">
        <v>97</v>
      </c>
      <c r="G6">
        <v>46</v>
      </c>
      <c r="H6">
        <f t="shared" si="0"/>
        <v>2.5068119891008173E-2</v>
      </c>
      <c r="I6">
        <v>20.5</v>
      </c>
      <c r="J6">
        <v>70</v>
      </c>
      <c r="K6" t="s">
        <v>31</v>
      </c>
    </row>
    <row r="7" spans="2:11" x14ac:dyDescent="0.3">
      <c r="B7" t="s">
        <v>56</v>
      </c>
      <c r="C7">
        <v>4</v>
      </c>
      <c r="D7">
        <v>28</v>
      </c>
      <c r="E7">
        <v>2123</v>
      </c>
      <c r="F7">
        <v>116</v>
      </c>
      <c r="G7">
        <v>90</v>
      </c>
      <c r="H7">
        <f t="shared" si="0"/>
        <v>4.239284032030146E-2</v>
      </c>
      <c r="I7">
        <v>14</v>
      </c>
      <c r="J7">
        <v>71</v>
      </c>
      <c r="K7" t="s">
        <v>31</v>
      </c>
    </row>
    <row r="8" spans="2:11" x14ac:dyDescent="0.3">
      <c r="B8" t="s">
        <v>58</v>
      </c>
      <c r="C8">
        <v>4</v>
      </c>
      <c r="D8">
        <v>30</v>
      </c>
      <c r="E8">
        <v>2065</v>
      </c>
      <c r="F8">
        <v>88</v>
      </c>
      <c r="G8">
        <v>76</v>
      </c>
      <c r="H8">
        <f t="shared" si="0"/>
        <v>3.6803874092009685E-2</v>
      </c>
      <c r="I8">
        <v>14.5</v>
      </c>
      <c r="J8">
        <v>71</v>
      </c>
      <c r="K8" t="s">
        <v>31</v>
      </c>
    </row>
    <row r="9" spans="2:11" x14ac:dyDescent="0.3">
      <c r="B9" t="s">
        <v>57</v>
      </c>
      <c r="C9">
        <v>4</v>
      </c>
      <c r="D9">
        <v>30</v>
      </c>
      <c r="E9">
        <v>2074</v>
      </c>
      <c r="F9">
        <v>79</v>
      </c>
      <c r="G9">
        <v>70</v>
      </c>
      <c r="H9">
        <f t="shared" si="0"/>
        <v>3.3751205400192864E-2</v>
      </c>
      <c r="I9">
        <v>19.5</v>
      </c>
      <c r="J9">
        <v>71</v>
      </c>
      <c r="K9" t="s">
        <v>31</v>
      </c>
    </row>
    <row r="10" spans="2:11" x14ac:dyDescent="0.3">
      <c r="B10" t="s">
        <v>61</v>
      </c>
      <c r="C10">
        <v>4</v>
      </c>
      <c r="D10">
        <v>27</v>
      </c>
      <c r="E10">
        <v>1834</v>
      </c>
      <c r="F10">
        <v>97</v>
      </c>
      <c r="G10">
        <v>60</v>
      </c>
      <c r="H10">
        <f t="shared" si="0"/>
        <v>3.271537622682661E-2</v>
      </c>
      <c r="I10">
        <v>19</v>
      </c>
      <c r="J10">
        <v>71</v>
      </c>
      <c r="K10" t="s">
        <v>31</v>
      </c>
    </row>
    <row r="11" spans="2:11" x14ac:dyDescent="0.3">
      <c r="B11" t="s">
        <v>78</v>
      </c>
      <c r="C11">
        <v>4</v>
      </c>
      <c r="D11">
        <v>18</v>
      </c>
      <c r="E11">
        <v>2933</v>
      </c>
      <c r="F11">
        <v>121</v>
      </c>
      <c r="G11">
        <v>112</v>
      </c>
      <c r="H11">
        <f t="shared" si="0"/>
        <v>3.8186157517899763E-2</v>
      </c>
      <c r="I11">
        <v>14.5</v>
      </c>
      <c r="J11">
        <v>72</v>
      </c>
      <c r="K11" t="s">
        <v>31</v>
      </c>
    </row>
    <row r="12" spans="2:11" x14ac:dyDescent="0.3">
      <c r="B12" t="s">
        <v>81</v>
      </c>
      <c r="C12">
        <v>4</v>
      </c>
      <c r="D12">
        <v>26</v>
      </c>
      <c r="E12">
        <v>2189</v>
      </c>
      <c r="F12">
        <v>96</v>
      </c>
      <c r="G12">
        <v>69</v>
      </c>
      <c r="H12">
        <f t="shared" si="0"/>
        <v>3.1521242576518956E-2</v>
      </c>
      <c r="I12">
        <v>18</v>
      </c>
      <c r="J12">
        <v>72</v>
      </c>
      <c r="K12" t="s">
        <v>31</v>
      </c>
    </row>
    <row r="13" spans="2:11" x14ac:dyDescent="0.3">
      <c r="B13" t="s">
        <v>79</v>
      </c>
      <c r="C13">
        <v>4</v>
      </c>
      <c r="D13">
        <v>22</v>
      </c>
      <c r="E13">
        <v>2511</v>
      </c>
      <c r="F13">
        <v>121</v>
      </c>
      <c r="G13">
        <v>76</v>
      </c>
      <c r="H13">
        <f t="shared" si="0"/>
        <v>3.0266825965750695E-2</v>
      </c>
      <c r="I13">
        <v>18</v>
      </c>
      <c r="J13">
        <v>72</v>
      </c>
      <c r="K13" t="s">
        <v>31</v>
      </c>
    </row>
    <row r="14" spans="2:11" x14ac:dyDescent="0.3">
      <c r="B14" t="s">
        <v>80</v>
      </c>
      <c r="C14">
        <v>4</v>
      </c>
      <c r="D14">
        <v>21</v>
      </c>
      <c r="E14">
        <v>2979</v>
      </c>
      <c r="F14">
        <v>120</v>
      </c>
      <c r="G14">
        <v>87</v>
      </c>
      <c r="H14">
        <f t="shared" si="0"/>
        <v>2.920443101711984E-2</v>
      </c>
      <c r="I14">
        <v>19.5</v>
      </c>
      <c r="J14">
        <v>72</v>
      </c>
      <c r="K14" t="s">
        <v>31</v>
      </c>
    </row>
    <row r="15" spans="2:11" x14ac:dyDescent="0.3">
      <c r="B15" t="s">
        <v>65</v>
      </c>
      <c r="C15">
        <v>4</v>
      </c>
      <c r="D15">
        <v>23</v>
      </c>
      <c r="E15">
        <v>2254</v>
      </c>
      <c r="F15">
        <v>97</v>
      </c>
      <c r="G15">
        <v>54</v>
      </c>
      <c r="H15">
        <f t="shared" si="0"/>
        <v>2.3957409050576754E-2</v>
      </c>
      <c r="I15">
        <v>23.5</v>
      </c>
      <c r="J15">
        <v>72</v>
      </c>
      <c r="K15" t="s">
        <v>31</v>
      </c>
    </row>
    <row r="16" spans="2:11" x14ac:dyDescent="0.3">
      <c r="B16" t="s">
        <v>116</v>
      </c>
      <c r="C16">
        <v>4</v>
      </c>
      <c r="D16">
        <v>24</v>
      </c>
      <c r="E16">
        <v>2660</v>
      </c>
      <c r="F16">
        <v>121</v>
      </c>
      <c r="G16">
        <v>110</v>
      </c>
      <c r="H16">
        <f t="shared" si="0"/>
        <v>4.1353383458646614E-2</v>
      </c>
      <c r="I16">
        <v>14</v>
      </c>
      <c r="J16">
        <v>73</v>
      </c>
      <c r="K16" t="s">
        <v>31</v>
      </c>
    </row>
    <row r="17" spans="2:11" x14ac:dyDescent="0.3">
      <c r="B17" t="s">
        <v>108</v>
      </c>
      <c r="C17">
        <v>4</v>
      </c>
      <c r="D17">
        <v>26</v>
      </c>
      <c r="E17">
        <v>2265</v>
      </c>
      <c r="F17">
        <v>98</v>
      </c>
      <c r="G17">
        <v>90</v>
      </c>
      <c r="H17">
        <f t="shared" si="0"/>
        <v>3.9735099337748346E-2</v>
      </c>
      <c r="I17">
        <v>15.5</v>
      </c>
      <c r="J17">
        <v>73</v>
      </c>
      <c r="K17" t="s">
        <v>31</v>
      </c>
    </row>
    <row r="18" spans="2:11" x14ac:dyDescent="0.3">
      <c r="B18" t="s">
        <v>114</v>
      </c>
      <c r="C18">
        <v>4</v>
      </c>
      <c r="D18">
        <v>19</v>
      </c>
      <c r="E18">
        <v>2868</v>
      </c>
      <c r="F18">
        <v>121</v>
      </c>
      <c r="G18">
        <v>112</v>
      </c>
      <c r="H18">
        <f t="shared" si="0"/>
        <v>3.9051603905160388E-2</v>
      </c>
      <c r="I18">
        <v>15.5</v>
      </c>
      <c r="J18">
        <v>73</v>
      </c>
      <c r="K18" t="s">
        <v>31</v>
      </c>
    </row>
    <row r="19" spans="2:11" x14ac:dyDescent="0.3">
      <c r="B19" t="s">
        <v>113</v>
      </c>
      <c r="C19">
        <v>4</v>
      </c>
      <c r="D19">
        <v>20</v>
      </c>
      <c r="E19">
        <v>2582</v>
      </c>
      <c r="F19">
        <v>114</v>
      </c>
      <c r="G19">
        <v>91</v>
      </c>
      <c r="H19">
        <f t="shared" si="0"/>
        <v>3.5243996901626648E-2</v>
      </c>
      <c r="I19">
        <v>14</v>
      </c>
      <c r="J19">
        <v>73</v>
      </c>
      <c r="K19" t="s">
        <v>31</v>
      </c>
    </row>
    <row r="20" spans="2:11" x14ac:dyDescent="0.3">
      <c r="B20" t="s">
        <v>112</v>
      </c>
      <c r="C20">
        <v>4</v>
      </c>
      <c r="D20">
        <v>24</v>
      </c>
      <c r="E20">
        <v>2158</v>
      </c>
      <c r="F20">
        <v>116</v>
      </c>
      <c r="G20">
        <v>75</v>
      </c>
      <c r="H20">
        <f t="shared" si="0"/>
        <v>3.4754402224281743E-2</v>
      </c>
      <c r="I20">
        <v>15.5</v>
      </c>
      <c r="J20">
        <v>73</v>
      </c>
      <c r="K20" t="s">
        <v>31</v>
      </c>
    </row>
    <row r="21" spans="2:11" x14ac:dyDescent="0.3">
      <c r="B21" t="s">
        <v>111</v>
      </c>
      <c r="C21">
        <v>4</v>
      </c>
      <c r="D21">
        <v>29</v>
      </c>
      <c r="E21">
        <v>1867</v>
      </c>
      <c r="F21">
        <v>68</v>
      </c>
      <c r="G21">
        <v>49</v>
      </c>
      <c r="H21">
        <f t="shared" si="0"/>
        <v>2.6245313336904125E-2</v>
      </c>
      <c r="I21">
        <v>19.5</v>
      </c>
      <c r="J21">
        <v>73</v>
      </c>
      <c r="K21" t="s">
        <v>31</v>
      </c>
    </row>
    <row r="22" spans="2:11" x14ac:dyDescent="0.3">
      <c r="B22" t="s">
        <v>100</v>
      </c>
      <c r="C22">
        <v>4</v>
      </c>
      <c r="D22">
        <v>26</v>
      </c>
      <c r="E22">
        <v>1950</v>
      </c>
      <c r="F22">
        <v>97</v>
      </c>
      <c r="G22">
        <v>46</v>
      </c>
      <c r="H22">
        <f t="shared" si="0"/>
        <v>2.3589743589743591E-2</v>
      </c>
      <c r="I22">
        <v>21</v>
      </c>
      <c r="J22">
        <v>73</v>
      </c>
      <c r="K22" t="s">
        <v>31</v>
      </c>
    </row>
    <row r="23" spans="2:11" x14ac:dyDescent="0.3">
      <c r="B23" t="s">
        <v>125</v>
      </c>
      <c r="C23">
        <v>4</v>
      </c>
      <c r="D23">
        <v>29</v>
      </c>
      <c r="E23">
        <v>2219</v>
      </c>
      <c r="F23">
        <v>98</v>
      </c>
      <c r="G23">
        <v>83</v>
      </c>
      <c r="H23">
        <f t="shared" si="0"/>
        <v>3.740423614240649E-2</v>
      </c>
      <c r="I23">
        <v>16.5</v>
      </c>
      <c r="J23">
        <v>74</v>
      </c>
      <c r="K23" t="s">
        <v>31</v>
      </c>
    </row>
    <row r="24" spans="2:11" x14ac:dyDescent="0.3">
      <c r="B24" t="s">
        <v>111</v>
      </c>
      <c r="C24">
        <v>4</v>
      </c>
      <c r="D24">
        <v>24</v>
      </c>
      <c r="E24">
        <v>2108</v>
      </c>
      <c r="F24">
        <v>90</v>
      </c>
      <c r="G24">
        <v>75</v>
      </c>
      <c r="H24">
        <f t="shared" si="0"/>
        <v>3.5578747628083489E-2</v>
      </c>
      <c r="I24">
        <v>15.5</v>
      </c>
      <c r="J24">
        <v>74</v>
      </c>
      <c r="K24" t="s">
        <v>31</v>
      </c>
    </row>
    <row r="25" spans="2:11" x14ac:dyDescent="0.3">
      <c r="B25" t="s">
        <v>126</v>
      </c>
      <c r="C25">
        <v>4</v>
      </c>
      <c r="D25">
        <v>26</v>
      </c>
      <c r="E25">
        <v>1963</v>
      </c>
      <c r="F25">
        <v>79</v>
      </c>
      <c r="G25">
        <v>67</v>
      </c>
      <c r="H25">
        <f t="shared" si="0"/>
        <v>3.4131431482424861E-2</v>
      </c>
      <c r="I25">
        <v>15.5</v>
      </c>
      <c r="J25">
        <v>74</v>
      </c>
      <c r="K25" t="s">
        <v>31</v>
      </c>
    </row>
    <row r="26" spans="2:11" x14ac:dyDescent="0.3">
      <c r="B26" t="s">
        <v>112</v>
      </c>
      <c r="C26">
        <v>4</v>
      </c>
      <c r="D26">
        <v>26</v>
      </c>
      <c r="E26">
        <v>2300</v>
      </c>
      <c r="F26">
        <v>97</v>
      </c>
      <c r="G26">
        <v>78</v>
      </c>
      <c r="H26">
        <f t="shared" si="0"/>
        <v>3.3913043478260872E-2</v>
      </c>
      <c r="I26">
        <v>14.5</v>
      </c>
      <c r="J26">
        <v>74</v>
      </c>
      <c r="K26" t="s">
        <v>31</v>
      </c>
    </row>
    <row r="27" spans="2:11" x14ac:dyDescent="0.3">
      <c r="B27" t="s">
        <v>132</v>
      </c>
      <c r="C27">
        <v>4</v>
      </c>
      <c r="D27">
        <v>31</v>
      </c>
      <c r="E27">
        <v>2000</v>
      </c>
      <c r="F27">
        <v>79</v>
      </c>
      <c r="G27">
        <v>67</v>
      </c>
      <c r="H27">
        <f t="shared" si="0"/>
        <v>3.3500000000000002E-2</v>
      </c>
      <c r="I27">
        <v>16</v>
      </c>
      <c r="J27">
        <v>74</v>
      </c>
      <c r="K27" t="s">
        <v>31</v>
      </c>
    </row>
    <row r="28" spans="2:11" x14ac:dyDescent="0.3">
      <c r="B28" t="s">
        <v>129</v>
      </c>
      <c r="C28">
        <v>4</v>
      </c>
      <c r="D28">
        <v>26</v>
      </c>
      <c r="E28">
        <v>2246</v>
      </c>
      <c r="F28">
        <v>116</v>
      </c>
      <c r="G28">
        <v>75</v>
      </c>
      <c r="H28">
        <f t="shared" si="0"/>
        <v>3.3392698130008905E-2</v>
      </c>
      <c r="I28">
        <v>14</v>
      </c>
      <c r="J28">
        <v>74</v>
      </c>
      <c r="K28" t="s">
        <v>31</v>
      </c>
    </row>
    <row r="29" spans="2:11" x14ac:dyDescent="0.3">
      <c r="B29" t="s">
        <v>116</v>
      </c>
      <c r="C29">
        <v>4</v>
      </c>
      <c r="D29">
        <v>25</v>
      </c>
      <c r="E29">
        <v>2671</v>
      </c>
      <c r="F29">
        <v>121</v>
      </c>
      <c r="G29">
        <v>115</v>
      </c>
      <c r="H29">
        <f t="shared" si="0"/>
        <v>4.3055035567203297E-2</v>
      </c>
      <c r="I29">
        <v>13.5</v>
      </c>
      <c r="J29">
        <v>75</v>
      </c>
      <c r="K29" t="s">
        <v>31</v>
      </c>
    </row>
    <row r="30" spans="2:11" x14ac:dyDescent="0.3">
      <c r="B30" t="s">
        <v>145</v>
      </c>
      <c r="C30">
        <v>4</v>
      </c>
      <c r="D30">
        <v>29</v>
      </c>
      <c r="E30">
        <v>1937</v>
      </c>
      <c r="F30">
        <v>90</v>
      </c>
      <c r="G30">
        <v>70</v>
      </c>
      <c r="H30">
        <f t="shared" si="0"/>
        <v>3.6138358286009295E-2</v>
      </c>
      <c r="I30">
        <v>14</v>
      </c>
      <c r="J30">
        <v>75</v>
      </c>
      <c r="K30" t="s">
        <v>31</v>
      </c>
    </row>
    <row r="31" spans="2:11" x14ac:dyDescent="0.3">
      <c r="B31" t="s">
        <v>113</v>
      </c>
      <c r="C31">
        <v>4</v>
      </c>
      <c r="D31">
        <v>23</v>
      </c>
      <c r="E31">
        <v>2694</v>
      </c>
      <c r="F31">
        <v>115</v>
      </c>
      <c r="G31">
        <v>95</v>
      </c>
      <c r="H31">
        <f t="shared" si="0"/>
        <v>3.526354862657758E-2</v>
      </c>
      <c r="I31">
        <v>15</v>
      </c>
      <c r="J31">
        <v>75</v>
      </c>
      <c r="K31" t="s">
        <v>31</v>
      </c>
    </row>
    <row r="32" spans="2:11" x14ac:dyDescent="0.3">
      <c r="B32" t="s">
        <v>147</v>
      </c>
      <c r="C32">
        <v>4</v>
      </c>
      <c r="D32">
        <v>22</v>
      </c>
      <c r="E32">
        <v>2945</v>
      </c>
      <c r="F32">
        <v>121</v>
      </c>
      <c r="G32">
        <v>98</v>
      </c>
      <c r="H32">
        <f t="shared" si="0"/>
        <v>3.3276740237691005E-2</v>
      </c>
      <c r="I32">
        <v>14.5</v>
      </c>
      <c r="J32">
        <v>75</v>
      </c>
      <c r="K32" t="s">
        <v>31</v>
      </c>
    </row>
    <row r="33" spans="2:11" x14ac:dyDescent="0.3">
      <c r="B33" t="s">
        <v>126</v>
      </c>
      <c r="C33">
        <v>4</v>
      </c>
      <c r="D33">
        <v>25</v>
      </c>
      <c r="E33">
        <v>2223</v>
      </c>
      <c r="F33">
        <v>90</v>
      </c>
      <c r="G33">
        <v>71</v>
      </c>
      <c r="H33">
        <f t="shared" si="0"/>
        <v>3.1938821412505626E-2</v>
      </c>
      <c r="I33">
        <v>16.5</v>
      </c>
      <c r="J33">
        <v>75</v>
      </c>
      <c r="K33" t="s">
        <v>31</v>
      </c>
    </row>
    <row r="34" spans="2:11" x14ac:dyDescent="0.3">
      <c r="B34" t="s">
        <v>32</v>
      </c>
      <c r="C34">
        <v>4</v>
      </c>
      <c r="D34">
        <v>23</v>
      </c>
      <c r="E34">
        <v>2957</v>
      </c>
      <c r="F34">
        <v>120</v>
      </c>
      <c r="G34">
        <v>88</v>
      </c>
      <c r="H34">
        <f t="shared" si="0"/>
        <v>2.9759891782211702E-2</v>
      </c>
      <c r="I34">
        <v>17</v>
      </c>
      <c r="J34">
        <v>75</v>
      </c>
      <c r="K34" t="s">
        <v>31</v>
      </c>
    </row>
    <row r="35" spans="2:11" x14ac:dyDescent="0.3">
      <c r="B35" t="s">
        <v>145</v>
      </c>
      <c r="C35">
        <v>4</v>
      </c>
      <c r="D35">
        <v>29.5</v>
      </c>
      <c r="E35">
        <v>1825</v>
      </c>
      <c r="F35">
        <v>97</v>
      </c>
      <c r="G35">
        <v>71</v>
      </c>
      <c r="H35">
        <f t="shared" si="0"/>
        <v>3.8904109589041093E-2</v>
      </c>
      <c r="I35">
        <v>12.2</v>
      </c>
      <c r="J35">
        <v>76</v>
      </c>
      <c r="K35" t="s">
        <v>31</v>
      </c>
    </row>
    <row r="36" spans="2:11" x14ac:dyDescent="0.3">
      <c r="B36" t="s">
        <v>151</v>
      </c>
      <c r="C36">
        <v>4</v>
      </c>
      <c r="D36">
        <v>27</v>
      </c>
      <c r="E36">
        <v>2202</v>
      </c>
      <c r="F36">
        <v>101</v>
      </c>
      <c r="G36">
        <v>83</v>
      </c>
      <c r="H36">
        <f t="shared" si="0"/>
        <v>3.7693006357856496E-2</v>
      </c>
      <c r="I36">
        <v>15.3</v>
      </c>
      <c r="J36">
        <v>76</v>
      </c>
      <c r="K36" t="s">
        <v>31</v>
      </c>
    </row>
    <row r="37" spans="2:11" x14ac:dyDescent="0.3">
      <c r="B37" t="s">
        <v>56</v>
      </c>
      <c r="C37">
        <v>4</v>
      </c>
      <c r="D37">
        <v>25</v>
      </c>
      <c r="E37">
        <v>2220</v>
      </c>
      <c r="F37">
        <v>116</v>
      </c>
      <c r="G37">
        <v>81</v>
      </c>
      <c r="H37">
        <f t="shared" si="0"/>
        <v>3.6486486486486489E-2</v>
      </c>
      <c r="I37">
        <v>16.899999999999999</v>
      </c>
      <c r="J37">
        <v>76</v>
      </c>
      <c r="K37" t="s">
        <v>31</v>
      </c>
    </row>
    <row r="38" spans="2:11" x14ac:dyDescent="0.3">
      <c r="B38" t="s">
        <v>155</v>
      </c>
      <c r="C38">
        <v>4</v>
      </c>
      <c r="D38">
        <v>29</v>
      </c>
      <c r="E38">
        <v>1937</v>
      </c>
      <c r="F38">
        <v>90</v>
      </c>
      <c r="G38">
        <v>70</v>
      </c>
      <c r="H38">
        <f t="shared" si="0"/>
        <v>3.6138358286009295E-2</v>
      </c>
      <c r="I38">
        <v>14.2</v>
      </c>
      <c r="J38">
        <v>76</v>
      </c>
      <c r="K38" t="s">
        <v>31</v>
      </c>
    </row>
    <row r="39" spans="2:11" x14ac:dyDescent="0.3">
      <c r="B39" t="s">
        <v>149</v>
      </c>
      <c r="C39">
        <v>4</v>
      </c>
      <c r="D39">
        <v>28</v>
      </c>
      <c r="E39">
        <v>2464</v>
      </c>
      <c r="F39">
        <v>107</v>
      </c>
      <c r="G39">
        <v>86</v>
      </c>
      <c r="H39">
        <f t="shared" si="0"/>
        <v>3.49025974025974E-2</v>
      </c>
      <c r="I39">
        <v>15.5</v>
      </c>
      <c r="J39">
        <v>76</v>
      </c>
      <c r="K39" t="s">
        <v>31</v>
      </c>
    </row>
    <row r="40" spans="2:11" x14ac:dyDescent="0.3">
      <c r="B40" t="s">
        <v>161</v>
      </c>
      <c r="C40">
        <v>4</v>
      </c>
      <c r="D40">
        <v>20</v>
      </c>
      <c r="E40">
        <v>3150</v>
      </c>
      <c r="F40">
        <v>130</v>
      </c>
      <c r="G40">
        <v>102</v>
      </c>
      <c r="H40">
        <f t="shared" si="0"/>
        <v>3.2380952380952378E-2</v>
      </c>
      <c r="I40">
        <v>15.7</v>
      </c>
      <c r="J40">
        <v>76</v>
      </c>
      <c r="K40" t="s">
        <v>31</v>
      </c>
    </row>
    <row r="41" spans="2:11" x14ac:dyDescent="0.3">
      <c r="B41" t="s">
        <v>32</v>
      </c>
      <c r="C41">
        <v>4</v>
      </c>
      <c r="D41">
        <v>19</v>
      </c>
      <c r="E41">
        <v>3270</v>
      </c>
      <c r="F41">
        <v>120</v>
      </c>
      <c r="G41">
        <v>88</v>
      </c>
      <c r="H41">
        <f t="shared" si="0"/>
        <v>2.6911314984709479E-2</v>
      </c>
      <c r="I41">
        <v>21.9</v>
      </c>
      <c r="J41">
        <v>76</v>
      </c>
      <c r="K41" t="s">
        <v>31</v>
      </c>
    </row>
    <row r="42" spans="2:11" x14ac:dyDescent="0.3">
      <c r="B42" t="s">
        <v>163</v>
      </c>
      <c r="C42">
        <v>6</v>
      </c>
      <c r="D42">
        <v>16.5</v>
      </c>
      <c r="E42">
        <v>3820</v>
      </c>
      <c r="F42">
        <v>168</v>
      </c>
      <c r="G42">
        <v>120</v>
      </c>
      <c r="H42">
        <f t="shared" si="0"/>
        <v>3.1413612565445025E-2</v>
      </c>
      <c r="I42">
        <v>16.7</v>
      </c>
      <c r="J42">
        <v>76</v>
      </c>
      <c r="K42" t="s">
        <v>31</v>
      </c>
    </row>
    <row r="43" spans="2:11" x14ac:dyDescent="0.3">
      <c r="B43" t="s">
        <v>191</v>
      </c>
      <c r="C43">
        <v>4</v>
      </c>
      <c r="D43">
        <v>21.5</v>
      </c>
      <c r="E43">
        <v>2600</v>
      </c>
      <c r="F43">
        <v>121</v>
      </c>
      <c r="G43">
        <v>110</v>
      </c>
      <c r="H43">
        <f t="shared" si="0"/>
        <v>4.230769230769231E-2</v>
      </c>
      <c r="I43">
        <v>12.8</v>
      </c>
      <c r="J43">
        <v>77</v>
      </c>
      <c r="K43" t="s">
        <v>31</v>
      </c>
    </row>
    <row r="44" spans="2:11" x14ac:dyDescent="0.3">
      <c r="B44" t="s">
        <v>184</v>
      </c>
      <c r="C44">
        <v>4</v>
      </c>
      <c r="D44">
        <v>29</v>
      </c>
      <c r="E44">
        <v>1940</v>
      </c>
      <c r="F44">
        <v>97</v>
      </c>
      <c r="G44">
        <v>78</v>
      </c>
      <c r="H44">
        <f t="shared" si="0"/>
        <v>4.0206185567010312E-2</v>
      </c>
      <c r="I44">
        <v>14.5</v>
      </c>
      <c r="J44">
        <v>77</v>
      </c>
      <c r="K44" t="s">
        <v>31</v>
      </c>
    </row>
    <row r="45" spans="2:11" x14ac:dyDescent="0.3">
      <c r="B45" t="s">
        <v>126</v>
      </c>
      <c r="C45">
        <v>4</v>
      </c>
      <c r="D45">
        <v>30.5</v>
      </c>
      <c r="E45">
        <v>2190</v>
      </c>
      <c r="F45">
        <v>97</v>
      </c>
      <c r="G45">
        <v>78</v>
      </c>
      <c r="H45">
        <f t="shared" si="0"/>
        <v>3.5616438356164383E-2</v>
      </c>
      <c r="I45">
        <v>14.1</v>
      </c>
      <c r="J45">
        <v>77</v>
      </c>
      <c r="K45" t="s">
        <v>31</v>
      </c>
    </row>
    <row r="46" spans="2:11" x14ac:dyDescent="0.3">
      <c r="B46" t="s">
        <v>170</v>
      </c>
      <c r="C46">
        <v>4</v>
      </c>
      <c r="D46">
        <v>36</v>
      </c>
      <c r="E46">
        <v>1825</v>
      </c>
      <c r="F46">
        <v>79</v>
      </c>
      <c r="G46">
        <v>58</v>
      </c>
      <c r="H46">
        <f t="shared" si="0"/>
        <v>3.1780821917808219E-2</v>
      </c>
      <c r="I46">
        <v>18.600000000000001</v>
      </c>
      <c r="J46">
        <v>77</v>
      </c>
      <c r="K46" t="s">
        <v>31</v>
      </c>
    </row>
    <row r="47" spans="2:11" x14ac:dyDescent="0.3">
      <c r="B47" t="s">
        <v>220</v>
      </c>
      <c r="C47">
        <v>4</v>
      </c>
      <c r="D47">
        <v>21.6</v>
      </c>
      <c r="E47">
        <v>2795</v>
      </c>
      <c r="F47">
        <v>121</v>
      </c>
      <c r="G47">
        <v>115</v>
      </c>
      <c r="H47">
        <f t="shared" si="0"/>
        <v>4.1144901610017888E-2</v>
      </c>
      <c r="I47">
        <v>15.7</v>
      </c>
      <c r="J47">
        <v>78</v>
      </c>
      <c r="K47" t="s">
        <v>31</v>
      </c>
    </row>
    <row r="48" spans="2:11" x14ac:dyDescent="0.3">
      <c r="B48" t="s">
        <v>222</v>
      </c>
      <c r="C48">
        <v>4</v>
      </c>
      <c r="D48">
        <v>31.5</v>
      </c>
      <c r="E48">
        <v>1990</v>
      </c>
      <c r="F48">
        <v>89</v>
      </c>
      <c r="G48">
        <v>71</v>
      </c>
      <c r="H48">
        <f t="shared" si="0"/>
        <v>3.5678391959798994E-2</v>
      </c>
      <c r="I48">
        <v>14.9</v>
      </c>
      <c r="J48">
        <v>78</v>
      </c>
      <c r="K48" t="s">
        <v>31</v>
      </c>
    </row>
    <row r="49" spans="2:11" x14ac:dyDescent="0.3">
      <c r="B49" t="s">
        <v>193</v>
      </c>
      <c r="C49">
        <v>4</v>
      </c>
      <c r="D49">
        <v>43.1</v>
      </c>
      <c r="E49">
        <v>1985</v>
      </c>
      <c r="F49">
        <v>90</v>
      </c>
      <c r="G49">
        <v>48</v>
      </c>
      <c r="H49">
        <f t="shared" si="0"/>
        <v>2.4181360201511334E-2</v>
      </c>
      <c r="I49">
        <v>21.5</v>
      </c>
      <c r="J49">
        <v>78</v>
      </c>
      <c r="K49" t="s">
        <v>31</v>
      </c>
    </row>
    <row r="50" spans="2:11" x14ac:dyDescent="0.3">
      <c r="B50" t="s">
        <v>218</v>
      </c>
      <c r="C50">
        <v>5</v>
      </c>
      <c r="D50">
        <v>20.3</v>
      </c>
      <c r="E50">
        <v>2830</v>
      </c>
      <c r="F50">
        <v>131</v>
      </c>
      <c r="G50">
        <v>103</v>
      </c>
      <c r="H50">
        <f t="shared" si="0"/>
        <v>3.6395759717314485E-2</v>
      </c>
      <c r="I50">
        <v>15.9</v>
      </c>
      <c r="J50">
        <v>78</v>
      </c>
      <c r="K50" t="s">
        <v>31</v>
      </c>
    </row>
    <row r="51" spans="2:11" x14ac:dyDescent="0.3">
      <c r="B51" t="s">
        <v>219</v>
      </c>
      <c r="C51">
        <v>6</v>
      </c>
      <c r="D51">
        <v>17</v>
      </c>
      <c r="E51">
        <v>3140</v>
      </c>
      <c r="F51">
        <v>163</v>
      </c>
      <c r="G51">
        <v>125</v>
      </c>
      <c r="H51">
        <f t="shared" si="0"/>
        <v>3.9808917197452227E-2</v>
      </c>
      <c r="I51">
        <v>13.6</v>
      </c>
      <c r="J51">
        <v>78</v>
      </c>
      <c r="K51" t="s">
        <v>31</v>
      </c>
    </row>
    <row r="52" spans="2:11" x14ac:dyDescent="0.3">
      <c r="B52" t="s">
        <v>221</v>
      </c>
      <c r="C52">
        <v>6</v>
      </c>
      <c r="D52">
        <v>16.2</v>
      </c>
      <c r="E52">
        <v>3410</v>
      </c>
      <c r="F52">
        <v>163</v>
      </c>
      <c r="G52">
        <v>133</v>
      </c>
      <c r="H52">
        <f t="shared" si="0"/>
        <v>3.9002932551319647E-2</v>
      </c>
      <c r="I52">
        <v>15.8</v>
      </c>
      <c r="J52">
        <v>78</v>
      </c>
      <c r="K52" t="s">
        <v>31</v>
      </c>
    </row>
    <row r="53" spans="2:11" x14ac:dyDescent="0.3">
      <c r="B53" t="s">
        <v>234</v>
      </c>
      <c r="C53">
        <v>4</v>
      </c>
      <c r="D53">
        <v>31.9</v>
      </c>
      <c r="E53">
        <v>1925</v>
      </c>
      <c r="F53">
        <v>89</v>
      </c>
      <c r="G53">
        <v>71</v>
      </c>
      <c r="H53">
        <f t="shared" si="0"/>
        <v>3.6883116883116886E-2</v>
      </c>
      <c r="I53">
        <v>14</v>
      </c>
      <c r="J53">
        <v>79</v>
      </c>
      <c r="K53" t="s">
        <v>31</v>
      </c>
    </row>
    <row r="54" spans="2:11" x14ac:dyDescent="0.3">
      <c r="B54" t="s">
        <v>243</v>
      </c>
      <c r="C54">
        <v>4</v>
      </c>
      <c r="D54">
        <v>37.299999999999997</v>
      </c>
      <c r="E54">
        <v>2130</v>
      </c>
      <c r="F54">
        <v>91</v>
      </c>
      <c r="G54">
        <v>69</v>
      </c>
      <c r="H54">
        <f t="shared" si="0"/>
        <v>3.2394366197183097E-2</v>
      </c>
      <c r="I54">
        <v>14.7</v>
      </c>
      <c r="J54">
        <v>79</v>
      </c>
      <c r="K54" t="s">
        <v>31</v>
      </c>
    </row>
    <row r="55" spans="2:11" x14ac:dyDescent="0.3">
      <c r="B55" t="s">
        <v>32</v>
      </c>
      <c r="C55">
        <v>4</v>
      </c>
      <c r="D55">
        <v>27.2</v>
      </c>
      <c r="E55">
        <v>3190</v>
      </c>
      <c r="F55">
        <v>141</v>
      </c>
      <c r="G55">
        <v>71</v>
      </c>
      <c r="H55">
        <f t="shared" si="0"/>
        <v>2.2257053291536051E-2</v>
      </c>
      <c r="I55">
        <v>24.8</v>
      </c>
      <c r="J55">
        <v>79</v>
      </c>
      <c r="K55" t="s">
        <v>31</v>
      </c>
    </row>
    <row r="56" spans="2:11" x14ac:dyDescent="0.3">
      <c r="B56" t="s">
        <v>238</v>
      </c>
      <c r="C56">
        <v>5</v>
      </c>
      <c r="D56">
        <v>25.4</v>
      </c>
      <c r="E56">
        <v>3530</v>
      </c>
      <c r="F56">
        <v>183</v>
      </c>
      <c r="G56">
        <v>77</v>
      </c>
      <c r="H56">
        <f t="shared" si="0"/>
        <v>2.1813031161473088E-2</v>
      </c>
      <c r="I56">
        <v>20.100000000000001</v>
      </c>
      <c r="J56">
        <v>79</v>
      </c>
      <c r="K56" t="s">
        <v>31</v>
      </c>
    </row>
    <row r="57" spans="2:11" x14ac:dyDescent="0.3">
      <c r="B57" t="s">
        <v>251</v>
      </c>
      <c r="C57">
        <v>4</v>
      </c>
      <c r="D57">
        <v>34.299999999999997</v>
      </c>
      <c r="E57">
        <v>2188</v>
      </c>
      <c r="F57">
        <v>97</v>
      </c>
      <c r="G57">
        <v>78</v>
      </c>
      <c r="H57">
        <f t="shared" si="0"/>
        <v>3.5648994515539302E-2</v>
      </c>
      <c r="I57">
        <v>15.8</v>
      </c>
      <c r="J57">
        <v>80</v>
      </c>
      <c r="K57" t="s">
        <v>31</v>
      </c>
    </row>
    <row r="58" spans="2:11" x14ac:dyDescent="0.3">
      <c r="B58" t="s">
        <v>155</v>
      </c>
      <c r="C58">
        <v>4</v>
      </c>
      <c r="D58">
        <v>41.5</v>
      </c>
      <c r="E58">
        <v>2144</v>
      </c>
      <c r="F58">
        <v>98</v>
      </c>
      <c r="G58">
        <v>76</v>
      </c>
      <c r="H58">
        <f t="shared" si="0"/>
        <v>3.5447761194029849E-2</v>
      </c>
      <c r="I58">
        <v>14.7</v>
      </c>
      <c r="J58">
        <v>80</v>
      </c>
      <c r="K58" t="s">
        <v>31</v>
      </c>
    </row>
    <row r="59" spans="2:11" x14ac:dyDescent="0.3">
      <c r="B59" t="s">
        <v>265</v>
      </c>
      <c r="C59">
        <v>4</v>
      </c>
      <c r="D59">
        <v>35</v>
      </c>
      <c r="E59">
        <v>2500</v>
      </c>
      <c r="F59">
        <v>122</v>
      </c>
      <c r="G59">
        <v>88</v>
      </c>
      <c r="H59">
        <f t="shared" si="0"/>
        <v>3.5200000000000002E-2</v>
      </c>
      <c r="I59">
        <v>15.1</v>
      </c>
      <c r="J59">
        <v>80</v>
      </c>
      <c r="K59" t="s">
        <v>31</v>
      </c>
    </row>
    <row r="60" spans="2:11" x14ac:dyDescent="0.3">
      <c r="B60" t="s">
        <v>262</v>
      </c>
      <c r="C60">
        <v>4</v>
      </c>
      <c r="D60">
        <v>29.8</v>
      </c>
      <c r="E60">
        <v>1845</v>
      </c>
      <c r="F60">
        <v>89</v>
      </c>
      <c r="G60">
        <v>62</v>
      </c>
      <c r="H60">
        <f t="shared" si="0"/>
        <v>3.3604336043360432E-2</v>
      </c>
      <c r="I60">
        <v>15.3</v>
      </c>
      <c r="J60">
        <v>80</v>
      </c>
      <c r="K60" t="s">
        <v>31</v>
      </c>
    </row>
    <row r="61" spans="2:11" x14ac:dyDescent="0.3">
      <c r="B61" t="s">
        <v>256</v>
      </c>
      <c r="C61">
        <v>4</v>
      </c>
      <c r="D61">
        <v>44.3</v>
      </c>
      <c r="E61">
        <v>2085</v>
      </c>
      <c r="F61">
        <v>90</v>
      </c>
      <c r="G61">
        <v>48</v>
      </c>
      <c r="H61">
        <f t="shared" si="0"/>
        <v>2.302158273381295E-2</v>
      </c>
      <c r="I61">
        <v>21.7</v>
      </c>
      <c r="J61">
        <v>80</v>
      </c>
      <c r="K61" t="s">
        <v>31</v>
      </c>
    </row>
    <row r="62" spans="2:11" x14ac:dyDescent="0.3">
      <c r="B62" t="s">
        <v>259</v>
      </c>
      <c r="C62">
        <v>4</v>
      </c>
      <c r="D62">
        <v>30</v>
      </c>
      <c r="E62">
        <v>3250</v>
      </c>
      <c r="F62">
        <v>146</v>
      </c>
      <c r="G62">
        <v>67</v>
      </c>
      <c r="H62">
        <f t="shared" si="0"/>
        <v>2.0615384615384615E-2</v>
      </c>
      <c r="I62">
        <v>21.8</v>
      </c>
      <c r="J62">
        <v>80</v>
      </c>
      <c r="K62" t="s">
        <v>31</v>
      </c>
    </row>
    <row r="63" spans="2:11" x14ac:dyDescent="0.3">
      <c r="B63" t="s">
        <v>257</v>
      </c>
      <c r="C63">
        <v>4</v>
      </c>
      <c r="D63">
        <v>43.4</v>
      </c>
      <c r="E63">
        <v>2335</v>
      </c>
      <c r="F63">
        <v>90</v>
      </c>
      <c r="G63">
        <v>48</v>
      </c>
      <c r="H63">
        <f t="shared" si="0"/>
        <v>2.0556745182012847E-2</v>
      </c>
      <c r="I63">
        <v>23.7</v>
      </c>
      <c r="J63">
        <v>80</v>
      </c>
      <c r="K63" t="s">
        <v>31</v>
      </c>
    </row>
    <row r="64" spans="2:11" x14ac:dyDescent="0.3">
      <c r="B64" t="s">
        <v>261</v>
      </c>
      <c r="C64">
        <v>4</v>
      </c>
      <c r="D64">
        <v>40.9</v>
      </c>
      <c r="E64">
        <v>1835</v>
      </c>
      <c r="F64">
        <v>85</v>
      </c>
      <c r="H64">
        <f t="shared" si="0"/>
        <v>0</v>
      </c>
      <c r="I64">
        <v>17.3</v>
      </c>
      <c r="J64">
        <v>80</v>
      </c>
      <c r="K64" t="s">
        <v>31</v>
      </c>
    </row>
    <row r="65" spans="2:11" x14ac:dyDescent="0.3">
      <c r="B65" t="s">
        <v>258</v>
      </c>
      <c r="C65">
        <v>5</v>
      </c>
      <c r="D65">
        <v>36.4</v>
      </c>
      <c r="E65">
        <v>2950</v>
      </c>
      <c r="F65">
        <v>121</v>
      </c>
      <c r="G65">
        <v>67</v>
      </c>
      <c r="H65">
        <f t="shared" si="0"/>
        <v>2.271186440677966E-2</v>
      </c>
      <c r="I65">
        <v>19.899999999999999</v>
      </c>
      <c r="J65">
        <v>80</v>
      </c>
      <c r="K65" t="s">
        <v>31</v>
      </c>
    </row>
    <row r="66" spans="2:11" x14ac:dyDescent="0.3">
      <c r="B66" t="s">
        <v>279</v>
      </c>
      <c r="C66">
        <v>4</v>
      </c>
      <c r="D66">
        <v>33</v>
      </c>
      <c r="E66">
        <v>2190</v>
      </c>
      <c r="F66">
        <v>105</v>
      </c>
      <c r="G66">
        <v>74</v>
      </c>
      <c r="H66">
        <f t="shared" ref="H66:H129" si="1">IFERROR(G66/E66, "")</f>
        <v>3.3789954337899546E-2</v>
      </c>
      <c r="I66">
        <v>14.2</v>
      </c>
      <c r="J66">
        <v>81</v>
      </c>
      <c r="K66" t="s">
        <v>31</v>
      </c>
    </row>
    <row r="67" spans="2:11" x14ac:dyDescent="0.3">
      <c r="B67" t="s">
        <v>283</v>
      </c>
      <c r="C67">
        <v>4</v>
      </c>
      <c r="D67">
        <v>28.1</v>
      </c>
      <c r="E67">
        <v>3230</v>
      </c>
      <c r="F67">
        <v>141</v>
      </c>
      <c r="G67">
        <v>80</v>
      </c>
      <c r="H67">
        <f t="shared" si="1"/>
        <v>2.4767801857585141E-2</v>
      </c>
      <c r="I67">
        <v>20.399999999999999</v>
      </c>
      <c r="J67">
        <v>81</v>
      </c>
      <c r="K67" t="s">
        <v>31</v>
      </c>
    </row>
    <row r="68" spans="2:11" x14ac:dyDescent="0.3">
      <c r="B68" t="s">
        <v>280</v>
      </c>
      <c r="C68">
        <v>4</v>
      </c>
      <c r="D68">
        <v>34.5</v>
      </c>
      <c r="E68">
        <v>2320</v>
      </c>
      <c r="F68">
        <v>100</v>
      </c>
      <c r="H68">
        <f t="shared" si="1"/>
        <v>0</v>
      </c>
      <c r="I68">
        <v>15.8</v>
      </c>
      <c r="J68">
        <v>81</v>
      </c>
      <c r="K68" t="s">
        <v>31</v>
      </c>
    </row>
    <row r="69" spans="2:11" x14ac:dyDescent="0.3">
      <c r="B69" t="s">
        <v>284</v>
      </c>
      <c r="C69">
        <v>6</v>
      </c>
      <c r="D69">
        <v>30.7</v>
      </c>
      <c r="E69">
        <v>3160</v>
      </c>
      <c r="F69">
        <v>145</v>
      </c>
      <c r="G69">
        <v>76</v>
      </c>
      <c r="H69">
        <f t="shared" si="1"/>
        <v>2.4050632911392405E-2</v>
      </c>
      <c r="I69">
        <v>19.600000000000001</v>
      </c>
      <c r="J69">
        <v>81</v>
      </c>
      <c r="K69" t="s">
        <v>31</v>
      </c>
    </row>
    <row r="70" spans="2:11" x14ac:dyDescent="0.3">
      <c r="B70" t="s">
        <v>297</v>
      </c>
      <c r="C70">
        <v>4</v>
      </c>
      <c r="D70">
        <v>36</v>
      </c>
      <c r="E70">
        <v>1980</v>
      </c>
      <c r="F70">
        <v>105</v>
      </c>
      <c r="G70">
        <v>74</v>
      </c>
      <c r="H70">
        <f t="shared" si="1"/>
        <v>3.7373737373737372E-2</v>
      </c>
      <c r="I70">
        <v>15.3</v>
      </c>
      <c r="J70">
        <v>82</v>
      </c>
      <c r="K70" t="s">
        <v>31</v>
      </c>
    </row>
    <row r="71" spans="2:11" x14ac:dyDescent="0.3">
      <c r="B71" t="s">
        <v>313</v>
      </c>
      <c r="C71">
        <v>4</v>
      </c>
      <c r="D71">
        <v>44</v>
      </c>
      <c r="E71">
        <v>2130</v>
      </c>
      <c r="F71">
        <v>97</v>
      </c>
      <c r="G71">
        <v>52</v>
      </c>
      <c r="H71">
        <f t="shared" si="1"/>
        <v>2.4413145539906103E-2</v>
      </c>
      <c r="I71">
        <v>24.6</v>
      </c>
      <c r="J71">
        <v>82</v>
      </c>
      <c r="K71" t="s">
        <v>31</v>
      </c>
    </row>
    <row r="72" spans="2:11" x14ac:dyDescent="0.3">
      <c r="B72" t="s">
        <v>29</v>
      </c>
      <c r="C72">
        <v>4</v>
      </c>
      <c r="D72">
        <v>27</v>
      </c>
      <c r="E72">
        <v>2130</v>
      </c>
      <c r="F72">
        <v>97</v>
      </c>
      <c r="G72">
        <v>88</v>
      </c>
      <c r="H72">
        <f t="shared" si="1"/>
        <v>4.1314553990610327E-2</v>
      </c>
      <c r="I72">
        <v>14.5</v>
      </c>
      <c r="J72">
        <v>70</v>
      </c>
      <c r="K72" t="s">
        <v>25</v>
      </c>
    </row>
    <row r="73" spans="2:11" x14ac:dyDescent="0.3">
      <c r="B73" t="s">
        <v>24</v>
      </c>
      <c r="C73">
        <v>4</v>
      </c>
      <c r="D73">
        <v>24</v>
      </c>
      <c r="E73">
        <v>2372</v>
      </c>
      <c r="F73">
        <v>113</v>
      </c>
      <c r="G73">
        <v>95</v>
      </c>
      <c r="H73">
        <f t="shared" si="1"/>
        <v>4.0050590219224282E-2</v>
      </c>
      <c r="I73">
        <v>15</v>
      </c>
      <c r="J73">
        <v>70</v>
      </c>
      <c r="K73" t="s">
        <v>25</v>
      </c>
    </row>
    <row r="74" spans="2:11" x14ac:dyDescent="0.3">
      <c r="B74" t="s">
        <v>60</v>
      </c>
      <c r="C74">
        <v>4</v>
      </c>
      <c r="D74">
        <v>35</v>
      </c>
      <c r="E74">
        <v>1613</v>
      </c>
      <c r="F74">
        <v>72</v>
      </c>
      <c r="G74">
        <v>69</v>
      </c>
      <c r="H74">
        <f t="shared" si="1"/>
        <v>4.2777433353998758E-2</v>
      </c>
      <c r="I74">
        <v>18</v>
      </c>
      <c r="J74">
        <v>71</v>
      </c>
      <c r="K74" t="s">
        <v>25</v>
      </c>
    </row>
    <row r="75" spans="2:11" x14ac:dyDescent="0.3">
      <c r="B75" t="s">
        <v>42</v>
      </c>
      <c r="C75">
        <v>4</v>
      </c>
      <c r="D75">
        <v>25</v>
      </c>
      <c r="E75">
        <v>2228</v>
      </c>
      <c r="F75">
        <v>113</v>
      </c>
      <c r="G75">
        <v>95</v>
      </c>
      <c r="H75">
        <f t="shared" si="1"/>
        <v>4.2639138240574505E-2</v>
      </c>
      <c r="I75">
        <v>14</v>
      </c>
      <c r="J75">
        <v>71</v>
      </c>
      <c r="K75" t="s">
        <v>25</v>
      </c>
    </row>
    <row r="76" spans="2:11" x14ac:dyDescent="0.3">
      <c r="B76" t="s">
        <v>29</v>
      </c>
      <c r="C76">
        <v>4</v>
      </c>
      <c r="D76">
        <v>27</v>
      </c>
      <c r="E76">
        <v>2130</v>
      </c>
      <c r="F76">
        <v>97</v>
      </c>
      <c r="G76">
        <v>88</v>
      </c>
      <c r="H76">
        <f t="shared" si="1"/>
        <v>4.1314553990610327E-2</v>
      </c>
      <c r="I76">
        <v>14.5</v>
      </c>
      <c r="J76">
        <v>71</v>
      </c>
      <c r="K76" t="s">
        <v>25</v>
      </c>
    </row>
    <row r="77" spans="2:11" x14ac:dyDescent="0.3">
      <c r="B77" t="s">
        <v>59</v>
      </c>
      <c r="C77">
        <v>4</v>
      </c>
      <c r="D77">
        <v>31</v>
      </c>
      <c r="E77">
        <v>1773</v>
      </c>
      <c r="F77">
        <v>71</v>
      </c>
      <c r="G77">
        <v>65</v>
      </c>
      <c r="H77">
        <f t="shared" si="1"/>
        <v>3.6661026508742242E-2</v>
      </c>
      <c r="I77">
        <v>19</v>
      </c>
      <c r="J77">
        <v>71</v>
      </c>
      <c r="K77" t="s">
        <v>25</v>
      </c>
    </row>
    <row r="78" spans="2:11" x14ac:dyDescent="0.3">
      <c r="B78" t="s">
        <v>73</v>
      </c>
      <c r="C78">
        <v>3</v>
      </c>
      <c r="D78">
        <v>19</v>
      </c>
      <c r="E78">
        <v>2330</v>
      </c>
      <c r="F78">
        <v>70</v>
      </c>
      <c r="G78">
        <v>97</v>
      </c>
      <c r="H78">
        <f t="shared" si="1"/>
        <v>4.1630901287553645E-2</v>
      </c>
      <c r="I78">
        <v>13.5</v>
      </c>
      <c r="J78">
        <v>72</v>
      </c>
      <c r="K78" t="s">
        <v>25</v>
      </c>
    </row>
    <row r="79" spans="2:11" x14ac:dyDescent="0.3">
      <c r="B79" t="s">
        <v>86</v>
      </c>
      <c r="C79">
        <v>4</v>
      </c>
      <c r="D79">
        <v>27</v>
      </c>
      <c r="E79">
        <v>2100</v>
      </c>
      <c r="F79">
        <v>97</v>
      </c>
      <c r="G79">
        <v>88</v>
      </c>
      <c r="H79">
        <f t="shared" si="1"/>
        <v>4.1904761904761903E-2</v>
      </c>
      <c r="I79">
        <v>16.5</v>
      </c>
      <c r="J79">
        <v>72</v>
      </c>
      <c r="K79" t="s">
        <v>25</v>
      </c>
    </row>
    <row r="80" spans="2:11" x14ac:dyDescent="0.3">
      <c r="B80" t="s">
        <v>63</v>
      </c>
      <c r="C80">
        <v>4</v>
      </c>
      <c r="D80">
        <v>24</v>
      </c>
      <c r="E80">
        <v>2278</v>
      </c>
      <c r="F80">
        <v>113</v>
      </c>
      <c r="G80">
        <v>95</v>
      </c>
      <c r="H80">
        <f t="shared" si="1"/>
        <v>4.1703248463564532E-2</v>
      </c>
      <c r="I80">
        <v>15.5</v>
      </c>
      <c r="J80">
        <v>72</v>
      </c>
      <c r="K80" t="s">
        <v>25</v>
      </c>
    </row>
    <row r="81" spans="2:11" x14ac:dyDescent="0.3">
      <c r="B81" t="s">
        <v>83</v>
      </c>
      <c r="C81">
        <v>4</v>
      </c>
      <c r="D81">
        <v>28</v>
      </c>
      <c r="E81">
        <v>2288</v>
      </c>
      <c r="F81">
        <v>97</v>
      </c>
      <c r="G81">
        <v>92</v>
      </c>
      <c r="H81">
        <f t="shared" si="1"/>
        <v>4.0209790209790208E-2</v>
      </c>
      <c r="I81">
        <v>17</v>
      </c>
      <c r="J81">
        <v>72</v>
      </c>
      <c r="K81" t="s">
        <v>25</v>
      </c>
    </row>
    <row r="82" spans="2:11" x14ac:dyDescent="0.3">
      <c r="B82" t="s">
        <v>84</v>
      </c>
      <c r="C82">
        <v>4</v>
      </c>
      <c r="D82">
        <v>23</v>
      </c>
      <c r="E82">
        <v>2506</v>
      </c>
      <c r="F82">
        <v>120</v>
      </c>
      <c r="G82">
        <v>97</v>
      </c>
      <c r="H82">
        <f t="shared" si="1"/>
        <v>3.8707102952913006E-2</v>
      </c>
      <c r="I82">
        <v>14.5</v>
      </c>
      <c r="J82">
        <v>72</v>
      </c>
      <c r="K82" t="s">
        <v>25</v>
      </c>
    </row>
    <row r="83" spans="2:11" x14ac:dyDescent="0.3">
      <c r="B83" t="s">
        <v>106</v>
      </c>
      <c r="C83">
        <v>3</v>
      </c>
      <c r="D83">
        <v>18</v>
      </c>
      <c r="E83">
        <v>2124</v>
      </c>
      <c r="F83">
        <v>70</v>
      </c>
      <c r="G83">
        <v>90</v>
      </c>
      <c r="H83">
        <f t="shared" si="1"/>
        <v>4.2372881355932202E-2</v>
      </c>
      <c r="I83">
        <v>13.5</v>
      </c>
      <c r="J83">
        <v>73</v>
      </c>
      <c r="K83" t="s">
        <v>25</v>
      </c>
    </row>
    <row r="84" spans="2:11" x14ac:dyDescent="0.3">
      <c r="B84" t="s">
        <v>105</v>
      </c>
      <c r="C84">
        <v>4</v>
      </c>
      <c r="D84">
        <v>22</v>
      </c>
      <c r="E84">
        <v>2379</v>
      </c>
      <c r="F84">
        <v>108</v>
      </c>
      <c r="G84">
        <v>94</v>
      </c>
      <c r="H84">
        <f t="shared" si="1"/>
        <v>3.9512400168137875E-2</v>
      </c>
      <c r="I84">
        <v>16.5</v>
      </c>
      <c r="J84">
        <v>73</v>
      </c>
      <c r="K84" t="s">
        <v>25</v>
      </c>
    </row>
    <row r="85" spans="2:11" x14ac:dyDescent="0.3">
      <c r="B85" t="s">
        <v>104</v>
      </c>
      <c r="C85">
        <v>4</v>
      </c>
      <c r="D85">
        <v>20</v>
      </c>
      <c r="E85">
        <v>2279</v>
      </c>
      <c r="F85">
        <v>97</v>
      </c>
      <c r="G85">
        <v>88</v>
      </c>
      <c r="H85">
        <f t="shared" si="1"/>
        <v>3.861342694164107E-2</v>
      </c>
      <c r="I85">
        <v>19</v>
      </c>
      <c r="J85">
        <v>73</v>
      </c>
      <c r="K85" t="s">
        <v>25</v>
      </c>
    </row>
    <row r="86" spans="2:11" x14ac:dyDescent="0.3">
      <c r="B86" t="s">
        <v>117</v>
      </c>
      <c r="C86">
        <v>6</v>
      </c>
      <c r="D86">
        <v>20</v>
      </c>
      <c r="E86">
        <v>2807</v>
      </c>
      <c r="F86">
        <v>156</v>
      </c>
      <c r="G86">
        <v>122</v>
      </c>
      <c r="H86">
        <f t="shared" si="1"/>
        <v>4.3462771642322762E-2</v>
      </c>
      <c r="I86">
        <v>13.5</v>
      </c>
      <c r="J86">
        <v>73</v>
      </c>
      <c r="K86" t="s">
        <v>25</v>
      </c>
    </row>
    <row r="87" spans="2:11" x14ac:dyDescent="0.3">
      <c r="B87" t="s">
        <v>130</v>
      </c>
      <c r="C87">
        <v>4</v>
      </c>
      <c r="D87">
        <v>24</v>
      </c>
      <c r="E87">
        <v>2489</v>
      </c>
      <c r="F87">
        <v>120</v>
      </c>
      <c r="G87">
        <v>97</v>
      </c>
      <c r="H87">
        <f t="shared" si="1"/>
        <v>3.8971474487746086E-2</v>
      </c>
      <c r="I87">
        <v>15</v>
      </c>
      <c r="J87">
        <v>74</v>
      </c>
      <c r="K87" t="s">
        <v>25</v>
      </c>
    </row>
    <row r="88" spans="2:11" x14ac:dyDescent="0.3">
      <c r="B88" t="s">
        <v>131</v>
      </c>
      <c r="C88">
        <v>4</v>
      </c>
      <c r="D88">
        <v>26</v>
      </c>
      <c r="E88">
        <v>2391</v>
      </c>
      <c r="F88">
        <v>108</v>
      </c>
      <c r="G88">
        <v>93</v>
      </c>
      <c r="H88">
        <f t="shared" si="1"/>
        <v>3.889585947302384E-2</v>
      </c>
      <c r="I88">
        <v>15.5</v>
      </c>
      <c r="J88">
        <v>74</v>
      </c>
      <c r="K88" t="s">
        <v>25</v>
      </c>
    </row>
    <row r="89" spans="2:11" x14ac:dyDescent="0.3">
      <c r="B89" t="s">
        <v>59</v>
      </c>
      <c r="C89">
        <v>4</v>
      </c>
      <c r="D89">
        <v>32</v>
      </c>
      <c r="E89">
        <v>1836</v>
      </c>
      <c r="F89">
        <v>71</v>
      </c>
      <c r="G89">
        <v>65</v>
      </c>
      <c r="H89">
        <f t="shared" si="1"/>
        <v>3.5403050108932459E-2</v>
      </c>
      <c r="I89">
        <v>21</v>
      </c>
      <c r="J89">
        <v>74</v>
      </c>
      <c r="K89" t="s">
        <v>25</v>
      </c>
    </row>
    <row r="90" spans="2:11" x14ac:dyDescent="0.3">
      <c r="B90" t="s">
        <v>120</v>
      </c>
      <c r="C90">
        <v>4</v>
      </c>
      <c r="D90">
        <v>31</v>
      </c>
      <c r="E90">
        <v>1950</v>
      </c>
      <c r="F90">
        <v>79</v>
      </c>
      <c r="G90">
        <v>67</v>
      </c>
      <c r="H90">
        <f t="shared" si="1"/>
        <v>3.4358974358974358E-2</v>
      </c>
      <c r="I90">
        <v>19</v>
      </c>
      <c r="J90">
        <v>74</v>
      </c>
      <c r="K90" t="s">
        <v>25</v>
      </c>
    </row>
    <row r="91" spans="2:11" x14ac:dyDescent="0.3">
      <c r="B91" t="s">
        <v>42</v>
      </c>
      <c r="C91">
        <v>4</v>
      </c>
      <c r="D91">
        <v>31</v>
      </c>
      <c r="E91">
        <v>1649</v>
      </c>
      <c r="F91">
        <v>76</v>
      </c>
      <c r="G91">
        <v>52</v>
      </c>
      <c r="H91">
        <f t="shared" si="1"/>
        <v>3.1534263189812006E-2</v>
      </c>
      <c r="I91">
        <v>16.5</v>
      </c>
      <c r="J91">
        <v>74</v>
      </c>
      <c r="K91" t="s">
        <v>25</v>
      </c>
    </row>
    <row r="92" spans="2:11" x14ac:dyDescent="0.3">
      <c r="B92" t="s">
        <v>127</v>
      </c>
      <c r="C92">
        <v>4</v>
      </c>
      <c r="D92">
        <v>32</v>
      </c>
      <c r="E92">
        <v>2003</v>
      </c>
      <c r="F92">
        <v>83</v>
      </c>
      <c r="G92">
        <v>61</v>
      </c>
      <c r="H92">
        <f t="shared" si="1"/>
        <v>3.0454318522216674E-2</v>
      </c>
      <c r="I92">
        <v>19</v>
      </c>
      <c r="J92">
        <v>74</v>
      </c>
      <c r="K92" t="s">
        <v>25</v>
      </c>
    </row>
    <row r="93" spans="2:11" x14ac:dyDescent="0.3">
      <c r="B93" t="s">
        <v>127</v>
      </c>
      <c r="C93">
        <v>4</v>
      </c>
      <c r="D93">
        <v>24</v>
      </c>
      <c r="E93">
        <v>2545</v>
      </c>
      <c r="F93">
        <v>119</v>
      </c>
      <c r="G93">
        <v>97</v>
      </c>
      <c r="H93">
        <f t="shared" si="1"/>
        <v>3.81139489194499E-2</v>
      </c>
      <c r="I93">
        <v>17</v>
      </c>
      <c r="J93">
        <v>75</v>
      </c>
      <c r="K93" t="s">
        <v>25</v>
      </c>
    </row>
    <row r="94" spans="2:11" x14ac:dyDescent="0.3">
      <c r="B94" t="s">
        <v>42</v>
      </c>
      <c r="C94">
        <v>4</v>
      </c>
      <c r="D94">
        <v>24</v>
      </c>
      <c r="E94">
        <v>2702</v>
      </c>
      <c r="F94">
        <v>134</v>
      </c>
      <c r="G94">
        <v>96</v>
      </c>
      <c r="H94">
        <f t="shared" si="1"/>
        <v>3.552923760177646E-2</v>
      </c>
      <c r="I94">
        <v>13.5</v>
      </c>
      <c r="J94">
        <v>75</v>
      </c>
      <c r="K94" t="s">
        <v>25</v>
      </c>
    </row>
    <row r="95" spans="2:11" x14ac:dyDescent="0.3">
      <c r="B95" t="s">
        <v>143</v>
      </c>
      <c r="C95">
        <v>4</v>
      </c>
      <c r="D95">
        <v>29</v>
      </c>
      <c r="E95">
        <v>2171</v>
      </c>
      <c r="F95">
        <v>97</v>
      </c>
      <c r="G95">
        <v>75</v>
      </c>
      <c r="H95">
        <f t="shared" si="1"/>
        <v>3.4546292031321972E-2</v>
      </c>
      <c r="I95">
        <v>16</v>
      </c>
      <c r="J95">
        <v>75</v>
      </c>
      <c r="K95" t="s">
        <v>25</v>
      </c>
    </row>
    <row r="96" spans="2:11" x14ac:dyDescent="0.3">
      <c r="B96" t="s">
        <v>148</v>
      </c>
      <c r="C96">
        <v>4</v>
      </c>
      <c r="D96">
        <v>33</v>
      </c>
      <c r="E96">
        <v>1795</v>
      </c>
      <c r="F96">
        <v>91</v>
      </c>
      <c r="G96">
        <v>53</v>
      </c>
      <c r="H96">
        <f t="shared" si="1"/>
        <v>2.9526462395543174E-2</v>
      </c>
      <c r="I96">
        <v>17.5</v>
      </c>
      <c r="J96">
        <v>75</v>
      </c>
      <c r="K96" t="s">
        <v>25</v>
      </c>
    </row>
    <row r="97" spans="2:11" x14ac:dyDescent="0.3">
      <c r="B97" t="s">
        <v>160</v>
      </c>
      <c r="C97">
        <v>4</v>
      </c>
      <c r="D97">
        <v>32</v>
      </c>
      <c r="E97">
        <v>1990</v>
      </c>
      <c r="F97">
        <v>85</v>
      </c>
      <c r="G97">
        <v>70</v>
      </c>
      <c r="H97">
        <f t="shared" si="1"/>
        <v>3.5175879396984924E-2</v>
      </c>
      <c r="I97">
        <v>17</v>
      </c>
      <c r="J97">
        <v>76</v>
      </c>
      <c r="K97" t="s">
        <v>25</v>
      </c>
    </row>
    <row r="98" spans="2:11" x14ac:dyDescent="0.3">
      <c r="B98" t="s">
        <v>143</v>
      </c>
      <c r="C98">
        <v>4</v>
      </c>
      <c r="D98">
        <v>28</v>
      </c>
      <c r="E98">
        <v>2155</v>
      </c>
      <c r="F98">
        <v>97</v>
      </c>
      <c r="G98">
        <v>75</v>
      </c>
      <c r="H98">
        <f t="shared" si="1"/>
        <v>3.4802784222737818E-2</v>
      </c>
      <c r="I98">
        <v>16.399999999999999</v>
      </c>
      <c r="J98">
        <v>76</v>
      </c>
      <c r="K98" t="s">
        <v>25</v>
      </c>
    </row>
    <row r="99" spans="2:11" x14ac:dyDescent="0.3">
      <c r="B99" t="s">
        <v>130</v>
      </c>
      <c r="C99">
        <v>4</v>
      </c>
      <c r="D99">
        <v>33</v>
      </c>
      <c r="E99">
        <v>1795</v>
      </c>
      <c r="F99">
        <v>91</v>
      </c>
      <c r="G99">
        <v>53</v>
      </c>
      <c r="H99">
        <f t="shared" si="1"/>
        <v>2.9526462395543174E-2</v>
      </c>
      <c r="I99">
        <v>17.399999999999999</v>
      </c>
      <c r="J99">
        <v>76</v>
      </c>
      <c r="K99" t="s">
        <v>25</v>
      </c>
    </row>
    <row r="100" spans="2:11" x14ac:dyDescent="0.3">
      <c r="B100" t="s">
        <v>117</v>
      </c>
      <c r="C100">
        <v>6</v>
      </c>
      <c r="D100">
        <v>19</v>
      </c>
      <c r="E100">
        <v>2930</v>
      </c>
      <c r="F100">
        <v>156</v>
      </c>
      <c r="G100">
        <v>108</v>
      </c>
      <c r="H100">
        <f t="shared" si="1"/>
        <v>3.6860068259385668E-2</v>
      </c>
      <c r="I100">
        <v>15.5</v>
      </c>
      <c r="J100">
        <v>76</v>
      </c>
      <c r="K100" t="s">
        <v>25</v>
      </c>
    </row>
    <row r="101" spans="2:11" x14ac:dyDescent="0.3">
      <c r="B101" t="s">
        <v>192</v>
      </c>
      <c r="C101">
        <v>3</v>
      </c>
      <c r="D101">
        <v>21.5</v>
      </c>
      <c r="E101">
        <v>2720</v>
      </c>
      <c r="F101">
        <v>80</v>
      </c>
      <c r="G101">
        <v>110</v>
      </c>
      <c r="H101">
        <f t="shared" si="1"/>
        <v>4.0441176470588237E-2</v>
      </c>
      <c r="I101">
        <v>13.5</v>
      </c>
      <c r="J101">
        <v>77</v>
      </c>
      <c r="K101" t="s">
        <v>25</v>
      </c>
    </row>
    <row r="102" spans="2:11" x14ac:dyDescent="0.3">
      <c r="B102" t="s">
        <v>172</v>
      </c>
      <c r="C102">
        <v>4</v>
      </c>
      <c r="D102">
        <v>33.5</v>
      </c>
      <c r="E102">
        <v>1945</v>
      </c>
      <c r="F102">
        <v>85</v>
      </c>
      <c r="G102">
        <v>70</v>
      </c>
      <c r="H102">
        <f t="shared" si="1"/>
        <v>3.5989717223650387E-2</v>
      </c>
      <c r="I102">
        <v>16.8</v>
      </c>
      <c r="J102">
        <v>77</v>
      </c>
      <c r="K102" t="s">
        <v>25</v>
      </c>
    </row>
    <row r="103" spans="2:11" x14ac:dyDescent="0.3">
      <c r="B103" t="s">
        <v>189</v>
      </c>
      <c r="C103">
        <v>4</v>
      </c>
      <c r="D103">
        <v>30</v>
      </c>
      <c r="E103">
        <v>1985</v>
      </c>
      <c r="F103">
        <v>97</v>
      </c>
      <c r="G103">
        <v>67</v>
      </c>
      <c r="H103">
        <f t="shared" si="1"/>
        <v>3.3753148614609575E-2</v>
      </c>
      <c r="I103">
        <v>16.399999999999999</v>
      </c>
      <c r="J103">
        <v>77</v>
      </c>
      <c r="K103" t="s">
        <v>25</v>
      </c>
    </row>
    <row r="104" spans="2:11" x14ac:dyDescent="0.3">
      <c r="B104" t="s">
        <v>168</v>
      </c>
      <c r="C104">
        <v>4</v>
      </c>
      <c r="D104">
        <v>31.5</v>
      </c>
      <c r="E104">
        <v>2045</v>
      </c>
      <c r="F104">
        <v>98</v>
      </c>
      <c r="G104">
        <v>68</v>
      </c>
      <c r="H104">
        <f t="shared" si="1"/>
        <v>3.3251833740831294E-2</v>
      </c>
      <c r="I104">
        <v>18.5</v>
      </c>
      <c r="J104">
        <v>77</v>
      </c>
      <c r="K104" t="s">
        <v>25</v>
      </c>
    </row>
    <row r="105" spans="2:11" x14ac:dyDescent="0.3">
      <c r="B105" t="s">
        <v>186</v>
      </c>
      <c r="C105">
        <v>4</v>
      </c>
      <c r="D105">
        <v>26</v>
      </c>
      <c r="E105">
        <v>2265</v>
      </c>
      <c r="F105">
        <v>97</v>
      </c>
      <c r="G105">
        <v>75</v>
      </c>
      <c r="H105">
        <f t="shared" si="1"/>
        <v>3.3112582781456956E-2</v>
      </c>
      <c r="I105">
        <v>18.2</v>
      </c>
      <c r="J105">
        <v>77</v>
      </c>
      <c r="K105" t="s">
        <v>25</v>
      </c>
    </row>
    <row r="106" spans="2:11" x14ac:dyDescent="0.3">
      <c r="B106" t="s">
        <v>190</v>
      </c>
      <c r="C106">
        <v>6</v>
      </c>
      <c r="D106">
        <v>22</v>
      </c>
      <c r="E106">
        <v>2815</v>
      </c>
      <c r="F106">
        <v>146</v>
      </c>
      <c r="G106">
        <v>97</v>
      </c>
      <c r="H106">
        <f t="shared" si="1"/>
        <v>3.4458259325044406E-2</v>
      </c>
      <c r="I106">
        <v>14.5</v>
      </c>
      <c r="J106">
        <v>77</v>
      </c>
      <c r="K106" t="s">
        <v>25</v>
      </c>
    </row>
    <row r="107" spans="2:11" x14ac:dyDescent="0.3">
      <c r="B107" t="s">
        <v>212</v>
      </c>
      <c r="C107">
        <v>4</v>
      </c>
      <c r="D107">
        <v>27.2</v>
      </c>
      <c r="E107">
        <v>2300</v>
      </c>
      <c r="F107">
        <v>119</v>
      </c>
      <c r="G107">
        <v>97</v>
      </c>
      <c r="H107">
        <f t="shared" si="1"/>
        <v>4.2173913043478263E-2</v>
      </c>
      <c r="I107">
        <v>14.7</v>
      </c>
      <c r="J107">
        <v>78</v>
      </c>
      <c r="K107" t="s">
        <v>25</v>
      </c>
    </row>
    <row r="108" spans="2:11" x14ac:dyDescent="0.3">
      <c r="B108" t="s">
        <v>217</v>
      </c>
      <c r="C108">
        <v>4</v>
      </c>
      <c r="D108">
        <v>23.9</v>
      </c>
      <c r="E108">
        <v>2405</v>
      </c>
      <c r="F108">
        <v>119</v>
      </c>
      <c r="G108">
        <v>97</v>
      </c>
      <c r="H108">
        <f t="shared" si="1"/>
        <v>4.0332640332640335E-2</v>
      </c>
      <c r="I108">
        <v>14.9</v>
      </c>
      <c r="J108">
        <v>78</v>
      </c>
      <c r="K108" t="s">
        <v>25</v>
      </c>
    </row>
    <row r="109" spans="2:11" x14ac:dyDescent="0.3">
      <c r="B109" t="s">
        <v>214</v>
      </c>
      <c r="C109">
        <v>4</v>
      </c>
      <c r="D109">
        <v>21.1</v>
      </c>
      <c r="E109">
        <v>2515</v>
      </c>
      <c r="F109">
        <v>134</v>
      </c>
      <c r="G109">
        <v>95</v>
      </c>
      <c r="H109">
        <f t="shared" si="1"/>
        <v>3.7773359840954271E-2</v>
      </c>
      <c r="I109">
        <v>14.8</v>
      </c>
      <c r="J109">
        <v>78</v>
      </c>
      <c r="K109" t="s">
        <v>25</v>
      </c>
    </row>
    <row r="110" spans="2:11" x14ac:dyDescent="0.3">
      <c r="B110" t="s">
        <v>42</v>
      </c>
      <c r="C110">
        <v>4</v>
      </c>
      <c r="D110">
        <v>27.5</v>
      </c>
      <c r="E110">
        <v>2560</v>
      </c>
      <c r="F110">
        <v>134</v>
      </c>
      <c r="G110">
        <v>95</v>
      </c>
      <c r="H110">
        <f t="shared" si="1"/>
        <v>3.7109375E-2</v>
      </c>
      <c r="I110">
        <v>14.2</v>
      </c>
      <c r="J110">
        <v>78</v>
      </c>
      <c r="K110" t="s">
        <v>25</v>
      </c>
    </row>
    <row r="111" spans="2:11" x14ac:dyDescent="0.3">
      <c r="B111" t="s">
        <v>196</v>
      </c>
      <c r="C111">
        <v>4</v>
      </c>
      <c r="D111">
        <v>39.4</v>
      </c>
      <c r="E111">
        <v>2070</v>
      </c>
      <c r="F111">
        <v>85</v>
      </c>
      <c r="G111">
        <v>70</v>
      </c>
      <c r="H111">
        <f t="shared" si="1"/>
        <v>3.3816425120772944E-2</v>
      </c>
      <c r="I111">
        <v>18.600000000000001</v>
      </c>
      <c r="J111">
        <v>78</v>
      </c>
      <c r="K111" t="s">
        <v>25</v>
      </c>
    </row>
    <row r="112" spans="2:11" x14ac:dyDescent="0.3">
      <c r="B112" t="s">
        <v>148</v>
      </c>
      <c r="C112">
        <v>4</v>
      </c>
      <c r="D112">
        <v>36.1</v>
      </c>
      <c r="E112">
        <v>1800</v>
      </c>
      <c r="F112">
        <v>91</v>
      </c>
      <c r="G112">
        <v>60</v>
      </c>
      <c r="H112">
        <f t="shared" si="1"/>
        <v>3.3333333333333333E-2</v>
      </c>
      <c r="I112">
        <v>16.399999999999999</v>
      </c>
      <c r="J112">
        <v>78</v>
      </c>
      <c r="K112" t="s">
        <v>25</v>
      </c>
    </row>
    <row r="113" spans="2:11" x14ac:dyDescent="0.3">
      <c r="B113" t="s">
        <v>223</v>
      </c>
      <c r="C113">
        <v>4</v>
      </c>
      <c r="D113">
        <v>29.5</v>
      </c>
      <c r="E113">
        <v>2135</v>
      </c>
      <c r="F113">
        <v>98</v>
      </c>
      <c r="G113">
        <v>68</v>
      </c>
      <c r="H113">
        <f t="shared" si="1"/>
        <v>3.1850117096018739E-2</v>
      </c>
      <c r="I113">
        <v>16.600000000000001</v>
      </c>
      <c r="J113">
        <v>78</v>
      </c>
      <c r="K113" t="s">
        <v>25</v>
      </c>
    </row>
    <row r="114" spans="2:11" x14ac:dyDescent="0.3">
      <c r="B114" t="s">
        <v>195</v>
      </c>
      <c r="C114">
        <v>4</v>
      </c>
      <c r="D114">
        <v>32.799999999999997</v>
      </c>
      <c r="E114">
        <v>1985</v>
      </c>
      <c r="F114">
        <v>78</v>
      </c>
      <c r="G114">
        <v>52</v>
      </c>
      <c r="H114">
        <f t="shared" si="1"/>
        <v>2.6196473551637279E-2</v>
      </c>
      <c r="I114">
        <v>19.399999999999999</v>
      </c>
      <c r="J114">
        <v>78</v>
      </c>
      <c r="K114" t="s">
        <v>25</v>
      </c>
    </row>
    <row r="115" spans="2:11" x14ac:dyDescent="0.3">
      <c r="B115" t="s">
        <v>235</v>
      </c>
      <c r="C115">
        <v>4</v>
      </c>
      <c r="D115">
        <v>34.1</v>
      </c>
      <c r="E115">
        <v>1975</v>
      </c>
      <c r="F115">
        <v>86</v>
      </c>
      <c r="G115">
        <v>65</v>
      </c>
      <c r="H115">
        <f t="shared" si="1"/>
        <v>3.2911392405063293E-2</v>
      </c>
      <c r="I115">
        <v>15.2</v>
      </c>
      <c r="J115">
        <v>79</v>
      </c>
      <c r="K115" t="s">
        <v>25</v>
      </c>
    </row>
    <row r="116" spans="2:11" x14ac:dyDescent="0.3">
      <c r="B116" t="s">
        <v>242</v>
      </c>
      <c r="C116">
        <v>4</v>
      </c>
      <c r="D116">
        <v>31.8</v>
      </c>
      <c r="E116">
        <v>2020</v>
      </c>
      <c r="F116">
        <v>85</v>
      </c>
      <c r="G116">
        <v>65</v>
      </c>
      <c r="H116">
        <f t="shared" si="1"/>
        <v>3.2178217821782179E-2</v>
      </c>
      <c r="I116">
        <v>19.2</v>
      </c>
      <c r="J116">
        <v>79</v>
      </c>
      <c r="K116" t="s">
        <v>25</v>
      </c>
    </row>
    <row r="117" spans="2:11" x14ac:dyDescent="0.3">
      <c r="B117" t="s">
        <v>264</v>
      </c>
      <c r="C117">
        <v>3</v>
      </c>
      <c r="D117">
        <v>23.7</v>
      </c>
      <c r="E117">
        <v>2420</v>
      </c>
      <c r="F117">
        <v>70</v>
      </c>
      <c r="G117">
        <v>100</v>
      </c>
      <c r="H117">
        <f t="shared" si="1"/>
        <v>4.1322314049586778E-2</v>
      </c>
      <c r="I117">
        <v>12.5</v>
      </c>
      <c r="J117">
        <v>80</v>
      </c>
      <c r="K117" t="s">
        <v>25</v>
      </c>
    </row>
    <row r="118" spans="2:11" x14ac:dyDescent="0.3">
      <c r="B118" t="s">
        <v>254</v>
      </c>
      <c r="C118">
        <v>4</v>
      </c>
      <c r="D118">
        <v>37</v>
      </c>
      <c r="E118">
        <v>2434</v>
      </c>
      <c r="F118">
        <v>119</v>
      </c>
      <c r="G118">
        <v>92</v>
      </c>
      <c r="H118">
        <f t="shared" si="1"/>
        <v>3.7797863599013971E-2</v>
      </c>
      <c r="I118">
        <v>15</v>
      </c>
      <c r="J118">
        <v>80</v>
      </c>
      <c r="K118" t="s">
        <v>25</v>
      </c>
    </row>
    <row r="119" spans="2:11" x14ac:dyDescent="0.3">
      <c r="B119" t="s">
        <v>260</v>
      </c>
      <c r="C119">
        <v>4</v>
      </c>
      <c r="D119">
        <v>44.6</v>
      </c>
      <c r="E119">
        <v>1850</v>
      </c>
      <c r="F119">
        <v>91</v>
      </c>
      <c r="G119">
        <v>67</v>
      </c>
      <c r="H119">
        <f t="shared" si="1"/>
        <v>3.6216216216216214E-2</v>
      </c>
      <c r="I119">
        <v>13.8</v>
      </c>
      <c r="J119">
        <v>80</v>
      </c>
      <c r="K119" t="s">
        <v>25</v>
      </c>
    </row>
    <row r="120" spans="2:11" x14ac:dyDescent="0.3">
      <c r="B120" t="s">
        <v>252</v>
      </c>
      <c r="C120">
        <v>4</v>
      </c>
      <c r="D120">
        <v>29.8</v>
      </c>
      <c r="E120">
        <v>2711</v>
      </c>
      <c r="F120">
        <v>134</v>
      </c>
      <c r="G120">
        <v>90</v>
      </c>
      <c r="H120">
        <f t="shared" si="1"/>
        <v>3.3198081888601995E-2</v>
      </c>
      <c r="I120">
        <v>15.5</v>
      </c>
      <c r="J120">
        <v>80</v>
      </c>
      <c r="K120" t="s">
        <v>25</v>
      </c>
    </row>
    <row r="121" spans="2:11" x14ac:dyDescent="0.3">
      <c r="B121" t="s">
        <v>143</v>
      </c>
      <c r="C121">
        <v>4</v>
      </c>
      <c r="D121">
        <v>32.200000000000003</v>
      </c>
      <c r="E121">
        <v>2265</v>
      </c>
      <c r="F121">
        <v>108</v>
      </c>
      <c r="G121">
        <v>75</v>
      </c>
      <c r="H121">
        <f t="shared" si="1"/>
        <v>3.3112582781456956E-2</v>
      </c>
      <c r="I121">
        <v>15.2</v>
      </c>
      <c r="J121">
        <v>80</v>
      </c>
      <c r="K121" t="s">
        <v>25</v>
      </c>
    </row>
    <row r="122" spans="2:11" x14ac:dyDescent="0.3">
      <c r="B122" t="s">
        <v>249</v>
      </c>
      <c r="C122">
        <v>4</v>
      </c>
      <c r="D122">
        <v>37.200000000000003</v>
      </c>
      <c r="E122">
        <v>2019</v>
      </c>
      <c r="F122">
        <v>86</v>
      </c>
      <c r="G122">
        <v>65</v>
      </c>
      <c r="H122">
        <f t="shared" si="1"/>
        <v>3.2194155522535906E-2</v>
      </c>
      <c r="I122">
        <v>16.399999999999999</v>
      </c>
      <c r="J122">
        <v>80</v>
      </c>
      <c r="K122" t="s">
        <v>25</v>
      </c>
    </row>
    <row r="123" spans="2:11" x14ac:dyDescent="0.3">
      <c r="B123" t="s">
        <v>267</v>
      </c>
      <c r="C123">
        <v>4</v>
      </c>
      <c r="D123">
        <v>32.4</v>
      </c>
      <c r="E123">
        <v>2290</v>
      </c>
      <c r="F123">
        <v>107</v>
      </c>
      <c r="G123">
        <v>72</v>
      </c>
      <c r="H123">
        <f t="shared" si="1"/>
        <v>3.1441048034934499E-2</v>
      </c>
      <c r="I123">
        <v>17</v>
      </c>
      <c r="J123">
        <v>80</v>
      </c>
      <c r="K123" t="s">
        <v>25</v>
      </c>
    </row>
    <row r="124" spans="2:11" x14ac:dyDescent="0.3">
      <c r="B124" t="s">
        <v>189</v>
      </c>
      <c r="C124">
        <v>4</v>
      </c>
      <c r="D124">
        <v>33.799999999999997</v>
      </c>
      <c r="E124">
        <v>2145</v>
      </c>
      <c r="F124">
        <v>97</v>
      </c>
      <c r="G124">
        <v>67</v>
      </c>
      <c r="H124">
        <f t="shared" si="1"/>
        <v>3.1235431235431235E-2</v>
      </c>
      <c r="I124">
        <v>18</v>
      </c>
      <c r="J124">
        <v>80</v>
      </c>
      <c r="K124" t="s">
        <v>25</v>
      </c>
    </row>
    <row r="125" spans="2:11" x14ac:dyDescent="0.3">
      <c r="B125" t="s">
        <v>242</v>
      </c>
      <c r="C125">
        <v>4</v>
      </c>
      <c r="D125">
        <v>40.799999999999997</v>
      </c>
      <c r="E125">
        <v>2110</v>
      </c>
      <c r="F125">
        <v>85</v>
      </c>
      <c r="G125">
        <v>65</v>
      </c>
      <c r="H125">
        <f t="shared" si="1"/>
        <v>3.0805687203791468E-2</v>
      </c>
      <c r="I125">
        <v>19.2</v>
      </c>
      <c r="J125">
        <v>80</v>
      </c>
      <c r="K125" t="s">
        <v>25</v>
      </c>
    </row>
    <row r="126" spans="2:11" x14ac:dyDescent="0.3">
      <c r="B126" t="s">
        <v>255</v>
      </c>
      <c r="C126">
        <v>4</v>
      </c>
      <c r="D126">
        <v>46.6</v>
      </c>
      <c r="E126">
        <v>2110</v>
      </c>
      <c r="F126">
        <v>86</v>
      </c>
      <c r="G126">
        <v>65</v>
      </c>
      <c r="H126">
        <f t="shared" si="1"/>
        <v>3.0805687203791468E-2</v>
      </c>
      <c r="I126">
        <v>17.899999999999999</v>
      </c>
      <c r="J126">
        <v>80</v>
      </c>
      <c r="K126" t="s">
        <v>25</v>
      </c>
    </row>
    <row r="127" spans="2:11" x14ac:dyDescent="0.3">
      <c r="B127" t="s">
        <v>248</v>
      </c>
      <c r="C127">
        <v>4</v>
      </c>
      <c r="D127">
        <v>38.1</v>
      </c>
      <c r="E127">
        <v>1968</v>
      </c>
      <c r="F127">
        <v>89</v>
      </c>
      <c r="G127">
        <v>60</v>
      </c>
      <c r="H127">
        <f t="shared" si="1"/>
        <v>3.048780487804878E-2</v>
      </c>
      <c r="I127">
        <v>18.8</v>
      </c>
      <c r="J127">
        <v>80</v>
      </c>
      <c r="K127" t="s">
        <v>25</v>
      </c>
    </row>
    <row r="128" spans="2:11" x14ac:dyDescent="0.3">
      <c r="B128" t="s">
        <v>253</v>
      </c>
      <c r="C128">
        <v>4</v>
      </c>
      <c r="D128">
        <v>31.3</v>
      </c>
      <c r="E128">
        <v>2542</v>
      </c>
      <c r="F128">
        <v>120</v>
      </c>
      <c r="G128">
        <v>75</v>
      </c>
      <c r="H128">
        <f t="shared" si="1"/>
        <v>2.9504327301337528E-2</v>
      </c>
      <c r="I128">
        <v>17.5</v>
      </c>
      <c r="J128">
        <v>80</v>
      </c>
      <c r="K128" t="s">
        <v>25</v>
      </c>
    </row>
    <row r="129" spans="2:11" x14ac:dyDescent="0.3">
      <c r="B129" t="s">
        <v>263</v>
      </c>
      <c r="C129">
        <v>6</v>
      </c>
      <c r="D129">
        <v>32.700000000000003</v>
      </c>
      <c r="E129">
        <v>2910</v>
      </c>
      <c r="F129">
        <v>168</v>
      </c>
      <c r="G129">
        <v>132</v>
      </c>
      <c r="H129">
        <f t="shared" si="1"/>
        <v>4.536082474226804E-2</v>
      </c>
      <c r="I129">
        <v>11.4</v>
      </c>
      <c r="J129">
        <v>80</v>
      </c>
      <c r="K129" t="s">
        <v>25</v>
      </c>
    </row>
    <row r="130" spans="2:11" x14ac:dyDescent="0.3">
      <c r="B130" t="s">
        <v>282</v>
      </c>
      <c r="C130">
        <v>4</v>
      </c>
      <c r="D130">
        <v>32.9</v>
      </c>
      <c r="E130">
        <v>2615</v>
      </c>
      <c r="F130">
        <v>119</v>
      </c>
      <c r="G130">
        <v>100</v>
      </c>
      <c r="H130">
        <f t="shared" ref="H130:H193" si="2">IFERROR(G130/E130, "")</f>
        <v>3.8240917782026769E-2</v>
      </c>
      <c r="I130">
        <v>14.8</v>
      </c>
      <c r="J130">
        <v>81</v>
      </c>
      <c r="K130" t="s">
        <v>25</v>
      </c>
    </row>
    <row r="131" spans="2:11" x14ac:dyDescent="0.3">
      <c r="B131" t="s">
        <v>275</v>
      </c>
      <c r="C131">
        <v>4</v>
      </c>
      <c r="D131">
        <v>34.1</v>
      </c>
      <c r="E131">
        <v>1985</v>
      </c>
      <c r="F131">
        <v>91</v>
      </c>
      <c r="G131">
        <v>68</v>
      </c>
      <c r="H131">
        <f t="shared" si="2"/>
        <v>3.425692695214106E-2</v>
      </c>
      <c r="I131">
        <v>16</v>
      </c>
      <c r="J131">
        <v>81</v>
      </c>
      <c r="K131" t="s">
        <v>25</v>
      </c>
    </row>
    <row r="132" spans="2:11" x14ac:dyDescent="0.3">
      <c r="B132" t="s">
        <v>272</v>
      </c>
      <c r="C132">
        <v>4</v>
      </c>
      <c r="D132">
        <v>35.1</v>
      </c>
      <c r="E132">
        <v>1760</v>
      </c>
      <c r="F132">
        <v>81</v>
      </c>
      <c r="G132">
        <v>60</v>
      </c>
      <c r="H132">
        <f t="shared" si="2"/>
        <v>3.4090909090909088E-2</v>
      </c>
      <c r="I132">
        <v>16.100000000000001</v>
      </c>
      <c r="J132">
        <v>81</v>
      </c>
      <c r="K132" t="s">
        <v>25</v>
      </c>
    </row>
    <row r="133" spans="2:11" x14ac:dyDescent="0.3">
      <c r="B133" t="s">
        <v>281</v>
      </c>
      <c r="C133">
        <v>4</v>
      </c>
      <c r="D133">
        <v>33.700000000000003</v>
      </c>
      <c r="E133">
        <v>2210</v>
      </c>
      <c r="F133">
        <v>107</v>
      </c>
      <c r="G133">
        <v>75</v>
      </c>
      <c r="H133">
        <f t="shared" si="2"/>
        <v>3.3936651583710405E-2</v>
      </c>
      <c r="I133">
        <v>14.4</v>
      </c>
      <c r="J133">
        <v>81</v>
      </c>
      <c r="K133" t="s">
        <v>25</v>
      </c>
    </row>
    <row r="134" spans="2:11" x14ac:dyDescent="0.3">
      <c r="B134" t="s">
        <v>270</v>
      </c>
      <c r="C134">
        <v>4</v>
      </c>
      <c r="D134">
        <v>39.1</v>
      </c>
      <c r="E134">
        <v>1755</v>
      </c>
      <c r="F134">
        <v>79</v>
      </c>
      <c r="G134">
        <v>58</v>
      </c>
      <c r="H134">
        <f t="shared" si="2"/>
        <v>3.3048433048433051E-2</v>
      </c>
      <c r="I134">
        <v>16.899999999999999</v>
      </c>
      <c r="J134">
        <v>81</v>
      </c>
      <c r="K134" t="s">
        <v>25</v>
      </c>
    </row>
    <row r="135" spans="2:11" x14ac:dyDescent="0.3">
      <c r="B135" t="s">
        <v>273</v>
      </c>
      <c r="C135">
        <v>4</v>
      </c>
      <c r="D135">
        <v>37</v>
      </c>
      <c r="E135">
        <v>1975</v>
      </c>
      <c r="F135">
        <v>85</v>
      </c>
      <c r="G135">
        <v>65</v>
      </c>
      <c r="H135">
        <f t="shared" si="2"/>
        <v>3.2911392405063293E-2</v>
      </c>
      <c r="I135">
        <v>19.399999999999999</v>
      </c>
      <c r="J135">
        <v>81</v>
      </c>
      <c r="K135" t="s">
        <v>25</v>
      </c>
    </row>
    <row r="136" spans="2:11" x14ac:dyDescent="0.3">
      <c r="B136" t="s">
        <v>131</v>
      </c>
      <c r="C136">
        <v>4</v>
      </c>
      <c r="D136">
        <v>32.299999999999997</v>
      </c>
      <c r="E136">
        <v>2065</v>
      </c>
      <c r="F136">
        <v>97</v>
      </c>
      <c r="G136">
        <v>67</v>
      </c>
      <c r="H136">
        <f t="shared" si="2"/>
        <v>3.2445520581113801E-2</v>
      </c>
      <c r="I136">
        <v>17.8</v>
      </c>
      <c r="J136">
        <v>81</v>
      </c>
      <c r="K136" t="s">
        <v>25</v>
      </c>
    </row>
    <row r="137" spans="2:11" x14ac:dyDescent="0.3">
      <c r="B137" t="s">
        <v>143</v>
      </c>
      <c r="C137">
        <v>4</v>
      </c>
      <c r="D137">
        <v>32.4</v>
      </c>
      <c r="E137">
        <v>2350</v>
      </c>
      <c r="F137">
        <v>108</v>
      </c>
      <c r="G137">
        <v>75</v>
      </c>
      <c r="H137">
        <f t="shared" si="2"/>
        <v>3.1914893617021274E-2</v>
      </c>
      <c r="I137">
        <v>16.8</v>
      </c>
      <c r="J137">
        <v>81</v>
      </c>
      <c r="K137" t="s">
        <v>25</v>
      </c>
    </row>
    <row r="138" spans="2:11" x14ac:dyDescent="0.3">
      <c r="B138" t="s">
        <v>274</v>
      </c>
      <c r="C138">
        <v>4</v>
      </c>
      <c r="D138">
        <v>37.700000000000003</v>
      </c>
      <c r="E138">
        <v>2050</v>
      </c>
      <c r="F138">
        <v>89</v>
      </c>
      <c r="G138">
        <v>62</v>
      </c>
      <c r="H138">
        <f t="shared" si="2"/>
        <v>3.0243902439024389E-2</v>
      </c>
      <c r="I138">
        <v>17.3</v>
      </c>
      <c r="J138">
        <v>81</v>
      </c>
      <c r="K138" t="s">
        <v>25</v>
      </c>
    </row>
    <row r="139" spans="2:11" x14ac:dyDescent="0.3">
      <c r="B139" t="s">
        <v>253</v>
      </c>
      <c r="C139">
        <v>4</v>
      </c>
      <c r="D139">
        <v>31.6</v>
      </c>
      <c r="E139">
        <v>2635</v>
      </c>
      <c r="F139">
        <v>120</v>
      </c>
      <c r="G139">
        <v>74</v>
      </c>
      <c r="H139">
        <f t="shared" si="2"/>
        <v>2.808349146110057E-2</v>
      </c>
      <c r="I139">
        <v>18.3</v>
      </c>
      <c r="J139">
        <v>81</v>
      </c>
      <c r="K139" t="s">
        <v>25</v>
      </c>
    </row>
    <row r="140" spans="2:11" x14ac:dyDescent="0.3">
      <c r="B140" t="s">
        <v>286</v>
      </c>
      <c r="C140">
        <v>6</v>
      </c>
      <c r="D140">
        <v>24.2</v>
      </c>
      <c r="E140">
        <v>2930</v>
      </c>
      <c r="F140">
        <v>146</v>
      </c>
      <c r="G140">
        <v>120</v>
      </c>
      <c r="H140">
        <f t="shared" si="2"/>
        <v>4.0955631399317405E-2</v>
      </c>
      <c r="I140">
        <v>13.8</v>
      </c>
      <c r="J140">
        <v>81</v>
      </c>
      <c r="K140" t="s">
        <v>25</v>
      </c>
    </row>
    <row r="141" spans="2:11" x14ac:dyDescent="0.3">
      <c r="B141" t="s">
        <v>285</v>
      </c>
      <c r="C141">
        <v>6</v>
      </c>
      <c r="D141">
        <v>25.4</v>
      </c>
      <c r="E141">
        <v>2900</v>
      </c>
      <c r="F141">
        <v>168</v>
      </c>
      <c r="G141">
        <v>116</v>
      </c>
      <c r="H141">
        <f t="shared" si="2"/>
        <v>0.04</v>
      </c>
      <c r="I141">
        <v>12.6</v>
      </c>
      <c r="J141">
        <v>81</v>
      </c>
      <c r="K141" t="s">
        <v>25</v>
      </c>
    </row>
    <row r="142" spans="2:11" x14ac:dyDescent="0.3">
      <c r="B142" t="s">
        <v>302</v>
      </c>
      <c r="C142">
        <v>4</v>
      </c>
      <c r="D142">
        <v>36</v>
      </c>
      <c r="E142">
        <v>2160</v>
      </c>
      <c r="F142">
        <v>120</v>
      </c>
      <c r="G142">
        <v>88</v>
      </c>
      <c r="H142">
        <f t="shared" si="2"/>
        <v>4.0740740740740744E-2</v>
      </c>
      <c r="I142">
        <v>14.5</v>
      </c>
      <c r="J142">
        <v>82</v>
      </c>
      <c r="K142" t="s">
        <v>25</v>
      </c>
    </row>
    <row r="143" spans="2:11" x14ac:dyDescent="0.3">
      <c r="B143" t="s">
        <v>309</v>
      </c>
      <c r="C143">
        <v>4</v>
      </c>
      <c r="D143">
        <v>32</v>
      </c>
      <c r="E143">
        <v>2665</v>
      </c>
      <c r="F143">
        <v>144</v>
      </c>
      <c r="G143">
        <v>96</v>
      </c>
      <c r="H143">
        <f t="shared" si="2"/>
        <v>3.6022514071294559E-2</v>
      </c>
      <c r="I143">
        <v>13.9</v>
      </c>
      <c r="J143">
        <v>82</v>
      </c>
      <c r="K143" t="s">
        <v>25</v>
      </c>
    </row>
    <row r="144" spans="2:11" x14ac:dyDescent="0.3">
      <c r="B144" t="s">
        <v>299</v>
      </c>
      <c r="C144">
        <v>4</v>
      </c>
      <c r="D144">
        <v>31</v>
      </c>
      <c r="E144">
        <v>1970</v>
      </c>
      <c r="F144">
        <v>91</v>
      </c>
      <c r="G144">
        <v>68</v>
      </c>
      <c r="H144">
        <f t="shared" si="2"/>
        <v>3.4517766497461931E-2</v>
      </c>
      <c r="I144">
        <v>17.600000000000001</v>
      </c>
      <c r="J144">
        <v>82</v>
      </c>
      <c r="K144" t="s">
        <v>25</v>
      </c>
    </row>
    <row r="145" spans="2:11" x14ac:dyDescent="0.3">
      <c r="B145" t="s">
        <v>130</v>
      </c>
      <c r="C145">
        <v>4</v>
      </c>
      <c r="D145">
        <v>38</v>
      </c>
      <c r="E145">
        <v>1965</v>
      </c>
      <c r="F145">
        <v>91</v>
      </c>
      <c r="G145">
        <v>67</v>
      </c>
      <c r="H145">
        <f t="shared" si="2"/>
        <v>3.4096692111959287E-2</v>
      </c>
      <c r="I145">
        <v>15</v>
      </c>
      <c r="J145">
        <v>82</v>
      </c>
      <c r="K145" t="s">
        <v>25</v>
      </c>
    </row>
    <row r="146" spans="2:11" x14ac:dyDescent="0.3">
      <c r="B146" t="s">
        <v>303</v>
      </c>
      <c r="C146">
        <v>4</v>
      </c>
      <c r="D146">
        <v>32</v>
      </c>
      <c r="E146">
        <v>1965</v>
      </c>
      <c r="F146">
        <v>91</v>
      </c>
      <c r="G146">
        <v>67</v>
      </c>
      <c r="H146">
        <f t="shared" si="2"/>
        <v>3.4096692111959287E-2</v>
      </c>
      <c r="I146">
        <v>15.7</v>
      </c>
      <c r="J146">
        <v>82</v>
      </c>
      <c r="K146" t="s">
        <v>25</v>
      </c>
    </row>
    <row r="147" spans="2:11" x14ac:dyDescent="0.3">
      <c r="B147" t="s">
        <v>267</v>
      </c>
      <c r="C147">
        <v>4</v>
      </c>
      <c r="D147">
        <v>36</v>
      </c>
      <c r="E147">
        <v>2205</v>
      </c>
      <c r="F147">
        <v>107</v>
      </c>
      <c r="G147">
        <v>75</v>
      </c>
      <c r="H147">
        <f t="shared" si="2"/>
        <v>3.4013605442176874E-2</v>
      </c>
      <c r="I147">
        <v>14.5</v>
      </c>
      <c r="J147">
        <v>82</v>
      </c>
      <c r="K147" t="s">
        <v>25</v>
      </c>
    </row>
    <row r="148" spans="2:11" x14ac:dyDescent="0.3">
      <c r="B148" t="s">
        <v>304</v>
      </c>
      <c r="C148">
        <v>4</v>
      </c>
      <c r="D148">
        <v>38</v>
      </c>
      <c r="E148">
        <v>1995</v>
      </c>
      <c r="F148">
        <v>91</v>
      </c>
      <c r="G148">
        <v>67</v>
      </c>
      <c r="H148">
        <f t="shared" si="2"/>
        <v>3.3583959899749376E-2</v>
      </c>
      <c r="I148">
        <v>16.2</v>
      </c>
      <c r="J148">
        <v>82</v>
      </c>
      <c r="K148" t="s">
        <v>25</v>
      </c>
    </row>
    <row r="149" spans="2:11" x14ac:dyDescent="0.3">
      <c r="B149" t="s">
        <v>298</v>
      </c>
      <c r="C149">
        <v>4</v>
      </c>
      <c r="D149">
        <v>37</v>
      </c>
      <c r="E149">
        <v>2025</v>
      </c>
      <c r="F149">
        <v>91</v>
      </c>
      <c r="G149">
        <v>68</v>
      </c>
      <c r="H149">
        <f t="shared" si="2"/>
        <v>3.3580246913580247E-2</v>
      </c>
      <c r="I149">
        <v>18.2</v>
      </c>
      <c r="J149">
        <v>82</v>
      </c>
      <c r="K149" t="s">
        <v>25</v>
      </c>
    </row>
    <row r="150" spans="2:11" x14ac:dyDescent="0.3">
      <c r="B150" t="s">
        <v>143</v>
      </c>
      <c r="C150">
        <v>4</v>
      </c>
      <c r="D150">
        <v>34</v>
      </c>
      <c r="E150">
        <v>2245</v>
      </c>
      <c r="F150">
        <v>108</v>
      </c>
      <c r="G150">
        <v>70</v>
      </c>
      <c r="H150">
        <f t="shared" si="2"/>
        <v>3.1180400890868598E-2</v>
      </c>
      <c r="I150">
        <v>16.899999999999999</v>
      </c>
      <c r="J150">
        <v>82</v>
      </c>
      <c r="K150" t="s">
        <v>25</v>
      </c>
    </row>
    <row r="151" spans="2:11" x14ac:dyDescent="0.3">
      <c r="B151" t="s">
        <v>27</v>
      </c>
      <c r="C151">
        <v>6</v>
      </c>
      <c r="D151">
        <v>18</v>
      </c>
      <c r="E151">
        <v>2774</v>
      </c>
      <c r="F151">
        <v>199</v>
      </c>
      <c r="G151">
        <v>97</v>
      </c>
      <c r="H151">
        <f t="shared" si="2"/>
        <v>3.4967555875991346E-2</v>
      </c>
      <c r="I151">
        <v>15.5</v>
      </c>
      <c r="J151">
        <v>70</v>
      </c>
      <c r="K151" t="s">
        <v>10</v>
      </c>
    </row>
    <row r="152" spans="2:11" x14ac:dyDescent="0.3">
      <c r="B152" t="s">
        <v>36</v>
      </c>
      <c r="C152">
        <v>6</v>
      </c>
      <c r="D152">
        <v>21</v>
      </c>
      <c r="E152">
        <v>2648</v>
      </c>
      <c r="F152">
        <v>199</v>
      </c>
      <c r="G152">
        <v>90</v>
      </c>
      <c r="H152">
        <f t="shared" si="2"/>
        <v>3.3987915407854986E-2</v>
      </c>
      <c r="I152">
        <v>15</v>
      </c>
      <c r="J152">
        <v>70</v>
      </c>
      <c r="K152" t="s">
        <v>10</v>
      </c>
    </row>
    <row r="153" spans="2:11" x14ac:dyDescent="0.3">
      <c r="B153" t="s">
        <v>26</v>
      </c>
      <c r="C153">
        <v>6</v>
      </c>
      <c r="D153">
        <v>22</v>
      </c>
      <c r="E153">
        <v>2833</v>
      </c>
      <c r="F153">
        <v>198</v>
      </c>
      <c r="G153">
        <v>95</v>
      </c>
      <c r="H153">
        <f t="shared" si="2"/>
        <v>3.3533356865513592E-2</v>
      </c>
      <c r="I153">
        <v>15.5</v>
      </c>
      <c r="J153">
        <v>70</v>
      </c>
      <c r="K153" t="s">
        <v>10</v>
      </c>
    </row>
    <row r="154" spans="2:11" x14ac:dyDescent="0.3">
      <c r="B154" t="s">
        <v>28</v>
      </c>
      <c r="C154">
        <v>6</v>
      </c>
      <c r="D154">
        <v>21</v>
      </c>
      <c r="E154">
        <v>2587</v>
      </c>
      <c r="F154">
        <v>200</v>
      </c>
      <c r="G154">
        <v>85</v>
      </c>
      <c r="H154">
        <f t="shared" si="2"/>
        <v>3.2856590645535366E-2</v>
      </c>
      <c r="I154">
        <v>16</v>
      </c>
      <c r="J154">
        <v>70</v>
      </c>
      <c r="K154" t="s">
        <v>10</v>
      </c>
    </row>
    <row r="155" spans="2:11" x14ac:dyDescent="0.3">
      <c r="B155" t="s">
        <v>23</v>
      </c>
      <c r="C155">
        <v>8</v>
      </c>
      <c r="D155">
        <v>14</v>
      </c>
      <c r="E155">
        <v>3086</v>
      </c>
      <c r="F155">
        <v>455</v>
      </c>
      <c r="G155">
        <v>225</v>
      </c>
      <c r="H155">
        <f t="shared" si="2"/>
        <v>7.2909915748541804E-2</v>
      </c>
      <c r="I155">
        <v>10</v>
      </c>
      <c r="J155">
        <v>70</v>
      </c>
      <c r="K155" t="s">
        <v>10</v>
      </c>
    </row>
    <row r="156" spans="2:11" x14ac:dyDescent="0.3">
      <c r="B156" t="s">
        <v>18</v>
      </c>
      <c r="C156">
        <v>8</v>
      </c>
      <c r="D156">
        <v>14</v>
      </c>
      <c r="E156">
        <v>4425</v>
      </c>
      <c r="F156">
        <v>455</v>
      </c>
      <c r="G156">
        <v>225</v>
      </c>
      <c r="H156">
        <f t="shared" si="2"/>
        <v>5.0847457627118647E-2</v>
      </c>
      <c r="I156">
        <v>10</v>
      </c>
      <c r="J156">
        <v>70</v>
      </c>
      <c r="K156" t="s">
        <v>10</v>
      </c>
    </row>
    <row r="157" spans="2:11" x14ac:dyDescent="0.3">
      <c r="B157" t="s">
        <v>16</v>
      </c>
      <c r="C157">
        <v>8</v>
      </c>
      <c r="D157">
        <v>14</v>
      </c>
      <c r="E157">
        <v>4354</v>
      </c>
      <c r="F157">
        <v>454</v>
      </c>
      <c r="G157">
        <v>220</v>
      </c>
      <c r="H157">
        <f t="shared" si="2"/>
        <v>5.0528249885163065E-2</v>
      </c>
      <c r="I157">
        <v>9</v>
      </c>
      <c r="J157">
        <v>70</v>
      </c>
      <c r="K157" t="s">
        <v>10</v>
      </c>
    </row>
    <row r="158" spans="2:11" x14ac:dyDescent="0.3">
      <c r="B158" t="s">
        <v>17</v>
      </c>
      <c r="C158">
        <v>8</v>
      </c>
      <c r="D158">
        <v>14</v>
      </c>
      <c r="E158">
        <v>4312</v>
      </c>
      <c r="F158">
        <v>440</v>
      </c>
      <c r="G158">
        <v>215</v>
      </c>
      <c r="H158">
        <f t="shared" si="2"/>
        <v>4.9860853432282005E-2</v>
      </c>
      <c r="I158">
        <v>8.5</v>
      </c>
      <c r="J158">
        <v>70</v>
      </c>
      <c r="K158" t="s">
        <v>10</v>
      </c>
    </row>
    <row r="159" spans="2:11" x14ac:dyDescent="0.3">
      <c r="B159" t="s">
        <v>19</v>
      </c>
      <c r="C159">
        <v>8</v>
      </c>
      <c r="D159">
        <v>15</v>
      </c>
      <c r="E159">
        <v>3850</v>
      </c>
      <c r="F159">
        <v>390</v>
      </c>
      <c r="G159">
        <v>190</v>
      </c>
      <c r="H159">
        <f t="shared" si="2"/>
        <v>4.9350649350649353E-2</v>
      </c>
      <c r="I159">
        <v>8.5</v>
      </c>
      <c r="J159">
        <v>70</v>
      </c>
      <c r="K159" t="s">
        <v>10</v>
      </c>
    </row>
    <row r="160" spans="2:11" x14ac:dyDescent="0.3">
      <c r="B160" t="s">
        <v>39</v>
      </c>
      <c r="C160">
        <v>8</v>
      </c>
      <c r="D160">
        <v>11</v>
      </c>
      <c r="E160">
        <v>4382</v>
      </c>
      <c r="F160">
        <v>318</v>
      </c>
      <c r="G160">
        <v>210</v>
      </c>
      <c r="H160">
        <f t="shared" si="2"/>
        <v>4.7923322683706068E-2</v>
      </c>
      <c r="I160">
        <v>13.5</v>
      </c>
      <c r="J160">
        <v>70</v>
      </c>
      <c r="K160" t="s">
        <v>10</v>
      </c>
    </row>
    <row r="161" spans="2:11" x14ac:dyDescent="0.3">
      <c r="B161" t="s">
        <v>20</v>
      </c>
      <c r="C161">
        <v>8</v>
      </c>
      <c r="D161">
        <v>15</v>
      </c>
      <c r="E161">
        <v>3563</v>
      </c>
      <c r="F161">
        <v>383</v>
      </c>
      <c r="G161">
        <v>170</v>
      </c>
      <c r="H161">
        <f t="shared" si="2"/>
        <v>4.771260174010665E-2</v>
      </c>
      <c r="I161">
        <v>10</v>
      </c>
      <c r="J161">
        <v>70</v>
      </c>
      <c r="K161" t="s">
        <v>10</v>
      </c>
    </row>
    <row r="162" spans="2:11" x14ac:dyDescent="0.3">
      <c r="B162" t="s">
        <v>37</v>
      </c>
      <c r="C162">
        <v>8</v>
      </c>
      <c r="D162">
        <v>10</v>
      </c>
      <c r="E162">
        <v>4615</v>
      </c>
      <c r="F162">
        <v>360</v>
      </c>
      <c r="G162">
        <v>215</v>
      </c>
      <c r="H162">
        <f t="shared" si="2"/>
        <v>4.6587215601300108E-2</v>
      </c>
      <c r="I162">
        <v>14</v>
      </c>
      <c r="J162">
        <v>70</v>
      </c>
      <c r="K162" t="s">
        <v>10</v>
      </c>
    </row>
    <row r="163" spans="2:11" x14ac:dyDescent="0.3">
      <c r="B163" t="s">
        <v>38</v>
      </c>
      <c r="C163">
        <v>8</v>
      </c>
      <c r="D163">
        <v>10</v>
      </c>
      <c r="E163">
        <v>4376</v>
      </c>
      <c r="F163">
        <v>307</v>
      </c>
      <c r="G163">
        <v>200</v>
      </c>
      <c r="H163">
        <f t="shared" si="2"/>
        <v>4.5703839122486288E-2</v>
      </c>
      <c r="I163">
        <v>15</v>
      </c>
      <c r="J163">
        <v>70</v>
      </c>
      <c r="K163" t="s">
        <v>10</v>
      </c>
    </row>
    <row r="164" spans="2:11" x14ac:dyDescent="0.3">
      <c r="B164" t="s">
        <v>15</v>
      </c>
      <c r="C164">
        <v>8</v>
      </c>
      <c r="D164">
        <v>15</v>
      </c>
      <c r="E164">
        <v>4341</v>
      </c>
      <c r="F164">
        <v>429</v>
      </c>
      <c r="G164">
        <v>198</v>
      </c>
      <c r="H164">
        <f t="shared" si="2"/>
        <v>4.5611610228058048E-2</v>
      </c>
      <c r="I164">
        <v>10</v>
      </c>
      <c r="J164">
        <v>70</v>
      </c>
      <c r="K164" t="s">
        <v>10</v>
      </c>
    </row>
    <row r="165" spans="2:11" x14ac:dyDescent="0.3">
      <c r="B165" t="s">
        <v>11</v>
      </c>
      <c r="C165">
        <v>8</v>
      </c>
      <c r="D165">
        <v>15</v>
      </c>
      <c r="E165">
        <v>3693</v>
      </c>
      <c r="F165">
        <v>350</v>
      </c>
      <c r="G165">
        <v>165</v>
      </c>
      <c r="H165">
        <f t="shared" si="2"/>
        <v>4.4679122664500408E-2</v>
      </c>
      <c r="I165">
        <v>11.5</v>
      </c>
      <c r="J165">
        <v>70</v>
      </c>
      <c r="K165" t="s">
        <v>10</v>
      </c>
    </row>
    <row r="166" spans="2:11" x14ac:dyDescent="0.3">
      <c r="B166" t="s">
        <v>21</v>
      </c>
      <c r="C166">
        <v>8</v>
      </c>
      <c r="D166">
        <v>14</v>
      </c>
      <c r="E166">
        <v>3609</v>
      </c>
      <c r="F166">
        <v>340</v>
      </c>
      <c r="G166">
        <v>160</v>
      </c>
      <c r="H166">
        <f t="shared" si="2"/>
        <v>4.433361041839845E-2</v>
      </c>
      <c r="I166">
        <v>8</v>
      </c>
      <c r="J166">
        <v>70</v>
      </c>
      <c r="K166" t="s">
        <v>10</v>
      </c>
    </row>
    <row r="167" spans="2:11" x14ac:dyDescent="0.3">
      <c r="B167" t="s">
        <v>13</v>
      </c>
      <c r="C167">
        <v>8</v>
      </c>
      <c r="D167">
        <v>16</v>
      </c>
      <c r="E167">
        <v>3433</v>
      </c>
      <c r="F167">
        <v>304</v>
      </c>
      <c r="G167">
        <v>150</v>
      </c>
      <c r="H167">
        <f t="shared" si="2"/>
        <v>4.3693562481794346E-2</v>
      </c>
      <c r="I167">
        <v>12</v>
      </c>
      <c r="J167">
        <v>70</v>
      </c>
      <c r="K167" t="s">
        <v>10</v>
      </c>
    </row>
    <row r="168" spans="2:11" x14ac:dyDescent="0.3">
      <c r="B168" t="s">
        <v>12</v>
      </c>
      <c r="C168">
        <v>8</v>
      </c>
      <c r="D168">
        <v>18</v>
      </c>
      <c r="E168">
        <v>3436</v>
      </c>
      <c r="F168">
        <v>318</v>
      </c>
      <c r="G168">
        <v>150</v>
      </c>
      <c r="H168">
        <f t="shared" si="2"/>
        <v>4.3655413271245634E-2</v>
      </c>
      <c r="I168">
        <v>11</v>
      </c>
      <c r="J168">
        <v>70</v>
      </c>
      <c r="K168" t="s">
        <v>10</v>
      </c>
    </row>
    <row r="169" spans="2:11" x14ac:dyDescent="0.3">
      <c r="B169" t="s">
        <v>40</v>
      </c>
      <c r="C169">
        <v>8</v>
      </c>
      <c r="D169">
        <v>9</v>
      </c>
      <c r="E169">
        <v>4732</v>
      </c>
      <c r="F169">
        <v>304</v>
      </c>
      <c r="G169">
        <v>193</v>
      </c>
      <c r="H169">
        <f t="shared" si="2"/>
        <v>4.0786136939983092E-2</v>
      </c>
      <c r="I169">
        <v>18.5</v>
      </c>
      <c r="J169">
        <v>70</v>
      </c>
      <c r="K169" t="s">
        <v>10</v>
      </c>
    </row>
    <row r="170" spans="2:11" x14ac:dyDescent="0.3">
      <c r="B170" t="s">
        <v>14</v>
      </c>
      <c r="C170">
        <v>8</v>
      </c>
      <c r="D170">
        <v>17</v>
      </c>
      <c r="E170">
        <v>3449</v>
      </c>
      <c r="F170">
        <v>302</v>
      </c>
      <c r="G170">
        <v>140</v>
      </c>
      <c r="H170">
        <f t="shared" si="2"/>
        <v>4.0591475790084083E-2</v>
      </c>
      <c r="I170">
        <v>10.5</v>
      </c>
      <c r="J170">
        <v>70</v>
      </c>
      <c r="K170" t="s">
        <v>10</v>
      </c>
    </row>
    <row r="171" spans="2:11" x14ac:dyDescent="0.3">
      <c r="B171" t="s">
        <v>22</v>
      </c>
      <c r="C171">
        <v>8</v>
      </c>
      <c r="D171">
        <v>15</v>
      </c>
      <c r="E171">
        <v>3761</v>
      </c>
      <c r="F171">
        <v>400</v>
      </c>
      <c r="G171">
        <v>150</v>
      </c>
      <c r="H171">
        <f t="shared" si="2"/>
        <v>3.988300983780909E-2</v>
      </c>
      <c r="I171">
        <v>9.5</v>
      </c>
      <c r="J171">
        <v>70</v>
      </c>
      <c r="K171" t="s">
        <v>10</v>
      </c>
    </row>
    <row r="172" spans="2:11" x14ac:dyDescent="0.3">
      <c r="B172" t="s">
        <v>9</v>
      </c>
      <c r="C172">
        <v>8</v>
      </c>
      <c r="D172">
        <v>18</v>
      </c>
      <c r="E172">
        <v>3504</v>
      </c>
      <c r="F172">
        <v>307</v>
      </c>
      <c r="G172">
        <v>130</v>
      </c>
      <c r="H172">
        <f t="shared" si="2"/>
        <v>3.7100456621004564E-2</v>
      </c>
      <c r="I172">
        <v>12</v>
      </c>
      <c r="J172">
        <v>70</v>
      </c>
      <c r="K172" t="s">
        <v>10</v>
      </c>
    </row>
    <row r="173" spans="2:11" x14ac:dyDescent="0.3">
      <c r="B173" t="s">
        <v>41</v>
      </c>
      <c r="C173">
        <v>4</v>
      </c>
      <c r="D173">
        <v>28</v>
      </c>
      <c r="E173">
        <v>2264</v>
      </c>
      <c r="F173">
        <v>140</v>
      </c>
      <c r="G173">
        <v>90</v>
      </c>
      <c r="H173">
        <f t="shared" si="2"/>
        <v>3.9752650176678443E-2</v>
      </c>
      <c r="I173">
        <v>15.5</v>
      </c>
      <c r="J173">
        <v>71</v>
      </c>
      <c r="K173" t="s">
        <v>10</v>
      </c>
    </row>
    <row r="174" spans="2:11" x14ac:dyDescent="0.3">
      <c r="B174" t="s">
        <v>55</v>
      </c>
      <c r="C174">
        <v>4</v>
      </c>
      <c r="D174">
        <v>23</v>
      </c>
      <c r="E174">
        <v>2220</v>
      </c>
      <c r="F174">
        <v>122</v>
      </c>
      <c r="G174">
        <v>86</v>
      </c>
      <c r="H174">
        <f t="shared" si="2"/>
        <v>3.8738738738738739E-2</v>
      </c>
      <c r="I174">
        <v>14</v>
      </c>
      <c r="J174">
        <v>71</v>
      </c>
      <c r="K174" t="s">
        <v>10</v>
      </c>
    </row>
    <row r="175" spans="2:11" x14ac:dyDescent="0.3">
      <c r="B175" t="s">
        <v>62</v>
      </c>
      <c r="C175">
        <v>4</v>
      </c>
      <c r="D175">
        <v>26</v>
      </c>
      <c r="E175">
        <v>1955</v>
      </c>
      <c r="F175">
        <v>91</v>
      </c>
      <c r="G175">
        <v>70</v>
      </c>
      <c r="H175">
        <f t="shared" si="2"/>
        <v>3.5805626598465472E-2</v>
      </c>
      <c r="I175">
        <v>20.5</v>
      </c>
      <c r="J175">
        <v>71</v>
      </c>
      <c r="K175" t="s">
        <v>10</v>
      </c>
    </row>
    <row r="176" spans="2:11" x14ac:dyDescent="0.3">
      <c r="B176" t="s">
        <v>52</v>
      </c>
      <c r="C176">
        <v>4</v>
      </c>
      <c r="D176">
        <v>22</v>
      </c>
      <c r="E176">
        <v>2408</v>
      </c>
      <c r="F176">
        <v>140</v>
      </c>
      <c r="G176">
        <v>72</v>
      </c>
      <c r="H176">
        <f t="shared" si="2"/>
        <v>2.9900332225913623E-2</v>
      </c>
      <c r="I176">
        <v>19</v>
      </c>
      <c r="J176">
        <v>71</v>
      </c>
      <c r="K176" t="s">
        <v>10</v>
      </c>
    </row>
    <row r="177" spans="2:11" x14ac:dyDescent="0.3">
      <c r="B177" t="s">
        <v>43</v>
      </c>
      <c r="C177">
        <v>4</v>
      </c>
      <c r="D177">
        <v>25</v>
      </c>
      <c r="E177">
        <v>2046</v>
      </c>
      <c r="F177">
        <v>98</v>
      </c>
      <c r="H177">
        <f t="shared" si="2"/>
        <v>0</v>
      </c>
      <c r="I177">
        <v>19</v>
      </c>
      <c r="J177">
        <v>71</v>
      </c>
      <c r="K177" t="s">
        <v>10</v>
      </c>
    </row>
    <row r="178" spans="2:11" x14ac:dyDescent="0.3">
      <c r="B178" t="s">
        <v>36</v>
      </c>
      <c r="C178">
        <v>6</v>
      </c>
      <c r="D178">
        <v>19</v>
      </c>
      <c r="E178">
        <v>2634</v>
      </c>
      <c r="F178">
        <v>232</v>
      </c>
      <c r="G178">
        <v>100</v>
      </c>
      <c r="H178">
        <f t="shared" si="2"/>
        <v>3.7965072133637055E-2</v>
      </c>
      <c r="I178">
        <v>13</v>
      </c>
      <c r="J178">
        <v>71</v>
      </c>
      <c r="K178" t="s">
        <v>10</v>
      </c>
    </row>
    <row r="179" spans="2:11" x14ac:dyDescent="0.3">
      <c r="B179" t="s">
        <v>51</v>
      </c>
      <c r="C179">
        <v>6</v>
      </c>
      <c r="D179">
        <v>18</v>
      </c>
      <c r="E179">
        <v>2962</v>
      </c>
      <c r="F179">
        <v>258</v>
      </c>
      <c r="G179">
        <v>110</v>
      </c>
      <c r="H179">
        <f t="shared" si="2"/>
        <v>3.7137069547602972E-2</v>
      </c>
      <c r="I179">
        <v>13.5</v>
      </c>
      <c r="J179">
        <v>71</v>
      </c>
      <c r="K179" t="s">
        <v>10</v>
      </c>
    </row>
    <row r="180" spans="2:11" x14ac:dyDescent="0.3">
      <c r="B180" t="s">
        <v>44</v>
      </c>
      <c r="C180">
        <v>6</v>
      </c>
      <c r="D180">
        <v>16</v>
      </c>
      <c r="E180">
        <v>3439</v>
      </c>
      <c r="F180">
        <v>225</v>
      </c>
      <c r="G180">
        <v>105</v>
      </c>
      <c r="H180">
        <f t="shared" si="2"/>
        <v>3.0532131433556268E-2</v>
      </c>
      <c r="I180">
        <v>15.5</v>
      </c>
      <c r="J180">
        <v>71</v>
      </c>
      <c r="K180" t="s">
        <v>10</v>
      </c>
    </row>
    <row r="181" spans="2:11" x14ac:dyDescent="0.3">
      <c r="B181" t="s">
        <v>53</v>
      </c>
      <c r="C181">
        <v>6</v>
      </c>
      <c r="D181">
        <v>19</v>
      </c>
      <c r="E181">
        <v>3282</v>
      </c>
      <c r="F181">
        <v>250</v>
      </c>
      <c r="G181">
        <v>100</v>
      </c>
      <c r="H181">
        <f t="shared" si="2"/>
        <v>3.0469226081657527E-2</v>
      </c>
      <c r="I181">
        <v>15</v>
      </c>
      <c r="J181">
        <v>71</v>
      </c>
      <c r="K181" t="s">
        <v>10</v>
      </c>
    </row>
    <row r="182" spans="2:11" x14ac:dyDescent="0.3">
      <c r="B182" t="s">
        <v>46</v>
      </c>
      <c r="C182">
        <v>6</v>
      </c>
      <c r="D182">
        <v>18</v>
      </c>
      <c r="E182">
        <v>3288</v>
      </c>
      <c r="F182">
        <v>232</v>
      </c>
      <c r="G182">
        <v>100</v>
      </c>
      <c r="H182">
        <f t="shared" si="2"/>
        <v>3.0413625304136254E-2</v>
      </c>
      <c r="I182">
        <v>15.5</v>
      </c>
      <c r="J182">
        <v>71</v>
      </c>
      <c r="K182" t="s">
        <v>10</v>
      </c>
    </row>
    <row r="183" spans="2:11" x14ac:dyDescent="0.3">
      <c r="B183" t="s">
        <v>9</v>
      </c>
      <c r="C183">
        <v>6</v>
      </c>
      <c r="D183">
        <v>17</v>
      </c>
      <c r="E183">
        <v>3329</v>
      </c>
      <c r="F183">
        <v>250</v>
      </c>
      <c r="G183">
        <v>100</v>
      </c>
      <c r="H183">
        <f t="shared" si="2"/>
        <v>3.0039050765995796E-2</v>
      </c>
      <c r="I183">
        <v>15.5</v>
      </c>
      <c r="J183">
        <v>71</v>
      </c>
      <c r="K183" t="s">
        <v>10</v>
      </c>
    </row>
    <row r="184" spans="2:11" x14ac:dyDescent="0.3">
      <c r="B184" t="s">
        <v>54</v>
      </c>
      <c r="C184">
        <v>6</v>
      </c>
      <c r="D184">
        <v>18</v>
      </c>
      <c r="E184">
        <v>3139</v>
      </c>
      <c r="F184">
        <v>250</v>
      </c>
      <c r="G184">
        <v>88</v>
      </c>
      <c r="H184">
        <f t="shared" si="2"/>
        <v>2.8034405861739407E-2</v>
      </c>
      <c r="I184">
        <v>14.5</v>
      </c>
      <c r="J184">
        <v>71</v>
      </c>
      <c r="K184" t="s">
        <v>10</v>
      </c>
    </row>
    <row r="185" spans="2:11" x14ac:dyDescent="0.3">
      <c r="B185" t="s">
        <v>45</v>
      </c>
      <c r="C185">
        <v>6</v>
      </c>
      <c r="D185">
        <v>19</v>
      </c>
      <c r="E185">
        <v>3302</v>
      </c>
      <c r="F185">
        <v>250</v>
      </c>
      <c r="G185">
        <v>88</v>
      </c>
      <c r="H185">
        <f t="shared" si="2"/>
        <v>2.6650514839491216E-2</v>
      </c>
      <c r="I185">
        <v>15.5</v>
      </c>
      <c r="J185">
        <v>71</v>
      </c>
      <c r="K185" t="s">
        <v>10</v>
      </c>
    </row>
    <row r="186" spans="2:11" x14ac:dyDescent="0.3">
      <c r="B186" t="s">
        <v>16</v>
      </c>
      <c r="C186">
        <v>8</v>
      </c>
      <c r="D186">
        <v>14</v>
      </c>
      <c r="E186">
        <v>4209</v>
      </c>
      <c r="F186">
        <v>350</v>
      </c>
      <c r="G186">
        <v>165</v>
      </c>
      <c r="H186">
        <f t="shared" si="2"/>
        <v>3.9201710620099785E-2</v>
      </c>
      <c r="I186">
        <v>12</v>
      </c>
      <c r="J186">
        <v>71</v>
      </c>
      <c r="K186" t="s">
        <v>10</v>
      </c>
    </row>
    <row r="187" spans="2:11" x14ac:dyDescent="0.3">
      <c r="B187" t="s">
        <v>47</v>
      </c>
      <c r="C187">
        <v>8</v>
      </c>
      <c r="D187">
        <v>14</v>
      </c>
      <c r="E187">
        <v>4464</v>
      </c>
      <c r="F187">
        <v>400</v>
      </c>
      <c r="G187">
        <v>175</v>
      </c>
      <c r="H187">
        <f t="shared" si="2"/>
        <v>3.9202508960573479E-2</v>
      </c>
      <c r="I187">
        <v>11.5</v>
      </c>
      <c r="J187">
        <v>71</v>
      </c>
      <c r="K187" t="s">
        <v>10</v>
      </c>
    </row>
    <row r="188" spans="2:11" x14ac:dyDescent="0.3">
      <c r="B188" t="s">
        <v>15</v>
      </c>
      <c r="C188">
        <v>8</v>
      </c>
      <c r="D188">
        <v>14</v>
      </c>
      <c r="E188">
        <v>4154</v>
      </c>
      <c r="F188">
        <v>351</v>
      </c>
      <c r="G188">
        <v>153</v>
      </c>
      <c r="H188">
        <f t="shared" si="2"/>
        <v>3.6831969186326433E-2</v>
      </c>
      <c r="I188">
        <v>13.5</v>
      </c>
      <c r="J188">
        <v>71</v>
      </c>
      <c r="K188" t="s">
        <v>10</v>
      </c>
    </row>
    <row r="189" spans="2:11" x14ac:dyDescent="0.3">
      <c r="B189" t="s">
        <v>17</v>
      </c>
      <c r="C189">
        <v>8</v>
      </c>
      <c r="D189">
        <v>14</v>
      </c>
      <c r="E189">
        <v>4096</v>
      </c>
      <c r="F189">
        <v>318</v>
      </c>
      <c r="G189">
        <v>150</v>
      </c>
      <c r="H189">
        <f t="shared" si="2"/>
        <v>3.662109375E-2</v>
      </c>
      <c r="I189">
        <v>13</v>
      </c>
      <c r="J189">
        <v>71</v>
      </c>
      <c r="K189" t="s">
        <v>10</v>
      </c>
    </row>
    <row r="190" spans="2:11" x14ac:dyDescent="0.3">
      <c r="B190" t="s">
        <v>48</v>
      </c>
      <c r="C190">
        <v>8</v>
      </c>
      <c r="D190">
        <v>12</v>
      </c>
      <c r="E190">
        <v>4955</v>
      </c>
      <c r="F190">
        <v>383</v>
      </c>
      <c r="G190">
        <v>180</v>
      </c>
      <c r="H190">
        <f t="shared" si="2"/>
        <v>3.6326942482341071E-2</v>
      </c>
      <c r="I190">
        <v>11.5</v>
      </c>
      <c r="J190">
        <v>71</v>
      </c>
      <c r="K190" t="s">
        <v>10</v>
      </c>
    </row>
    <row r="191" spans="2:11" x14ac:dyDescent="0.3">
      <c r="B191" t="s">
        <v>49</v>
      </c>
      <c r="C191">
        <v>8</v>
      </c>
      <c r="D191">
        <v>13</v>
      </c>
      <c r="E191">
        <v>4746</v>
      </c>
      <c r="F191">
        <v>400</v>
      </c>
      <c r="G191">
        <v>170</v>
      </c>
      <c r="H191">
        <f t="shared" si="2"/>
        <v>3.5819637589549091E-2</v>
      </c>
      <c r="I191">
        <v>12</v>
      </c>
      <c r="J191">
        <v>71</v>
      </c>
      <c r="K191" t="s">
        <v>10</v>
      </c>
    </row>
    <row r="192" spans="2:11" x14ac:dyDescent="0.3">
      <c r="B192" t="s">
        <v>50</v>
      </c>
      <c r="C192">
        <v>8</v>
      </c>
      <c r="D192">
        <v>13</v>
      </c>
      <c r="E192">
        <v>5140</v>
      </c>
      <c r="F192">
        <v>400</v>
      </c>
      <c r="G192">
        <v>175</v>
      </c>
      <c r="H192">
        <f t="shared" si="2"/>
        <v>3.4046692607003888E-2</v>
      </c>
      <c r="I192">
        <v>12</v>
      </c>
      <c r="J192">
        <v>71</v>
      </c>
      <c r="K192" t="s">
        <v>10</v>
      </c>
    </row>
    <row r="193" spans="2:11" x14ac:dyDescent="0.3">
      <c r="B193" t="s">
        <v>67</v>
      </c>
      <c r="C193">
        <v>4</v>
      </c>
      <c r="D193">
        <v>21</v>
      </c>
      <c r="E193">
        <v>2226</v>
      </c>
      <c r="F193">
        <v>122</v>
      </c>
      <c r="G193">
        <v>86</v>
      </c>
      <c r="H193">
        <f t="shared" si="2"/>
        <v>3.8634321653189578E-2</v>
      </c>
      <c r="I193">
        <v>16.5</v>
      </c>
      <c r="J193">
        <v>72</v>
      </c>
      <c r="K193" t="s">
        <v>10</v>
      </c>
    </row>
    <row r="194" spans="2:11" x14ac:dyDescent="0.3">
      <c r="B194" t="s">
        <v>64</v>
      </c>
      <c r="C194">
        <v>4</v>
      </c>
      <c r="D194">
        <v>25</v>
      </c>
      <c r="E194">
        <v>2126</v>
      </c>
      <c r="F194">
        <v>97.5</v>
      </c>
      <c r="G194">
        <v>80</v>
      </c>
      <c r="H194">
        <f t="shared" ref="H194:H257" si="3">IFERROR(G194/E194, "")</f>
        <v>3.7629350893697081E-2</v>
      </c>
      <c r="I194">
        <v>17</v>
      </c>
      <c r="J194">
        <v>72</v>
      </c>
      <c r="K194" t="s">
        <v>10</v>
      </c>
    </row>
    <row r="195" spans="2:11" x14ac:dyDescent="0.3">
      <c r="B195" t="s">
        <v>66</v>
      </c>
      <c r="C195">
        <v>4</v>
      </c>
      <c r="D195">
        <v>20</v>
      </c>
      <c r="E195">
        <v>2408</v>
      </c>
      <c r="F195">
        <v>140</v>
      </c>
      <c r="G195">
        <v>90</v>
      </c>
      <c r="H195">
        <f t="shared" si="3"/>
        <v>3.7375415282392029E-2</v>
      </c>
      <c r="I195">
        <v>19.5</v>
      </c>
      <c r="J195">
        <v>72</v>
      </c>
      <c r="K195" t="s">
        <v>10</v>
      </c>
    </row>
    <row r="196" spans="2:11" x14ac:dyDescent="0.3">
      <c r="B196" t="s">
        <v>85</v>
      </c>
      <c r="C196">
        <v>4</v>
      </c>
      <c r="D196">
        <v>28</v>
      </c>
      <c r="E196">
        <v>2164</v>
      </c>
      <c r="F196">
        <v>98</v>
      </c>
      <c r="G196">
        <v>80</v>
      </c>
      <c r="H196">
        <f t="shared" si="3"/>
        <v>3.6968576709796676E-2</v>
      </c>
      <c r="I196">
        <v>15</v>
      </c>
      <c r="J196">
        <v>72</v>
      </c>
      <c r="K196" t="s">
        <v>10</v>
      </c>
    </row>
    <row r="197" spans="2:11" x14ac:dyDescent="0.3">
      <c r="B197" t="s">
        <v>82</v>
      </c>
      <c r="C197">
        <v>4</v>
      </c>
      <c r="D197">
        <v>22</v>
      </c>
      <c r="E197">
        <v>2395</v>
      </c>
      <c r="F197">
        <v>122</v>
      </c>
      <c r="G197">
        <v>86</v>
      </c>
      <c r="H197">
        <f t="shared" si="3"/>
        <v>3.5908141962421709E-2</v>
      </c>
      <c r="I197">
        <v>16</v>
      </c>
      <c r="J197">
        <v>72</v>
      </c>
      <c r="K197" t="s">
        <v>10</v>
      </c>
    </row>
    <row r="198" spans="2:11" x14ac:dyDescent="0.3">
      <c r="B198" t="s">
        <v>69</v>
      </c>
      <c r="C198">
        <v>8</v>
      </c>
      <c r="D198">
        <v>11</v>
      </c>
      <c r="E198">
        <v>4633</v>
      </c>
      <c r="F198">
        <v>429</v>
      </c>
      <c r="G198">
        <v>208</v>
      </c>
      <c r="H198">
        <f t="shared" si="3"/>
        <v>4.4895316209799266E-2</v>
      </c>
      <c r="I198">
        <v>11</v>
      </c>
      <c r="J198">
        <v>72</v>
      </c>
      <c r="K198" t="s">
        <v>10</v>
      </c>
    </row>
    <row r="199" spans="2:11" x14ac:dyDescent="0.3">
      <c r="B199" t="s">
        <v>72</v>
      </c>
      <c r="C199">
        <v>8</v>
      </c>
      <c r="D199">
        <v>13</v>
      </c>
      <c r="E199">
        <v>4422</v>
      </c>
      <c r="F199">
        <v>400</v>
      </c>
      <c r="G199">
        <v>190</v>
      </c>
      <c r="H199">
        <f t="shared" si="3"/>
        <v>4.2966983265490727E-2</v>
      </c>
      <c r="I199">
        <v>12.5</v>
      </c>
      <c r="J199">
        <v>72</v>
      </c>
      <c r="K199" t="s">
        <v>10</v>
      </c>
    </row>
    <row r="200" spans="2:11" x14ac:dyDescent="0.3">
      <c r="B200" t="s">
        <v>68</v>
      </c>
      <c r="C200">
        <v>8</v>
      </c>
      <c r="D200">
        <v>17</v>
      </c>
      <c r="E200">
        <v>3672</v>
      </c>
      <c r="F200">
        <v>304</v>
      </c>
      <c r="G200">
        <v>150</v>
      </c>
      <c r="H200">
        <f t="shared" si="3"/>
        <v>4.084967320261438E-2</v>
      </c>
      <c r="I200">
        <v>11.5</v>
      </c>
      <c r="J200">
        <v>72</v>
      </c>
      <c r="K200" t="s">
        <v>10</v>
      </c>
    </row>
    <row r="201" spans="2:11" x14ac:dyDescent="0.3">
      <c r="B201" t="s">
        <v>18</v>
      </c>
      <c r="C201">
        <v>8</v>
      </c>
      <c r="D201">
        <v>14</v>
      </c>
      <c r="E201">
        <v>4385</v>
      </c>
      <c r="F201">
        <v>400</v>
      </c>
      <c r="G201">
        <v>175</v>
      </c>
      <c r="H201">
        <f t="shared" si="3"/>
        <v>3.9908779931584946E-2</v>
      </c>
      <c r="I201">
        <v>12</v>
      </c>
      <c r="J201">
        <v>72</v>
      </c>
      <c r="K201" t="s">
        <v>10</v>
      </c>
    </row>
    <row r="202" spans="2:11" x14ac:dyDescent="0.3">
      <c r="B202" t="s">
        <v>16</v>
      </c>
      <c r="C202">
        <v>8</v>
      </c>
      <c r="D202">
        <v>13</v>
      </c>
      <c r="E202">
        <v>4274</v>
      </c>
      <c r="F202">
        <v>350</v>
      </c>
      <c r="G202">
        <v>165</v>
      </c>
      <c r="H202">
        <f t="shared" si="3"/>
        <v>3.8605521759475903E-2</v>
      </c>
      <c r="I202">
        <v>12</v>
      </c>
      <c r="J202">
        <v>72</v>
      </c>
      <c r="K202" t="s">
        <v>10</v>
      </c>
    </row>
    <row r="203" spans="2:11" x14ac:dyDescent="0.3">
      <c r="B203" t="s">
        <v>74</v>
      </c>
      <c r="C203">
        <v>8</v>
      </c>
      <c r="D203">
        <v>15</v>
      </c>
      <c r="E203">
        <v>3892</v>
      </c>
      <c r="F203">
        <v>304</v>
      </c>
      <c r="G203">
        <v>150</v>
      </c>
      <c r="H203">
        <f t="shared" si="3"/>
        <v>3.8540596094552931E-2</v>
      </c>
      <c r="I203">
        <v>12.5</v>
      </c>
      <c r="J203">
        <v>72</v>
      </c>
      <c r="K203" t="s">
        <v>10</v>
      </c>
    </row>
    <row r="204" spans="2:11" x14ac:dyDescent="0.3">
      <c r="B204" t="s">
        <v>15</v>
      </c>
      <c r="C204">
        <v>8</v>
      </c>
      <c r="D204">
        <v>14</v>
      </c>
      <c r="E204">
        <v>4129</v>
      </c>
      <c r="F204">
        <v>351</v>
      </c>
      <c r="G204">
        <v>153</v>
      </c>
      <c r="H204">
        <f t="shared" si="3"/>
        <v>3.705497699200775E-2</v>
      </c>
      <c r="I204">
        <v>13</v>
      </c>
      <c r="J204">
        <v>72</v>
      </c>
      <c r="K204" t="s">
        <v>10</v>
      </c>
    </row>
    <row r="205" spans="2:11" x14ac:dyDescent="0.3">
      <c r="B205" t="s">
        <v>77</v>
      </c>
      <c r="C205">
        <v>8</v>
      </c>
      <c r="D205">
        <v>14</v>
      </c>
      <c r="E205">
        <v>4077</v>
      </c>
      <c r="F205">
        <v>318</v>
      </c>
      <c r="G205">
        <v>150</v>
      </c>
      <c r="H205">
        <f t="shared" si="3"/>
        <v>3.679175864606328E-2</v>
      </c>
      <c r="I205">
        <v>14</v>
      </c>
      <c r="J205">
        <v>72</v>
      </c>
      <c r="K205" t="s">
        <v>10</v>
      </c>
    </row>
    <row r="206" spans="2:11" x14ac:dyDescent="0.3">
      <c r="B206" t="s">
        <v>17</v>
      </c>
      <c r="C206">
        <v>8</v>
      </c>
      <c r="D206">
        <v>15</v>
      </c>
      <c r="E206">
        <v>4135</v>
      </c>
      <c r="F206">
        <v>318</v>
      </c>
      <c r="G206">
        <v>150</v>
      </c>
      <c r="H206">
        <f t="shared" si="3"/>
        <v>3.6275695284159616E-2</v>
      </c>
      <c r="I206">
        <v>13.5</v>
      </c>
      <c r="J206">
        <v>72</v>
      </c>
      <c r="K206" t="s">
        <v>10</v>
      </c>
    </row>
    <row r="207" spans="2:11" x14ac:dyDescent="0.3">
      <c r="B207" t="s">
        <v>71</v>
      </c>
      <c r="C207">
        <v>8</v>
      </c>
      <c r="D207">
        <v>12</v>
      </c>
      <c r="E207">
        <v>4456</v>
      </c>
      <c r="F207">
        <v>350</v>
      </c>
      <c r="G207">
        <v>160</v>
      </c>
      <c r="H207">
        <f t="shared" si="3"/>
        <v>3.5906642728904849E-2</v>
      </c>
      <c r="I207">
        <v>13.5</v>
      </c>
      <c r="J207">
        <v>72</v>
      </c>
      <c r="K207" t="s">
        <v>10</v>
      </c>
    </row>
    <row r="208" spans="2:11" x14ac:dyDescent="0.3">
      <c r="B208" t="s">
        <v>70</v>
      </c>
      <c r="C208">
        <v>8</v>
      </c>
      <c r="D208">
        <v>13</v>
      </c>
      <c r="E208">
        <v>4502</v>
      </c>
      <c r="F208">
        <v>350</v>
      </c>
      <c r="G208">
        <v>155</v>
      </c>
      <c r="H208">
        <f t="shared" si="3"/>
        <v>3.442914260328743E-2</v>
      </c>
      <c r="I208">
        <v>13.5</v>
      </c>
      <c r="J208">
        <v>72</v>
      </c>
      <c r="K208" t="s">
        <v>10</v>
      </c>
    </row>
    <row r="209" spans="2:11" x14ac:dyDescent="0.3">
      <c r="B209" t="s">
        <v>76</v>
      </c>
      <c r="C209">
        <v>8</v>
      </c>
      <c r="D209">
        <v>13</v>
      </c>
      <c r="E209">
        <v>4294</v>
      </c>
      <c r="F209">
        <v>302</v>
      </c>
      <c r="G209">
        <v>140</v>
      </c>
      <c r="H209">
        <f t="shared" si="3"/>
        <v>3.2603632976245925E-2</v>
      </c>
      <c r="I209">
        <v>16</v>
      </c>
      <c r="J209">
        <v>72</v>
      </c>
      <c r="K209" t="s">
        <v>10</v>
      </c>
    </row>
    <row r="210" spans="2:11" x14ac:dyDescent="0.3">
      <c r="B210" t="s">
        <v>75</v>
      </c>
      <c r="C210">
        <v>8</v>
      </c>
      <c r="D210">
        <v>13</v>
      </c>
      <c r="E210">
        <v>4098</v>
      </c>
      <c r="F210">
        <v>307</v>
      </c>
      <c r="G210">
        <v>130</v>
      </c>
      <c r="H210">
        <f t="shared" si="3"/>
        <v>3.1722791605661299E-2</v>
      </c>
      <c r="I210">
        <v>14</v>
      </c>
      <c r="J210">
        <v>72</v>
      </c>
      <c r="K210" t="s">
        <v>10</v>
      </c>
    </row>
    <row r="211" spans="2:11" x14ac:dyDescent="0.3">
      <c r="B211" t="s">
        <v>43</v>
      </c>
      <c r="C211">
        <v>4</v>
      </c>
      <c r="D211">
        <v>19</v>
      </c>
      <c r="E211">
        <v>2310</v>
      </c>
      <c r="F211">
        <v>122</v>
      </c>
      <c r="G211">
        <v>85</v>
      </c>
      <c r="H211">
        <f t="shared" si="3"/>
        <v>3.67965367965368E-2</v>
      </c>
      <c r="I211">
        <v>18.5</v>
      </c>
      <c r="J211">
        <v>73</v>
      </c>
      <c r="K211" t="s">
        <v>10</v>
      </c>
    </row>
    <row r="212" spans="2:11" x14ac:dyDescent="0.3">
      <c r="B212" t="s">
        <v>66</v>
      </c>
      <c r="C212">
        <v>4</v>
      </c>
      <c r="D212">
        <v>21</v>
      </c>
      <c r="E212">
        <v>2401</v>
      </c>
      <c r="F212">
        <v>140</v>
      </c>
      <c r="G212">
        <v>72</v>
      </c>
      <c r="H212">
        <f t="shared" si="3"/>
        <v>2.9987505206164097E-2</v>
      </c>
      <c r="I212">
        <v>19.5</v>
      </c>
      <c r="J212">
        <v>73</v>
      </c>
      <c r="K212" t="s">
        <v>10</v>
      </c>
    </row>
    <row r="213" spans="2:11" x14ac:dyDescent="0.3">
      <c r="B213" t="s">
        <v>107</v>
      </c>
      <c r="C213">
        <v>6</v>
      </c>
      <c r="D213">
        <v>21</v>
      </c>
      <c r="E213">
        <v>2472</v>
      </c>
      <c r="F213">
        <v>155</v>
      </c>
      <c r="G213">
        <v>107</v>
      </c>
      <c r="H213">
        <f t="shared" si="3"/>
        <v>4.3284789644012944E-2</v>
      </c>
      <c r="I213">
        <v>14</v>
      </c>
      <c r="J213">
        <v>73</v>
      </c>
      <c r="K213" t="s">
        <v>10</v>
      </c>
    </row>
    <row r="214" spans="2:11" x14ac:dyDescent="0.3">
      <c r="B214" t="s">
        <v>36</v>
      </c>
      <c r="C214">
        <v>6</v>
      </c>
      <c r="D214">
        <v>18</v>
      </c>
      <c r="E214">
        <v>2789</v>
      </c>
      <c r="F214">
        <v>232</v>
      </c>
      <c r="G214">
        <v>100</v>
      </c>
      <c r="H214">
        <f t="shared" si="3"/>
        <v>3.5855145213338116E-2</v>
      </c>
      <c r="I214">
        <v>15</v>
      </c>
      <c r="J214">
        <v>73</v>
      </c>
      <c r="K214" t="s">
        <v>10</v>
      </c>
    </row>
    <row r="215" spans="2:11" x14ac:dyDescent="0.3">
      <c r="B215" t="s">
        <v>27</v>
      </c>
      <c r="C215">
        <v>6</v>
      </c>
      <c r="D215">
        <v>18</v>
      </c>
      <c r="E215">
        <v>2945</v>
      </c>
      <c r="F215">
        <v>232</v>
      </c>
      <c r="G215">
        <v>100</v>
      </c>
      <c r="H215">
        <f t="shared" si="3"/>
        <v>3.3955857385398983E-2</v>
      </c>
      <c r="I215">
        <v>16</v>
      </c>
      <c r="J215">
        <v>73</v>
      </c>
      <c r="K215" t="s">
        <v>10</v>
      </c>
    </row>
    <row r="216" spans="2:11" x14ac:dyDescent="0.3">
      <c r="B216" t="s">
        <v>98</v>
      </c>
      <c r="C216">
        <v>6</v>
      </c>
      <c r="D216">
        <v>18</v>
      </c>
      <c r="E216">
        <v>3121</v>
      </c>
      <c r="F216">
        <v>225</v>
      </c>
      <c r="G216">
        <v>105</v>
      </c>
      <c r="H216">
        <f t="shared" si="3"/>
        <v>3.3643063120794618E-2</v>
      </c>
      <c r="I216">
        <v>16.5</v>
      </c>
      <c r="J216">
        <v>73</v>
      </c>
      <c r="K216" t="s">
        <v>10</v>
      </c>
    </row>
    <row r="217" spans="2:11" x14ac:dyDescent="0.3">
      <c r="B217" t="s">
        <v>26</v>
      </c>
      <c r="C217">
        <v>6</v>
      </c>
      <c r="D217">
        <v>23</v>
      </c>
      <c r="E217">
        <v>2904</v>
      </c>
      <c r="F217">
        <v>198</v>
      </c>
      <c r="G217">
        <v>95</v>
      </c>
      <c r="H217">
        <f t="shared" si="3"/>
        <v>3.2713498622589529E-2</v>
      </c>
      <c r="I217">
        <v>16</v>
      </c>
      <c r="J217">
        <v>73</v>
      </c>
      <c r="K217" t="s">
        <v>10</v>
      </c>
    </row>
    <row r="218" spans="2:11" x14ac:dyDescent="0.3">
      <c r="B218" t="s">
        <v>99</v>
      </c>
      <c r="C218">
        <v>6</v>
      </c>
      <c r="D218">
        <v>16</v>
      </c>
      <c r="E218">
        <v>3278</v>
      </c>
      <c r="F218">
        <v>250</v>
      </c>
      <c r="G218">
        <v>100</v>
      </c>
      <c r="H218">
        <f t="shared" si="3"/>
        <v>3.0506406345332519E-2</v>
      </c>
      <c r="I218">
        <v>18</v>
      </c>
      <c r="J218">
        <v>73</v>
      </c>
      <c r="K218" t="s">
        <v>10</v>
      </c>
    </row>
    <row r="219" spans="2:11" x14ac:dyDescent="0.3">
      <c r="B219" t="s">
        <v>28</v>
      </c>
      <c r="C219">
        <v>6</v>
      </c>
      <c r="D219">
        <v>18</v>
      </c>
      <c r="E219">
        <v>3021</v>
      </c>
      <c r="F219">
        <v>250</v>
      </c>
      <c r="G219">
        <v>88</v>
      </c>
      <c r="H219">
        <f t="shared" si="3"/>
        <v>2.9129427341939754E-2</v>
      </c>
      <c r="I219">
        <v>16.5</v>
      </c>
      <c r="J219">
        <v>73</v>
      </c>
      <c r="K219" t="s">
        <v>10</v>
      </c>
    </row>
    <row r="220" spans="2:11" x14ac:dyDescent="0.3">
      <c r="B220" t="s">
        <v>110</v>
      </c>
      <c r="C220">
        <v>8</v>
      </c>
      <c r="D220">
        <v>16</v>
      </c>
      <c r="E220">
        <v>4278</v>
      </c>
      <c r="F220">
        <v>400</v>
      </c>
      <c r="G220">
        <v>230</v>
      </c>
      <c r="H220">
        <f t="shared" si="3"/>
        <v>5.3763440860215055E-2</v>
      </c>
      <c r="I220">
        <v>9.5</v>
      </c>
      <c r="J220">
        <v>73</v>
      </c>
      <c r="K220" t="s">
        <v>10</v>
      </c>
    </row>
    <row r="221" spans="2:11" x14ac:dyDescent="0.3">
      <c r="B221" t="s">
        <v>118</v>
      </c>
      <c r="C221">
        <v>8</v>
      </c>
      <c r="D221">
        <v>11</v>
      </c>
      <c r="E221">
        <v>3664</v>
      </c>
      <c r="F221">
        <v>350</v>
      </c>
      <c r="G221">
        <v>180</v>
      </c>
      <c r="H221">
        <f t="shared" si="3"/>
        <v>4.9126637554585149E-2</v>
      </c>
      <c r="I221">
        <v>11</v>
      </c>
      <c r="J221">
        <v>73</v>
      </c>
      <c r="K221" t="s">
        <v>10</v>
      </c>
    </row>
    <row r="222" spans="2:11" x14ac:dyDescent="0.3">
      <c r="B222" t="s">
        <v>97</v>
      </c>
      <c r="C222">
        <v>8</v>
      </c>
      <c r="D222">
        <v>13</v>
      </c>
      <c r="E222">
        <v>3821</v>
      </c>
      <c r="F222">
        <v>360</v>
      </c>
      <c r="G222">
        <v>175</v>
      </c>
      <c r="H222">
        <f t="shared" si="3"/>
        <v>4.5799528919131118E-2</v>
      </c>
      <c r="I222">
        <v>11</v>
      </c>
      <c r="J222">
        <v>73</v>
      </c>
      <c r="K222" t="s">
        <v>10</v>
      </c>
    </row>
    <row r="223" spans="2:11" x14ac:dyDescent="0.3">
      <c r="B223" t="s">
        <v>96</v>
      </c>
      <c r="C223">
        <v>8</v>
      </c>
      <c r="D223">
        <v>12</v>
      </c>
      <c r="E223">
        <v>4951</v>
      </c>
      <c r="F223">
        <v>455</v>
      </c>
      <c r="G223">
        <v>225</v>
      </c>
      <c r="H223">
        <f t="shared" si="3"/>
        <v>4.5445364572813576E-2</v>
      </c>
      <c r="I223">
        <v>11</v>
      </c>
      <c r="J223">
        <v>73</v>
      </c>
      <c r="K223" t="s">
        <v>10</v>
      </c>
    </row>
    <row r="224" spans="2:11" x14ac:dyDescent="0.3">
      <c r="B224" t="s">
        <v>95</v>
      </c>
      <c r="C224">
        <v>8</v>
      </c>
      <c r="D224">
        <v>13</v>
      </c>
      <c r="E224">
        <v>4735</v>
      </c>
      <c r="F224">
        <v>440</v>
      </c>
      <c r="G224">
        <v>215</v>
      </c>
      <c r="H224">
        <f t="shared" si="3"/>
        <v>4.5406546990496302E-2</v>
      </c>
      <c r="I224">
        <v>11</v>
      </c>
      <c r="J224">
        <v>73</v>
      </c>
      <c r="K224" t="s">
        <v>10</v>
      </c>
    </row>
    <row r="225" spans="2:11" x14ac:dyDescent="0.3">
      <c r="B225" t="s">
        <v>115</v>
      </c>
      <c r="C225">
        <v>8</v>
      </c>
      <c r="D225">
        <v>15</v>
      </c>
      <c r="E225">
        <v>3399</v>
      </c>
      <c r="F225">
        <v>318</v>
      </c>
      <c r="G225">
        <v>150</v>
      </c>
      <c r="H225">
        <f t="shared" si="3"/>
        <v>4.4130626654898503E-2</v>
      </c>
      <c r="I225">
        <v>11</v>
      </c>
      <c r="J225">
        <v>73</v>
      </c>
      <c r="K225" t="s">
        <v>10</v>
      </c>
    </row>
    <row r="226" spans="2:11" x14ac:dyDescent="0.3">
      <c r="B226" t="s">
        <v>87</v>
      </c>
      <c r="C226">
        <v>8</v>
      </c>
      <c r="D226">
        <v>13</v>
      </c>
      <c r="E226">
        <v>4100</v>
      </c>
      <c r="F226">
        <v>350</v>
      </c>
      <c r="G226">
        <v>175</v>
      </c>
      <c r="H226">
        <f t="shared" si="3"/>
        <v>4.2682926829268296E-2</v>
      </c>
      <c r="I226">
        <v>13</v>
      </c>
      <c r="J226">
        <v>73</v>
      </c>
      <c r="K226" t="s">
        <v>10</v>
      </c>
    </row>
    <row r="227" spans="2:11" x14ac:dyDescent="0.3">
      <c r="B227" t="s">
        <v>46</v>
      </c>
      <c r="C227">
        <v>8</v>
      </c>
      <c r="D227">
        <v>14</v>
      </c>
      <c r="E227">
        <v>3672</v>
      </c>
      <c r="F227">
        <v>304</v>
      </c>
      <c r="G227">
        <v>150</v>
      </c>
      <c r="H227">
        <f t="shared" si="3"/>
        <v>4.084967320261438E-2</v>
      </c>
      <c r="I227">
        <v>11.5</v>
      </c>
      <c r="J227">
        <v>73</v>
      </c>
      <c r="K227" t="s">
        <v>10</v>
      </c>
    </row>
    <row r="228" spans="2:11" x14ac:dyDescent="0.3">
      <c r="B228" t="s">
        <v>91</v>
      </c>
      <c r="C228">
        <v>8</v>
      </c>
      <c r="D228">
        <v>12</v>
      </c>
      <c r="E228">
        <v>4952</v>
      </c>
      <c r="F228">
        <v>429</v>
      </c>
      <c r="G228">
        <v>198</v>
      </c>
      <c r="H228">
        <f t="shared" si="3"/>
        <v>3.998384491114701E-2</v>
      </c>
      <c r="I228">
        <v>11.5</v>
      </c>
      <c r="J228">
        <v>73</v>
      </c>
      <c r="K228" t="s">
        <v>10</v>
      </c>
    </row>
    <row r="229" spans="2:11" x14ac:dyDescent="0.3">
      <c r="B229" t="s">
        <v>103</v>
      </c>
      <c r="C229">
        <v>8</v>
      </c>
      <c r="D229">
        <v>12</v>
      </c>
      <c r="E229">
        <v>4499</v>
      </c>
      <c r="F229">
        <v>350</v>
      </c>
      <c r="G229">
        <v>180</v>
      </c>
      <c r="H229">
        <f t="shared" si="3"/>
        <v>4.0008890864636583E-2</v>
      </c>
      <c r="I229">
        <v>12.5</v>
      </c>
      <c r="J229">
        <v>73</v>
      </c>
      <c r="K229" t="s">
        <v>10</v>
      </c>
    </row>
    <row r="230" spans="2:11" x14ac:dyDescent="0.3">
      <c r="B230" t="s">
        <v>90</v>
      </c>
      <c r="C230">
        <v>8</v>
      </c>
      <c r="D230">
        <v>15</v>
      </c>
      <c r="E230">
        <v>3777</v>
      </c>
      <c r="F230">
        <v>318</v>
      </c>
      <c r="G230">
        <v>150</v>
      </c>
      <c r="H230">
        <f t="shared" si="3"/>
        <v>3.971405877680699E-2</v>
      </c>
      <c r="I230">
        <v>12.5</v>
      </c>
      <c r="J230">
        <v>73</v>
      </c>
      <c r="K230" t="s">
        <v>10</v>
      </c>
    </row>
    <row r="231" spans="2:11" x14ac:dyDescent="0.3">
      <c r="B231" t="s">
        <v>102</v>
      </c>
      <c r="C231">
        <v>8</v>
      </c>
      <c r="D231">
        <v>13</v>
      </c>
      <c r="E231">
        <v>4654</v>
      </c>
      <c r="F231">
        <v>360</v>
      </c>
      <c r="G231">
        <v>170</v>
      </c>
      <c r="H231">
        <f t="shared" si="3"/>
        <v>3.6527718091963902E-2</v>
      </c>
      <c r="I231">
        <v>13</v>
      </c>
      <c r="J231">
        <v>73</v>
      </c>
      <c r="K231" t="s">
        <v>10</v>
      </c>
    </row>
    <row r="232" spans="2:11" x14ac:dyDescent="0.3">
      <c r="B232" t="s">
        <v>88</v>
      </c>
      <c r="C232">
        <v>8</v>
      </c>
      <c r="D232">
        <v>13</v>
      </c>
      <c r="E232">
        <v>3988</v>
      </c>
      <c r="F232">
        <v>350</v>
      </c>
      <c r="G232">
        <v>145</v>
      </c>
      <c r="H232">
        <f t="shared" si="3"/>
        <v>3.6359077231695083E-2</v>
      </c>
      <c r="I232">
        <v>13</v>
      </c>
      <c r="J232">
        <v>73</v>
      </c>
      <c r="K232" t="s">
        <v>10</v>
      </c>
    </row>
    <row r="233" spans="2:11" x14ac:dyDescent="0.3">
      <c r="B233" t="s">
        <v>93</v>
      </c>
      <c r="C233">
        <v>8</v>
      </c>
      <c r="D233">
        <v>13</v>
      </c>
      <c r="E233">
        <v>4363</v>
      </c>
      <c r="F233">
        <v>351</v>
      </c>
      <c r="G233">
        <v>158</v>
      </c>
      <c r="H233">
        <f t="shared" si="3"/>
        <v>3.6213614485445793E-2</v>
      </c>
      <c r="I233">
        <v>13</v>
      </c>
      <c r="J233">
        <v>73</v>
      </c>
      <c r="K233" t="s">
        <v>10</v>
      </c>
    </row>
    <row r="234" spans="2:11" x14ac:dyDescent="0.3">
      <c r="B234" t="s">
        <v>109</v>
      </c>
      <c r="C234">
        <v>8</v>
      </c>
      <c r="D234">
        <v>15</v>
      </c>
      <c r="E234">
        <v>4082</v>
      </c>
      <c r="F234">
        <v>350</v>
      </c>
      <c r="G234">
        <v>145</v>
      </c>
      <c r="H234">
        <f t="shared" si="3"/>
        <v>3.5521803037726604E-2</v>
      </c>
      <c r="I234">
        <v>13</v>
      </c>
      <c r="J234">
        <v>73</v>
      </c>
      <c r="K234" t="s">
        <v>10</v>
      </c>
    </row>
    <row r="235" spans="2:11" x14ac:dyDescent="0.3">
      <c r="B235" t="s">
        <v>94</v>
      </c>
      <c r="C235">
        <v>8</v>
      </c>
      <c r="D235">
        <v>14</v>
      </c>
      <c r="E235">
        <v>4237</v>
      </c>
      <c r="F235">
        <v>318</v>
      </c>
      <c r="G235">
        <v>150</v>
      </c>
      <c r="H235">
        <f t="shared" si="3"/>
        <v>3.5402407363700733E-2</v>
      </c>
      <c r="I235">
        <v>14.5</v>
      </c>
      <c r="J235">
        <v>73</v>
      </c>
      <c r="K235" t="s">
        <v>10</v>
      </c>
    </row>
    <row r="236" spans="2:11" x14ac:dyDescent="0.3">
      <c r="B236" t="s">
        <v>101</v>
      </c>
      <c r="C236">
        <v>8</v>
      </c>
      <c r="D236">
        <v>12</v>
      </c>
      <c r="E236">
        <v>4906</v>
      </c>
      <c r="F236">
        <v>400</v>
      </c>
      <c r="G236">
        <v>167</v>
      </c>
      <c r="H236">
        <f t="shared" si="3"/>
        <v>3.4039951080309827E-2</v>
      </c>
      <c r="I236">
        <v>12.5</v>
      </c>
      <c r="J236">
        <v>73</v>
      </c>
      <c r="K236" t="s">
        <v>10</v>
      </c>
    </row>
    <row r="237" spans="2:11" x14ac:dyDescent="0.3">
      <c r="B237" t="s">
        <v>89</v>
      </c>
      <c r="C237">
        <v>8</v>
      </c>
      <c r="D237">
        <v>14</v>
      </c>
      <c r="E237">
        <v>4042</v>
      </c>
      <c r="F237">
        <v>302</v>
      </c>
      <c r="G237">
        <v>137</v>
      </c>
      <c r="H237">
        <f t="shared" si="3"/>
        <v>3.3894111825828799E-2</v>
      </c>
      <c r="I237">
        <v>14.5</v>
      </c>
      <c r="J237">
        <v>73</v>
      </c>
      <c r="K237" t="s">
        <v>10</v>
      </c>
    </row>
    <row r="238" spans="2:11" x14ac:dyDescent="0.3">
      <c r="B238" t="s">
        <v>92</v>
      </c>
      <c r="C238">
        <v>8</v>
      </c>
      <c r="D238">
        <v>13</v>
      </c>
      <c r="E238">
        <v>4464</v>
      </c>
      <c r="F238">
        <v>400</v>
      </c>
      <c r="G238">
        <v>150</v>
      </c>
      <c r="H238">
        <f t="shared" si="3"/>
        <v>3.3602150537634407E-2</v>
      </c>
      <c r="I238">
        <v>12</v>
      </c>
      <c r="J238">
        <v>73</v>
      </c>
      <c r="K238" t="s">
        <v>10</v>
      </c>
    </row>
    <row r="239" spans="2:11" x14ac:dyDescent="0.3">
      <c r="B239" t="s">
        <v>16</v>
      </c>
      <c r="C239">
        <v>8</v>
      </c>
      <c r="D239">
        <v>11</v>
      </c>
      <c r="E239">
        <v>4997</v>
      </c>
      <c r="F239">
        <v>400</v>
      </c>
      <c r="G239">
        <v>150</v>
      </c>
      <c r="H239">
        <f t="shared" si="3"/>
        <v>3.0018010806483891E-2</v>
      </c>
      <c r="I239">
        <v>14</v>
      </c>
      <c r="J239">
        <v>73</v>
      </c>
      <c r="K239" t="s">
        <v>10</v>
      </c>
    </row>
    <row r="240" spans="2:11" x14ac:dyDescent="0.3">
      <c r="B240" t="s">
        <v>128</v>
      </c>
      <c r="C240">
        <v>4</v>
      </c>
      <c r="D240">
        <v>28</v>
      </c>
      <c r="E240">
        <v>2125</v>
      </c>
      <c r="F240">
        <v>90</v>
      </c>
      <c r="G240">
        <v>75</v>
      </c>
      <c r="H240">
        <f t="shared" si="3"/>
        <v>3.5294117647058823E-2</v>
      </c>
      <c r="I240">
        <v>14.5</v>
      </c>
      <c r="J240">
        <v>74</v>
      </c>
      <c r="K240" t="s">
        <v>10</v>
      </c>
    </row>
    <row r="241" spans="2:11" x14ac:dyDescent="0.3">
      <c r="B241" t="s">
        <v>43</v>
      </c>
      <c r="C241">
        <v>4</v>
      </c>
      <c r="D241">
        <v>26</v>
      </c>
      <c r="E241">
        <v>2451</v>
      </c>
      <c r="F241">
        <v>122</v>
      </c>
      <c r="G241">
        <v>80</v>
      </c>
      <c r="H241">
        <f t="shared" si="3"/>
        <v>3.2639738882088945E-2</v>
      </c>
      <c r="I241">
        <v>16.5</v>
      </c>
      <c r="J241">
        <v>74</v>
      </c>
      <c r="K241" t="s">
        <v>10</v>
      </c>
    </row>
    <row r="242" spans="2:11" x14ac:dyDescent="0.3">
      <c r="B242" t="s">
        <v>66</v>
      </c>
      <c r="C242">
        <v>4</v>
      </c>
      <c r="D242">
        <v>25</v>
      </c>
      <c r="E242">
        <v>2542</v>
      </c>
      <c r="F242">
        <v>140</v>
      </c>
      <c r="G242">
        <v>75</v>
      </c>
      <c r="H242">
        <f t="shared" si="3"/>
        <v>2.9504327301337528E-2</v>
      </c>
      <c r="I242">
        <v>17</v>
      </c>
      <c r="J242">
        <v>74</v>
      </c>
      <c r="K242" t="s">
        <v>10</v>
      </c>
    </row>
    <row r="243" spans="2:11" x14ac:dyDescent="0.3">
      <c r="B243" t="s">
        <v>27</v>
      </c>
      <c r="C243">
        <v>6</v>
      </c>
      <c r="D243">
        <v>19</v>
      </c>
      <c r="E243">
        <v>2901</v>
      </c>
      <c r="F243">
        <v>232</v>
      </c>
      <c r="G243">
        <v>100</v>
      </c>
      <c r="H243">
        <f t="shared" si="3"/>
        <v>3.447087211306446E-2</v>
      </c>
      <c r="I243">
        <v>16</v>
      </c>
      <c r="J243">
        <v>74</v>
      </c>
      <c r="K243" t="s">
        <v>10</v>
      </c>
    </row>
    <row r="244" spans="2:11" x14ac:dyDescent="0.3">
      <c r="B244" t="s">
        <v>26</v>
      </c>
      <c r="C244">
        <v>6</v>
      </c>
      <c r="D244">
        <v>20</v>
      </c>
      <c r="E244">
        <v>3102</v>
      </c>
      <c r="F244">
        <v>198</v>
      </c>
      <c r="G244">
        <v>95</v>
      </c>
      <c r="H244">
        <f t="shared" si="3"/>
        <v>3.0625402965828497E-2</v>
      </c>
      <c r="I244">
        <v>16.5</v>
      </c>
      <c r="J244">
        <v>74</v>
      </c>
      <c r="K244" t="s">
        <v>10</v>
      </c>
    </row>
    <row r="245" spans="2:11" x14ac:dyDescent="0.3">
      <c r="B245" t="s">
        <v>46</v>
      </c>
      <c r="C245">
        <v>6</v>
      </c>
      <c r="D245">
        <v>16</v>
      </c>
      <c r="E245">
        <v>3632</v>
      </c>
      <c r="F245">
        <v>258</v>
      </c>
      <c r="G245">
        <v>110</v>
      </c>
      <c r="H245">
        <f t="shared" si="3"/>
        <v>3.0286343612334801E-2</v>
      </c>
      <c r="I245">
        <v>18</v>
      </c>
      <c r="J245">
        <v>74</v>
      </c>
      <c r="K245" t="s">
        <v>10</v>
      </c>
    </row>
    <row r="246" spans="2:11" x14ac:dyDescent="0.3">
      <c r="B246" t="s">
        <v>119</v>
      </c>
      <c r="C246">
        <v>6</v>
      </c>
      <c r="D246">
        <v>15</v>
      </c>
      <c r="E246">
        <v>3336</v>
      </c>
      <c r="F246">
        <v>250</v>
      </c>
      <c r="G246">
        <v>100</v>
      </c>
      <c r="H246">
        <f t="shared" si="3"/>
        <v>2.9976019184652279E-2</v>
      </c>
      <c r="I246">
        <v>17</v>
      </c>
      <c r="J246">
        <v>74</v>
      </c>
      <c r="K246" t="s">
        <v>10</v>
      </c>
    </row>
    <row r="247" spans="2:11" x14ac:dyDescent="0.3">
      <c r="B247" t="s">
        <v>122</v>
      </c>
      <c r="C247">
        <v>6</v>
      </c>
      <c r="D247">
        <v>18</v>
      </c>
      <c r="E247">
        <v>3613</v>
      </c>
      <c r="F247">
        <v>225</v>
      </c>
      <c r="G247">
        <v>105</v>
      </c>
      <c r="H247">
        <f t="shared" si="3"/>
        <v>2.9061721561029614E-2</v>
      </c>
      <c r="I247">
        <v>16.5</v>
      </c>
      <c r="J247">
        <v>74</v>
      </c>
      <c r="K247" t="s">
        <v>10</v>
      </c>
    </row>
    <row r="248" spans="2:11" x14ac:dyDescent="0.3">
      <c r="B248" t="s">
        <v>121</v>
      </c>
      <c r="C248">
        <v>6</v>
      </c>
      <c r="D248">
        <v>16</v>
      </c>
      <c r="E248">
        <v>3781</v>
      </c>
      <c r="F248">
        <v>250</v>
      </c>
      <c r="G248">
        <v>100</v>
      </c>
      <c r="H248">
        <f t="shared" si="3"/>
        <v>2.6448029621793177E-2</v>
      </c>
      <c r="I248">
        <v>17</v>
      </c>
      <c r="J248">
        <v>74</v>
      </c>
      <c r="K248" t="s">
        <v>10</v>
      </c>
    </row>
    <row r="249" spans="2:11" x14ac:dyDescent="0.3">
      <c r="B249" t="s">
        <v>28</v>
      </c>
      <c r="C249">
        <v>6</v>
      </c>
      <c r="D249">
        <v>21</v>
      </c>
      <c r="E249">
        <v>2875</v>
      </c>
      <c r="F249">
        <v>200</v>
      </c>
      <c r="H249">
        <f t="shared" si="3"/>
        <v>0</v>
      </c>
      <c r="I249">
        <v>17</v>
      </c>
      <c r="J249">
        <v>74</v>
      </c>
      <c r="K249" t="s">
        <v>10</v>
      </c>
    </row>
    <row r="250" spans="2:11" x14ac:dyDescent="0.3">
      <c r="B250" t="s">
        <v>74</v>
      </c>
      <c r="C250">
        <v>8</v>
      </c>
      <c r="D250">
        <v>14</v>
      </c>
      <c r="E250">
        <v>4257</v>
      </c>
      <c r="F250">
        <v>304</v>
      </c>
      <c r="G250">
        <v>150</v>
      </c>
      <c r="H250">
        <f t="shared" si="3"/>
        <v>3.5236081747709654E-2</v>
      </c>
      <c r="I250">
        <v>15.5</v>
      </c>
      <c r="J250">
        <v>74</v>
      </c>
      <c r="K250" t="s">
        <v>10</v>
      </c>
    </row>
    <row r="251" spans="2:11" x14ac:dyDescent="0.3">
      <c r="B251" t="s">
        <v>89</v>
      </c>
      <c r="C251">
        <v>8</v>
      </c>
      <c r="D251">
        <v>16</v>
      </c>
      <c r="E251">
        <v>4141</v>
      </c>
      <c r="F251">
        <v>302</v>
      </c>
      <c r="G251">
        <v>140</v>
      </c>
      <c r="H251">
        <f t="shared" si="3"/>
        <v>3.3808258874667957E-2</v>
      </c>
      <c r="I251">
        <v>14</v>
      </c>
      <c r="J251">
        <v>74</v>
      </c>
      <c r="K251" t="s">
        <v>10</v>
      </c>
    </row>
    <row r="252" spans="2:11" x14ac:dyDescent="0.3">
      <c r="B252" t="s">
        <v>124</v>
      </c>
      <c r="C252">
        <v>8</v>
      </c>
      <c r="D252">
        <v>14</v>
      </c>
      <c r="E252">
        <v>4457</v>
      </c>
      <c r="F252">
        <v>318</v>
      </c>
      <c r="G252">
        <v>150</v>
      </c>
      <c r="H252">
        <f t="shared" si="3"/>
        <v>3.3654924837334531E-2</v>
      </c>
      <c r="I252">
        <v>13.5</v>
      </c>
      <c r="J252">
        <v>74</v>
      </c>
      <c r="K252" t="s">
        <v>10</v>
      </c>
    </row>
    <row r="253" spans="2:11" x14ac:dyDescent="0.3">
      <c r="B253" t="s">
        <v>123</v>
      </c>
      <c r="C253">
        <v>8</v>
      </c>
      <c r="D253">
        <v>13</v>
      </c>
      <c r="E253">
        <v>4699</v>
      </c>
      <c r="F253">
        <v>350</v>
      </c>
      <c r="G253">
        <v>150</v>
      </c>
      <c r="H253">
        <f t="shared" si="3"/>
        <v>3.192168546499255E-2</v>
      </c>
      <c r="I253">
        <v>14.5</v>
      </c>
      <c r="J253">
        <v>74</v>
      </c>
      <c r="K253" t="s">
        <v>10</v>
      </c>
    </row>
    <row r="254" spans="2:11" x14ac:dyDescent="0.3">
      <c r="B254" t="s">
        <v>76</v>
      </c>
      <c r="C254">
        <v>8</v>
      </c>
      <c r="D254">
        <v>14</v>
      </c>
      <c r="E254">
        <v>4638</v>
      </c>
      <c r="F254">
        <v>302</v>
      </c>
      <c r="G254">
        <v>140</v>
      </c>
      <c r="H254">
        <f t="shared" si="3"/>
        <v>3.0185424752048298E-2</v>
      </c>
      <c r="I254">
        <v>16</v>
      </c>
      <c r="J254">
        <v>74</v>
      </c>
      <c r="K254" t="s">
        <v>10</v>
      </c>
    </row>
    <row r="255" spans="2:11" x14ac:dyDescent="0.3">
      <c r="B255" t="s">
        <v>43</v>
      </c>
      <c r="C255">
        <v>4</v>
      </c>
      <c r="D255">
        <v>23</v>
      </c>
      <c r="E255">
        <v>2639</v>
      </c>
      <c r="F255">
        <v>140</v>
      </c>
      <c r="G255">
        <v>83</v>
      </c>
      <c r="H255">
        <f t="shared" si="3"/>
        <v>3.1451307313376281E-2</v>
      </c>
      <c r="I255">
        <v>17</v>
      </c>
      <c r="J255">
        <v>75</v>
      </c>
      <c r="K255" t="s">
        <v>10</v>
      </c>
    </row>
    <row r="256" spans="2:11" x14ac:dyDescent="0.3">
      <c r="B256" t="s">
        <v>144</v>
      </c>
      <c r="C256">
        <v>4</v>
      </c>
      <c r="D256">
        <v>23</v>
      </c>
      <c r="E256">
        <v>2592</v>
      </c>
      <c r="F256">
        <v>140</v>
      </c>
      <c r="G256">
        <v>78</v>
      </c>
      <c r="H256">
        <f t="shared" si="3"/>
        <v>3.0092592592592591E-2</v>
      </c>
      <c r="I256">
        <v>18.5</v>
      </c>
      <c r="J256">
        <v>75</v>
      </c>
      <c r="K256" t="s">
        <v>10</v>
      </c>
    </row>
    <row r="257" spans="2:11" x14ac:dyDescent="0.3">
      <c r="B257" t="s">
        <v>140</v>
      </c>
      <c r="C257">
        <v>6</v>
      </c>
      <c r="D257">
        <v>21</v>
      </c>
      <c r="E257">
        <v>3039</v>
      </c>
      <c r="F257">
        <v>231</v>
      </c>
      <c r="G257">
        <v>110</v>
      </c>
      <c r="H257">
        <f t="shared" si="3"/>
        <v>3.61961171437973E-2</v>
      </c>
      <c r="I257">
        <v>15</v>
      </c>
      <c r="J257">
        <v>75</v>
      </c>
      <c r="K257" t="s">
        <v>10</v>
      </c>
    </row>
    <row r="258" spans="2:11" x14ac:dyDescent="0.3">
      <c r="B258" t="s">
        <v>36</v>
      </c>
      <c r="C258">
        <v>6</v>
      </c>
      <c r="D258">
        <v>20</v>
      </c>
      <c r="E258">
        <v>2914</v>
      </c>
      <c r="F258">
        <v>232</v>
      </c>
      <c r="G258">
        <v>100</v>
      </c>
      <c r="H258">
        <f t="shared" ref="H258:H321" si="4">IFERROR(G258/E258, "")</f>
        <v>3.4317089910775568E-2</v>
      </c>
      <c r="I258">
        <v>16</v>
      </c>
      <c r="J258">
        <v>75</v>
      </c>
      <c r="K258" t="s">
        <v>10</v>
      </c>
    </row>
    <row r="259" spans="2:11" x14ac:dyDescent="0.3">
      <c r="B259" t="s">
        <v>43</v>
      </c>
      <c r="C259">
        <v>6</v>
      </c>
      <c r="D259">
        <v>18</v>
      </c>
      <c r="E259">
        <v>2984</v>
      </c>
      <c r="F259">
        <v>171</v>
      </c>
      <c r="G259">
        <v>97</v>
      </c>
      <c r="H259">
        <f t="shared" si="4"/>
        <v>3.2506702412868634E-2</v>
      </c>
      <c r="I259">
        <v>14.5</v>
      </c>
      <c r="J259">
        <v>75</v>
      </c>
      <c r="K259" t="s">
        <v>10</v>
      </c>
    </row>
    <row r="260" spans="2:11" x14ac:dyDescent="0.3">
      <c r="B260" t="s">
        <v>119</v>
      </c>
      <c r="C260">
        <v>6</v>
      </c>
      <c r="D260">
        <v>18</v>
      </c>
      <c r="E260">
        <v>3459</v>
      </c>
      <c r="F260">
        <v>250</v>
      </c>
      <c r="G260">
        <v>105</v>
      </c>
      <c r="H260">
        <f t="shared" si="4"/>
        <v>3.0355594102341718E-2</v>
      </c>
      <c r="I260">
        <v>16</v>
      </c>
      <c r="J260">
        <v>75</v>
      </c>
      <c r="K260" t="s">
        <v>10</v>
      </c>
    </row>
    <row r="261" spans="2:11" x14ac:dyDescent="0.3">
      <c r="B261" t="s">
        <v>46</v>
      </c>
      <c r="C261">
        <v>6</v>
      </c>
      <c r="D261">
        <v>15</v>
      </c>
      <c r="E261">
        <v>3730</v>
      </c>
      <c r="F261">
        <v>258</v>
      </c>
      <c r="G261">
        <v>110</v>
      </c>
      <c r="H261">
        <f t="shared" si="4"/>
        <v>2.9490616621983913E-2</v>
      </c>
      <c r="I261">
        <v>19</v>
      </c>
      <c r="J261">
        <v>75</v>
      </c>
      <c r="K261" t="s">
        <v>10</v>
      </c>
    </row>
    <row r="262" spans="2:11" x14ac:dyDescent="0.3">
      <c r="B262" t="s">
        <v>133</v>
      </c>
      <c r="C262">
        <v>6</v>
      </c>
      <c r="D262">
        <v>19</v>
      </c>
      <c r="E262">
        <v>3264</v>
      </c>
      <c r="F262">
        <v>225</v>
      </c>
      <c r="G262">
        <v>95</v>
      </c>
      <c r="H262">
        <f t="shared" si="4"/>
        <v>2.9105392156862746E-2</v>
      </c>
      <c r="I262">
        <v>16</v>
      </c>
      <c r="J262">
        <v>75</v>
      </c>
      <c r="K262" t="s">
        <v>10</v>
      </c>
    </row>
    <row r="263" spans="2:11" x14ac:dyDescent="0.3">
      <c r="B263" t="s">
        <v>137</v>
      </c>
      <c r="C263">
        <v>6</v>
      </c>
      <c r="D263">
        <v>17</v>
      </c>
      <c r="E263">
        <v>3907</v>
      </c>
      <c r="F263">
        <v>231</v>
      </c>
      <c r="G263">
        <v>110</v>
      </c>
      <c r="H263">
        <f t="shared" si="4"/>
        <v>2.8154594317890965E-2</v>
      </c>
      <c r="I263">
        <v>21</v>
      </c>
      <c r="J263">
        <v>75</v>
      </c>
      <c r="K263" t="s">
        <v>10</v>
      </c>
    </row>
    <row r="264" spans="2:11" x14ac:dyDescent="0.3">
      <c r="B264" t="s">
        <v>146</v>
      </c>
      <c r="C264">
        <v>6</v>
      </c>
      <c r="D264">
        <v>19</v>
      </c>
      <c r="E264">
        <v>3211</v>
      </c>
      <c r="F264">
        <v>232</v>
      </c>
      <c r="G264">
        <v>90</v>
      </c>
      <c r="H264">
        <f t="shared" si="4"/>
        <v>2.8028651510432889E-2</v>
      </c>
      <c r="I264">
        <v>17</v>
      </c>
      <c r="J264">
        <v>75</v>
      </c>
      <c r="K264" t="s">
        <v>10</v>
      </c>
    </row>
    <row r="265" spans="2:11" x14ac:dyDescent="0.3">
      <c r="B265" t="s">
        <v>138</v>
      </c>
      <c r="C265">
        <v>6</v>
      </c>
      <c r="D265">
        <v>16</v>
      </c>
      <c r="E265">
        <v>3897</v>
      </c>
      <c r="F265">
        <v>250</v>
      </c>
      <c r="G265">
        <v>105</v>
      </c>
      <c r="H265">
        <f t="shared" si="4"/>
        <v>2.6943802925327175E-2</v>
      </c>
      <c r="I265">
        <v>18.5</v>
      </c>
      <c r="J265">
        <v>75</v>
      </c>
      <c r="K265" t="s">
        <v>10</v>
      </c>
    </row>
    <row r="266" spans="2:11" x14ac:dyDescent="0.3">
      <c r="B266" t="s">
        <v>139</v>
      </c>
      <c r="C266">
        <v>6</v>
      </c>
      <c r="D266">
        <v>18</v>
      </c>
      <c r="E266">
        <v>3785</v>
      </c>
      <c r="F266">
        <v>225</v>
      </c>
      <c r="G266">
        <v>95</v>
      </c>
      <c r="H266">
        <f t="shared" si="4"/>
        <v>2.5099075297225892E-2</v>
      </c>
      <c r="I266">
        <v>19</v>
      </c>
      <c r="J266">
        <v>75</v>
      </c>
      <c r="K266" t="s">
        <v>10</v>
      </c>
    </row>
    <row r="267" spans="2:11" x14ac:dyDescent="0.3">
      <c r="B267" t="s">
        <v>28</v>
      </c>
      <c r="C267">
        <v>6</v>
      </c>
      <c r="D267">
        <v>15</v>
      </c>
      <c r="E267">
        <v>3158</v>
      </c>
      <c r="F267">
        <v>250</v>
      </c>
      <c r="G267">
        <v>72</v>
      </c>
      <c r="H267">
        <f t="shared" si="4"/>
        <v>2.2799240025332488E-2</v>
      </c>
      <c r="I267">
        <v>19.5</v>
      </c>
      <c r="J267">
        <v>75</v>
      </c>
      <c r="K267" t="s">
        <v>10</v>
      </c>
    </row>
    <row r="268" spans="2:11" x14ac:dyDescent="0.3">
      <c r="B268" t="s">
        <v>134</v>
      </c>
      <c r="C268">
        <v>6</v>
      </c>
      <c r="D268">
        <v>15</v>
      </c>
      <c r="E268">
        <v>3432</v>
      </c>
      <c r="F268">
        <v>250</v>
      </c>
      <c r="G268">
        <v>72</v>
      </c>
      <c r="H268">
        <f t="shared" si="4"/>
        <v>2.097902097902098E-2</v>
      </c>
      <c r="I268">
        <v>21</v>
      </c>
      <c r="J268">
        <v>75</v>
      </c>
      <c r="K268" t="s">
        <v>10</v>
      </c>
    </row>
    <row r="269" spans="2:11" x14ac:dyDescent="0.3">
      <c r="B269" t="s">
        <v>142</v>
      </c>
      <c r="C269">
        <v>8</v>
      </c>
      <c r="D269">
        <v>13</v>
      </c>
      <c r="E269">
        <v>3169</v>
      </c>
      <c r="F269">
        <v>302</v>
      </c>
      <c r="G269">
        <v>129</v>
      </c>
      <c r="H269">
        <f t="shared" si="4"/>
        <v>4.0706847585989268E-2</v>
      </c>
      <c r="I269">
        <v>12</v>
      </c>
      <c r="J269">
        <v>75</v>
      </c>
      <c r="K269" t="s">
        <v>10</v>
      </c>
    </row>
    <row r="270" spans="2:11" x14ac:dyDescent="0.3">
      <c r="B270" t="s">
        <v>18</v>
      </c>
      <c r="C270">
        <v>8</v>
      </c>
      <c r="D270">
        <v>16</v>
      </c>
      <c r="E270">
        <v>4668</v>
      </c>
      <c r="F270">
        <v>400</v>
      </c>
      <c r="G270">
        <v>170</v>
      </c>
      <c r="H270">
        <f t="shared" si="4"/>
        <v>3.6418166238217649E-2</v>
      </c>
      <c r="I270">
        <v>11.5</v>
      </c>
      <c r="J270">
        <v>75</v>
      </c>
      <c r="K270" t="s">
        <v>10</v>
      </c>
    </row>
    <row r="271" spans="2:11" x14ac:dyDescent="0.3">
      <c r="B271" t="s">
        <v>141</v>
      </c>
      <c r="C271">
        <v>8</v>
      </c>
      <c r="D271">
        <v>20</v>
      </c>
      <c r="E271">
        <v>3221</v>
      </c>
      <c r="F271">
        <v>262</v>
      </c>
      <c r="G271">
        <v>110</v>
      </c>
      <c r="H271">
        <f t="shared" si="4"/>
        <v>3.4150884818379384E-2</v>
      </c>
      <c r="I271">
        <v>13.5</v>
      </c>
      <c r="J271">
        <v>75</v>
      </c>
      <c r="K271" t="s">
        <v>10</v>
      </c>
    </row>
    <row r="272" spans="2:11" x14ac:dyDescent="0.3">
      <c r="B272" t="s">
        <v>136</v>
      </c>
      <c r="C272">
        <v>8</v>
      </c>
      <c r="D272">
        <v>16</v>
      </c>
      <c r="E272">
        <v>4498</v>
      </c>
      <c r="F272">
        <v>318</v>
      </c>
      <c r="G272">
        <v>150</v>
      </c>
      <c r="H272">
        <f t="shared" si="4"/>
        <v>3.3348154735437972E-2</v>
      </c>
      <c r="I272">
        <v>14.5</v>
      </c>
      <c r="J272">
        <v>75</v>
      </c>
      <c r="K272" t="s">
        <v>10</v>
      </c>
    </row>
    <row r="273" spans="2:11" x14ac:dyDescent="0.3">
      <c r="B273" t="s">
        <v>135</v>
      </c>
      <c r="C273">
        <v>8</v>
      </c>
      <c r="D273">
        <v>15</v>
      </c>
      <c r="E273">
        <v>4440</v>
      </c>
      <c r="F273">
        <v>350</v>
      </c>
      <c r="G273">
        <v>145</v>
      </c>
      <c r="H273">
        <f t="shared" si="4"/>
        <v>3.2657657657657657E-2</v>
      </c>
      <c r="I273">
        <v>14</v>
      </c>
      <c r="J273">
        <v>75</v>
      </c>
      <c r="K273" t="s">
        <v>10</v>
      </c>
    </row>
    <row r="274" spans="2:11" x14ac:dyDescent="0.3">
      <c r="B274" t="s">
        <v>93</v>
      </c>
      <c r="C274">
        <v>8</v>
      </c>
      <c r="D274">
        <v>14</v>
      </c>
      <c r="E274">
        <v>4657</v>
      </c>
      <c r="F274">
        <v>351</v>
      </c>
      <c r="G274">
        <v>148</v>
      </c>
      <c r="H274">
        <f t="shared" si="4"/>
        <v>3.1780115954477134E-2</v>
      </c>
      <c r="I274">
        <v>13.5</v>
      </c>
      <c r="J274">
        <v>75</v>
      </c>
      <c r="K274" t="s">
        <v>10</v>
      </c>
    </row>
    <row r="275" spans="2:11" x14ac:dyDescent="0.3">
      <c r="B275" t="s">
        <v>150</v>
      </c>
      <c r="C275">
        <v>4</v>
      </c>
      <c r="D275">
        <v>25</v>
      </c>
      <c r="E275">
        <v>2572</v>
      </c>
      <c r="F275">
        <v>140</v>
      </c>
      <c r="G275">
        <v>92</v>
      </c>
      <c r="H275">
        <f t="shared" si="4"/>
        <v>3.5769828926905133E-2</v>
      </c>
      <c r="I275">
        <v>14.9</v>
      </c>
      <c r="J275">
        <v>76</v>
      </c>
      <c r="K275" t="s">
        <v>10</v>
      </c>
    </row>
    <row r="276" spans="2:11" x14ac:dyDescent="0.3">
      <c r="B276" t="s">
        <v>128</v>
      </c>
      <c r="C276">
        <v>4</v>
      </c>
      <c r="D276">
        <v>26</v>
      </c>
      <c r="E276">
        <v>2255</v>
      </c>
      <c r="F276">
        <v>98</v>
      </c>
      <c r="G276">
        <v>79</v>
      </c>
      <c r="H276">
        <f t="shared" si="4"/>
        <v>3.5033259423503327E-2</v>
      </c>
      <c r="I276">
        <v>17.7</v>
      </c>
      <c r="J276">
        <v>76</v>
      </c>
      <c r="K276" t="s">
        <v>10</v>
      </c>
    </row>
    <row r="277" spans="2:11" x14ac:dyDescent="0.3">
      <c r="B277" t="s">
        <v>43</v>
      </c>
      <c r="C277">
        <v>4</v>
      </c>
      <c r="D277">
        <v>26.5</v>
      </c>
      <c r="E277">
        <v>2565</v>
      </c>
      <c r="F277">
        <v>140</v>
      </c>
      <c r="G277">
        <v>72</v>
      </c>
      <c r="H277">
        <f t="shared" si="4"/>
        <v>2.8070175438596492E-2</v>
      </c>
      <c r="I277">
        <v>13.6</v>
      </c>
      <c r="J277">
        <v>76</v>
      </c>
      <c r="K277" t="s">
        <v>10</v>
      </c>
    </row>
    <row r="278" spans="2:11" x14ac:dyDescent="0.3">
      <c r="B278" t="s">
        <v>154</v>
      </c>
      <c r="C278">
        <v>4</v>
      </c>
      <c r="D278">
        <v>24.5</v>
      </c>
      <c r="E278">
        <v>2164</v>
      </c>
      <c r="F278">
        <v>98</v>
      </c>
      <c r="G278">
        <v>60</v>
      </c>
      <c r="H278">
        <f t="shared" si="4"/>
        <v>2.7726432532347505E-2</v>
      </c>
      <c r="I278">
        <v>22.1</v>
      </c>
      <c r="J278">
        <v>76</v>
      </c>
      <c r="K278" t="s">
        <v>10</v>
      </c>
    </row>
    <row r="279" spans="2:11" x14ac:dyDescent="0.3">
      <c r="B279" t="s">
        <v>153</v>
      </c>
      <c r="C279">
        <v>4</v>
      </c>
      <c r="D279">
        <v>29</v>
      </c>
      <c r="E279">
        <v>2035</v>
      </c>
      <c r="F279">
        <v>85</v>
      </c>
      <c r="G279">
        <v>52</v>
      </c>
      <c r="H279">
        <f t="shared" si="4"/>
        <v>2.5552825552825554E-2</v>
      </c>
      <c r="I279">
        <v>22.2</v>
      </c>
      <c r="J279">
        <v>76</v>
      </c>
      <c r="K279" t="s">
        <v>10</v>
      </c>
    </row>
    <row r="280" spans="2:11" x14ac:dyDescent="0.3">
      <c r="B280" t="s">
        <v>119</v>
      </c>
      <c r="C280">
        <v>6</v>
      </c>
      <c r="D280">
        <v>22</v>
      </c>
      <c r="E280">
        <v>3353</v>
      </c>
      <c r="F280">
        <v>250</v>
      </c>
      <c r="G280">
        <v>105</v>
      </c>
      <c r="H280">
        <f t="shared" si="4"/>
        <v>3.1315240083507306E-2</v>
      </c>
      <c r="I280">
        <v>14.5</v>
      </c>
      <c r="J280">
        <v>76</v>
      </c>
      <c r="K280" t="s">
        <v>10</v>
      </c>
    </row>
    <row r="281" spans="2:11" x14ac:dyDescent="0.3">
      <c r="B281" t="s">
        <v>98</v>
      </c>
      <c r="C281">
        <v>6</v>
      </c>
      <c r="D281">
        <v>22</v>
      </c>
      <c r="E281">
        <v>3233</v>
      </c>
      <c r="F281">
        <v>225</v>
      </c>
      <c r="G281">
        <v>100</v>
      </c>
      <c r="H281">
        <f t="shared" si="4"/>
        <v>3.093102381688834E-2</v>
      </c>
      <c r="I281">
        <v>15.4</v>
      </c>
      <c r="J281">
        <v>76</v>
      </c>
      <c r="K281" t="s">
        <v>10</v>
      </c>
    </row>
    <row r="282" spans="2:11" x14ac:dyDescent="0.3">
      <c r="B282" t="s">
        <v>158</v>
      </c>
      <c r="C282">
        <v>6</v>
      </c>
      <c r="D282">
        <v>18.5</v>
      </c>
      <c r="E282">
        <v>3645</v>
      </c>
      <c r="F282">
        <v>250</v>
      </c>
      <c r="G282">
        <v>110</v>
      </c>
      <c r="H282">
        <f t="shared" si="4"/>
        <v>3.017832647462277E-2</v>
      </c>
      <c r="I282">
        <v>16.2</v>
      </c>
      <c r="J282">
        <v>76</v>
      </c>
      <c r="K282" t="s">
        <v>10</v>
      </c>
    </row>
    <row r="283" spans="2:11" x14ac:dyDescent="0.3">
      <c r="B283" t="s">
        <v>159</v>
      </c>
      <c r="C283">
        <v>6</v>
      </c>
      <c r="D283">
        <v>17.5</v>
      </c>
      <c r="E283">
        <v>3193</v>
      </c>
      <c r="F283">
        <v>258</v>
      </c>
      <c r="G283">
        <v>95</v>
      </c>
      <c r="H283">
        <f t="shared" si="4"/>
        <v>2.9752583777012214E-2</v>
      </c>
      <c r="I283">
        <v>17.8</v>
      </c>
      <c r="J283">
        <v>76</v>
      </c>
      <c r="K283" t="s">
        <v>10</v>
      </c>
    </row>
    <row r="284" spans="2:11" x14ac:dyDescent="0.3">
      <c r="B284" t="s">
        <v>27</v>
      </c>
      <c r="C284">
        <v>6</v>
      </c>
      <c r="D284">
        <v>22.5</v>
      </c>
      <c r="E284">
        <v>3085</v>
      </c>
      <c r="F284">
        <v>232</v>
      </c>
      <c r="G284">
        <v>90</v>
      </c>
      <c r="H284">
        <f t="shared" si="4"/>
        <v>2.9173419773095625E-2</v>
      </c>
      <c r="I284">
        <v>17.600000000000001</v>
      </c>
      <c r="J284">
        <v>76</v>
      </c>
      <c r="K284" t="s">
        <v>10</v>
      </c>
    </row>
    <row r="285" spans="2:11" x14ac:dyDescent="0.3">
      <c r="B285" t="s">
        <v>156</v>
      </c>
      <c r="C285">
        <v>6</v>
      </c>
      <c r="D285">
        <v>20</v>
      </c>
      <c r="E285">
        <v>3651</v>
      </c>
      <c r="F285">
        <v>225</v>
      </c>
      <c r="G285">
        <v>100</v>
      </c>
      <c r="H285">
        <f t="shared" si="4"/>
        <v>2.7389756231169543E-2</v>
      </c>
      <c r="I285">
        <v>17.7</v>
      </c>
      <c r="J285">
        <v>76</v>
      </c>
      <c r="K285" t="s">
        <v>10</v>
      </c>
    </row>
    <row r="286" spans="2:11" x14ac:dyDescent="0.3">
      <c r="B286" t="s">
        <v>28</v>
      </c>
      <c r="C286">
        <v>6</v>
      </c>
      <c r="D286">
        <v>24</v>
      </c>
      <c r="E286">
        <v>3012</v>
      </c>
      <c r="F286">
        <v>200</v>
      </c>
      <c r="G286">
        <v>81</v>
      </c>
      <c r="H286">
        <f t="shared" si="4"/>
        <v>2.6892430278884463E-2</v>
      </c>
      <c r="I286">
        <v>17.600000000000001</v>
      </c>
      <c r="J286">
        <v>76</v>
      </c>
      <c r="K286" t="s">
        <v>10</v>
      </c>
    </row>
    <row r="287" spans="2:11" x14ac:dyDescent="0.3">
      <c r="B287" t="s">
        <v>157</v>
      </c>
      <c r="C287">
        <v>6</v>
      </c>
      <c r="D287">
        <v>18</v>
      </c>
      <c r="E287">
        <v>3574</v>
      </c>
      <c r="F287">
        <v>250</v>
      </c>
      <c r="G287">
        <v>78</v>
      </c>
      <c r="H287">
        <f t="shared" si="4"/>
        <v>2.1824286513710128E-2</v>
      </c>
      <c r="I287">
        <v>21</v>
      </c>
      <c r="J287">
        <v>76</v>
      </c>
      <c r="K287" t="s">
        <v>10</v>
      </c>
    </row>
    <row r="288" spans="2:11" x14ac:dyDescent="0.3">
      <c r="B288" t="s">
        <v>164</v>
      </c>
      <c r="C288">
        <v>8</v>
      </c>
      <c r="D288">
        <v>16.5</v>
      </c>
      <c r="E288">
        <v>4380</v>
      </c>
      <c r="F288">
        <v>350</v>
      </c>
      <c r="G288">
        <v>180</v>
      </c>
      <c r="H288">
        <f t="shared" si="4"/>
        <v>4.1095890410958902E-2</v>
      </c>
      <c r="I288">
        <v>12.1</v>
      </c>
      <c r="J288">
        <v>76</v>
      </c>
      <c r="K288" t="s">
        <v>10</v>
      </c>
    </row>
    <row r="289" spans="2:11" x14ac:dyDescent="0.3">
      <c r="B289" t="s">
        <v>167</v>
      </c>
      <c r="C289">
        <v>8</v>
      </c>
      <c r="D289">
        <v>13</v>
      </c>
      <c r="E289">
        <v>3755</v>
      </c>
      <c r="F289">
        <v>318</v>
      </c>
      <c r="G289">
        <v>150</v>
      </c>
      <c r="H289">
        <f t="shared" si="4"/>
        <v>3.9946737683089213E-2</v>
      </c>
      <c r="I289">
        <v>14</v>
      </c>
      <c r="J289">
        <v>76</v>
      </c>
      <c r="K289" t="s">
        <v>10</v>
      </c>
    </row>
    <row r="290" spans="2:11" x14ac:dyDescent="0.3">
      <c r="B290" t="s">
        <v>162</v>
      </c>
      <c r="C290">
        <v>8</v>
      </c>
      <c r="D290">
        <v>13</v>
      </c>
      <c r="E290">
        <v>3940</v>
      </c>
      <c r="F290">
        <v>318</v>
      </c>
      <c r="G290">
        <v>150</v>
      </c>
      <c r="H290">
        <f t="shared" si="4"/>
        <v>3.8071065989847719E-2</v>
      </c>
      <c r="I290">
        <v>13.2</v>
      </c>
      <c r="J290">
        <v>76</v>
      </c>
      <c r="K290" t="s">
        <v>10</v>
      </c>
    </row>
    <row r="291" spans="2:11" x14ac:dyDescent="0.3">
      <c r="B291" t="s">
        <v>89</v>
      </c>
      <c r="C291">
        <v>8</v>
      </c>
      <c r="D291">
        <v>14.5</v>
      </c>
      <c r="E291">
        <v>4215</v>
      </c>
      <c r="F291">
        <v>351</v>
      </c>
      <c r="G291">
        <v>152</v>
      </c>
      <c r="H291">
        <f t="shared" si="4"/>
        <v>3.6061684460260972E-2</v>
      </c>
      <c r="I291">
        <v>12.8</v>
      </c>
      <c r="J291">
        <v>76</v>
      </c>
      <c r="K291" t="s">
        <v>10</v>
      </c>
    </row>
    <row r="292" spans="2:11" x14ac:dyDescent="0.3">
      <c r="B292" t="s">
        <v>165</v>
      </c>
      <c r="C292">
        <v>8</v>
      </c>
      <c r="D292">
        <v>13</v>
      </c>
      <c r="E292">
        <v>4055</v>
      </c>
      <c r="F292">
        <v>350</v>
      </c>
      <c r="G292">
        <v>145</v>
      </c>
      <c r="H292">
        <f t="shared" si="4"/>
        <v>3.5758323057953144E-2</v>
      </c>
      <c r="I292">
        <v>12</v>
      </c>
      <c r="J292">
        <v>76</v>
      </c>
      <c r="K292" t="s">
        <v>10</v>
      </c>
    </row>
    <row r="293" spans="2:11" x14ac:dyDescent="0.3">
      <c r="B293" t="s">
        <v>152</v>
      </c>
      <c r="C293">
        <v>8</v>
      </c>
      <c r="D293">
        <v>16</v>
      </c>
      <c r="E293">
        <v>4190</v>
      </c>
      <c r="F293">
        <v>318</v>
      </c>
      <c r="G293">
        <v>150</v>
      </c>
      <c r="H293">
        <f t="shared" si="4"/>
        <v>3.5799522673031027E-2</v>
      </c>
      <c r="I293">
        <v>13</v>
      </c>
      <c r="J293">
        <v>76</v>
      </c>
      <c r="K293" t="s">
        <v>10</v>
      </c>
    </row>
    <row r="294" spans="2:11" x14ac:dyDescent="0.3">
      <c r="B294" t="s">
        <v>166</v>
      </c>
      <c r="C294">
        <v>8</v>
      </c>
      <c r="D294">
        <v>13</v>
      </c>
      <c r="E294">
        <v>3870</v>
      </c>
      <c r="F294">
        <v>302</v>
      </c>
      <c r="G294">
        <v>130</v>
      </c>
      <c r="H294">
        <f t="shared" si="4"/>
        <v>3.3591731266149873E-2</v>
      </c>
      <c r="I294">
        <v>15</v>
      </c>
      <c r="J294">
        <v>76</v>
      </c>
      <c r="K294" t="s">
        <v>10</v>
      </c>
    </row>
    <row r="295" spans="2:11" x14ac:dyDescent="0.3">
      <c r="B295" t="s">
        <v>121</v>
      </c>
      <c r="C295">
        <v>8</v>
      </c>
      <c r="D295">
        <v>17.5</v>
      </c>
      <c r="E295">
        <v>4215</v>
      </c>
      <c r="F295">
        <v>305</v>
      </c>
      <c r="G295">
        <v>140</v>
      </c>
      <c r="H295">
        <f t="shared" si="4"/>
        <v>3.3214709371292998E-2</v>
      </c>
      <c r="I295">
        <v>13</v>
      </c>
      <c r="J295">
        <v>76</v>
      </c>
      <c r="K295" t="s">
        <v>10</v>
      </c>
    </row>
    <row r="296" spans="2:11" x14ac:dyDescent="0.3">
      <c r="B296" t="s">
        <v>46</v>
      </c>
      <c r="C296">
        <v>8</v>
      </c>
      <c r="D296">
        <v>15.5</v>
      </c>
      <c r="E296">
        <v>3962</v>
      </c>
      <c r="F296">
        <v>304</v>
      </c>
      <c r="G296">
        <v>120</v>
      </c>
      <c r="H296">
        <f t="shared" si="4"/>
        <v>3.0287733467945482E-2</v>
      </c>
      <c r="I296">
        <v>13.9</v>
      </c>
      <c r="J296">
        <v>76</v>
      </c>
      <c r="K296" t="s">
        <v>10</v>
      </c>
    </row>
    <row r="297" spans="2:11" x14ac:dyDescent="0.3">
      <c r="B297" t="s">
        <v>171</v>
      </c>
      <c r="C297">
        <v>4</v>
      </c>
      <c r="D297">
        <v>25.5</v>
      </c>
      <c r="E297">
        <v>2300</v>
      </c>
      <c r="F297">
        <v>122</v>
      </c>
      <c r="G297">
        <v>96</v>
      </c>
      <c r="H297">
        <f t="shared" si="4"/>
        <v>4.1739130434782612E-2</v>
      </c>
      <c r="I297">
        <v>15.5</v>
      </c>
      <c r="J297">
        <v>77</v>
      </c>
      <c r="K297" t="s">
        <v>10</v>
      </c>
    </row>
    <row r="298" spans="2:11" x14ac:dyDescent="0.3">
      <c r="B298" t="s">
        <v>188</v>
      </c>
      <c r="C298">
        <v>4</v>
      </c>
      <c r="D298">
        <v>33.5</v>
      </c>
      <c r="E298">
        <v>2075</v>
      </c>
      <c r="F298">
        <v>98</v>
      </c>
      <c r="G298">
        <v>83</v>
      </c>
      <c r="H298">
        <f t="shared" si="4"/>
        <v>0.04</v>
      </c>
      <c r="I298">
        <v>15.9</v>
      </c>
      <c r="J298">
        <v>77</v>
      </c>
      <c r="K298" t="s">
        <v>10</v>
      </c>
    </row>
    <row r="299" spans="2:11" x14ac:dyDescent="0.3">
      <c r="B299" t="s">
        <v>169</v>
      </c>
      <c r="C299">
        <v>4</v>
      </c>
      <c r="D299">
        <v>30</v>
      </c>
      <c r="E299">
        <v>2155</v>
      </c>
      <c r="F299">
        <v>111</v>
      </c>
      <c r="G299">
        <v>80</v>
      </c>
      <c r="H299">
        <f t="shared" si="4"/>
        <v>3.7122969837587005E-2</v>
      </c>
      <c r="I299">
        <v>14.8</v>
      </c>
      <c r="J299">
        <v>77</v>
      </c>
      <c r="K299" t="s">
        <v>10</v>
      </c>
    </row>
    <row r="300" spans="2:11" x14ac:dyDescent="0.3">
      <c r="B300" t="s">
        <v>187</v>
      </c>
      <c r="C300">
        <v>4</v>
      </c>
      <c r="D300">
        <v>25.5</v>
      </c>
      <c r="E300">
        <v>2755</v>
      </c>
      <c r="F300">
        <v>140</v>
      </c>
      <c r="G300">
        <v>89</v>
      </c>
      <c r="H300">
        <f t="shared" si="4"/>
        <v>3.2304900181488204E-2</v>
      </c>
      <c r="I300">
        <v>15.8</v>
      </c>
      <c r="J300">
        <v>77</v>
      </c>
      <c r="K300" t="s">
        <v>10</v>
      </c>
    </row>
    <row r="301" spans="2:11" x14ac:dyDescent="0.3">
      <c r="B301" t="s">
        <v>185</v>
      </c>
      <c r="C301">
        <v>4</v>
      </c>
      <c r="D301">
        <v>24.5</v>
      </c>
      <c r="E301">
        <v>2740</v>
      </c>
      <c r="F301">
        <v>151</v>
      </c>
      <c r="G301">
        <v>88</v>
      </c>
      <c r="H301">
        <f t="shared" si="4"/>
        <v>3.2116788321167884E-2</v>
      </c>
      <c r="I301">
        <v>16</v>
      </c>
      <c r="J301">
        <v>77</v>
      </c>
      <c r="K301" t="s">
        <v>10</v>
      </c>
    </row>
    <row r="302" spans="2:11" x14ac:dyDescent="0.3">
      <c r="B302" t="s">
        <v>153</v>
      </c>
      <c r="C302">
        <v>4</v>
      </c>
      <c r="D302">
        <v>30.5</v>
      </c>
      <c r="E302">
        <v>2051</v>
      </c>
      <c r="F302">
        <v>98</v>
      </c>
      <c r="G302">
        <v>63</v>
      </c>
      <c r="H302">
        <f t="shared" si="4"/>
        <v>3.0716723549488054E-2</v>
      </c>
      <c r="I302">
        <v>17</v>
      </c>
      <c r="J302">
        <v>77</v>
      </c>
      <c r="K302" t="s">
        <v>10</v>
      </c>
    </row>
    <row r="303" spans="2:11" x14ac:dyDescent="0.3">
      <c r="B303" t="s">
        <v>176</v>
      </c>
      <c r="C303">
        <v>6</v>
      </c>
      <c r="D303">
        <v>17.5</v>
      </c>
      <c r="E303">
        <v>3520</v>
      </c>
      <c r="F303">
        <v>250</v>
      </c>
      <c r="G303">
        <v>110</v>
      </c>
      <c r="H303">
        <f t="shared" si="4"/>
        <v>3.125E-2</v>
      </c>
      <c r="I303">
        <v>16.399999999999999</v>
      </c>
      <c r="J303">
        <v>77</v>
      </c>
      <c r="K303" t="s">
        <v>10</v>
      </c>
    </row>
    <row r="304" spans="2:11" x14ac:dyDescent="0.3">
      <c r="B304" t="s">
        <v>177</v>
      </c>
      <c r="C304">
        <v>6</v>
      </c>
      <c r="D304">
        <v>20.5</v>
      </c>
      <c r="E304">
        <v>3425</v>
      </c>
      <c r="F304">
        <v>231</v>
      </c>
      <c r="G304">
        <v>105</v>
      </c>
      <c r="H304">
        <f t="shared" si="4"/>
        <v>3.0656934306569343E-2</v>
      </c>
      <c r="I304">
        <v>16.899999999999999</v>
      </c>
      <c r="J304">
        <v>77</v>
      </c>
      <c r="K304" t="s">
        <v>10</v>
      </c>
    </row>
    <row r="305" spans="2:11" x14ac:dyDescent="0.3">
      <c r="B305" t="s">
        <v>179</v>
      </c>
      <c r="C305">
        <v>6</v>
      </c>
      <c r="D305">
        <v>18.5</v>
      </c>
      <c r="E305">
        <v>3525</v>
      </c>
      <c r="F305">
        <v>250</v>
      </c>
      <c r="G305">
        <v>98</v>
      </c>
      <c r="H305">
        <f t="shared" si="4"/>
        <v>2.7801418439716313E-2</v>
      </c>
      <c r="I305">
        <v>19</v>
      </c>
      <c r="J305">
        <v>77</v>
      </c>
      <c r="K305" t="s">
        <v>10</v>
      </c>
    </row>
    <row r="306" spans="2:11" x14ac:dyDescent="0.3">
      <c r="B306" t="s">
        <v>178</v>
      </c>
      <c r="C306">
        <v>6</v>
      </c>
      <c r="D306">
        <v>19</v>
      </c>
      <c r="E306">
        <v>3630</v>
      </c>
      <c r="F306">
        <v>225</v>
      </c>
      <c r="G306">
        <v>100</v>
      </c>
      <c r="H306">
        <f t="shared" si="4"/>
        <v>2.7548209366391185E-2</v>
      </c>
      <c r="I306">
        <v>17.7</v>
      </c>
      <c r="J306">
        <v>77</v>
      </c>
      <c r="K306" t="s">
        <v>10</v>
      </c>
    </row>
    <row r="307" spans="2:11" x14ac:dyDescent="0.3">
      <c r="B307" t="s">
        <v>182</v>
      </c>
      <c r="C307">
        <v>8</v>
      </c>
      <c r="D307">
        <v>15.5</v>
      </c>
      <c r="E307">
        <v>4325</v>
      </c>
      <c r="F307">
        <v>400</v>
      </c>
      <c r="G307">
        <v>190</v>
      </c>
      <c r="H307">
        <f t="shared" si="4"/>
        <v>4.3930635838150288E-2</v>
      </c>
      <c r="I307">
        <v>12.2</v>
      </c>
      <c r="J307">
        <v>77</v>
      </c>
      <c r="K307" t="s">
        <v>10</v>
      </c>
    </row>
    <row r="308" spans="2:11" x14ac:dyDescent="0.3">
      <c r="B308" t="s">
        <v>180</v>
      </c>
      <c r="C308">
        <v>8</v>
      </c>
      <c r="D308">
        <v>16</v>
      </c>
      <c r="E308">
        <v>4220</v>
      </c>
      <c r="F308">
        <v>400</v>
      </c>
      <c r="G308">
        <v>180</v>
      </c>
      <c r="H308">
        <f t="shared" si="4"/>
        <v>4.2654028436018961E-2</v>
      </c>
      <c r="I308">
        <v>11.1</v>
      </c>
      <c r="J308">
        <v>77</v>
      </c>
      <c r="K308" t="s">
        <v>10</v>
      </c>
    </row>
    <row r="309" spans="2:11" x14ac:dyDescent="0.3">
      <c r="B309" t="s">
        <v>181</v>
      </c>
      <c r="C309">
        <v>8</v>
      </c>
      <c r="D309">
        <v>15.5</v>
      </c>
      <c r="E309">
        <v>4165</v>
      </c>
      <c r="F309">
        <v>350</v>
      </c>
      <c r="G309">
        <v>170</v>
      </c>
      <c r="H309">
        <f t="shared" si="4"/>
        <v>4.0816326530612242E-2</v>
      </c>
      <c r="I309">
        <v>11.4</v>
      </c>
      <c r="J309">
        <v>77</v>
      </c>
      <c r="K309" t="s">
        <v>10</v>
      </c>
    </row>
    <row r="310" spans="2:11" x14ac:dyDescent="0.3">
      <c r="B310" t="s">
        <v>92</v>
      </c>
      <c r="C310">
        <v>8</v>
      </c>
      <c r="D310">
        <v>17.5</v>
      </c>
      <c r="E310">
        <v>3880</v>
      </c>
      <c r="F310">
        <v>305</v>
      </c>
      <c r="G310">
        <v>145</v>
      </c>
      <c r="H310">
        <f t="shared" si="4"/>
        <v>3.7371134020618556E-2</v>
      </c>
      <c r="I310">
        <v>12.5</v>
      </c>
      <c r="J310">
        <v>77</v>
      </c>
      <c r="K310" t="s">
        <v>10</v>
      </c>
    </row>
    <row r="311" spans="2:11" x14ac:dyDescent="0.3">
      <c r="B311" t="s">
        <v>174</v>
      </c>
      <c r="C311">
        <v>8</v>
      </c>
      <c r="D311">
        <v>15.5</v>
      </c>
      <c r="E311">
        <v>4140</v>
      </c>
      <c r="F311">
        <v>318</v>
      </c>
      <c r="G311">
        <v>145</v>
      </c>
      <c r="H311">
        <f t="shared" si="4"/>
        <v>3.5024154589371984E-2</v>
      </c>
      <c r="I311">
        <v>13.7</v>
      </c>
      <c r="J311">
        <v>77</v>
      </c>
      <c r="K311" t="s">
        <v>10</v>
      </c>
    </row>
    <row r="312" spans="2:11" x14ac:dyDescent="0.3">
      <c r="B312" t="s">
        <v>183</v>
      </c>
      <c r="C312">
        <v>8</v>
      </c>
      <c r="D312">
        <v>16</v>
      </c>
      <c r="E312">
        <v>4335</v>
      </c>
      <c r="F312">
        <v>351</v>
      </c>
      <c r="G312">
        <v>149</v>
      </c>
      <c r="H312">
        <f t="shared" si="4"/>
        <v>3.4371395617070359E-2</v>
      </c>
      <c r="I312">
        <v>14.5</v>
      </c>
      <c r="J312">
        <v>77</v>
      </c>
      <c r="K312" t="s">
        <v>10</v>
      </c>
    </row>
    <row r="313" spans="2:11" x14ac:dyDescent="0.3">
      <c r="B313" t="s">
        <v>175</v>
      </c>
      <c r="C313">
        <v>8</v>
      </c>
      <c r="D313">
        <v>15</v>
      </c>
      <c r="E313">
        <v>4295</v>
      </c>
      <c r="F313">
        <v>302</v>
      </c>
      <c r="G313">
        <v>130</v>
      </c>
      <c r="H313">
        <f t="shared" si="4"/>
        <v>3.0267753201396973E-2</v>
      </c>
      <c r="I313">
        <v>14.9</v>
      </c>
      <c r="J313">
        <v>77</v>
      </c>
      <c r="K313" t="s">
        <v>10</v>
      </c>
    </row>
    <row r="314" spans="2:11" x14ac:dyDescent="0.3">
      <c r="B314" t="s">
        <v>173</v>
      </c>
      <c r="C314">
        <v>8</v>
      </c>
      <c r="D314">
        <v>17</v>
      </c>
      <c r="E314">
        <v>4060</v>
      </c>
      <c r="F314">
        <v>260</v>
      </c>
      <c r="G314">
        <v>110</v>
      </c>
      <c r="H314">
        <f t="shared" si="4"/>
        <v>2.7093596059113302E-2</v>
      </c>
      <c r="I314">
        <v>19</v>
      </c>
      <c r="J314">
        <v>77</v>
      </c>
      <c r="K314" t="s">
        <v>10</v>
      </c>
    </row>
    <row r="315" spans="2:11" x14ac:dyDescent="0.3">
      <c r="B315" t="s">
        <v>215</v>
      </c>
      <c r="C315">
        <v>4</v>
      </c>
      <c r="D315">
        <v>23.2</v>
      </c>
      <c r="E315">
        <v>2745</v>
      </c>
      <c r="F315">
        <v>156</v>
      </c>
      <c r="G315">
        <v>105</v>
      </c>
      <c r="H315">
        <f t="shared" si="4"/>
        <v>3.825136612021858E-2</v>
      </c>
      <c r="I315">
        <v>16.7</v>
      </c>
      <c r="J315">
        <v>78</v>
      </c>
      <c r="K315" t="s">
        <v>10</v>
      </c>
    </row>
    <row r="316" spans="2:11" x14ac:dyDescent="0.3">
      <c r="B316" t="s">
        <v>194</v>
      </c>
      <c r="C316">
        <v>4</v>
      </c>
      <c r="D316">
        <v>36.1</v>
      </c>
      <c r="E316">
        <v>1800</v>
      </c>
      <c r="F316">
        <v>98</v>
      </c>
      <c r="G316">
        <v>66</v>
      </c>
      <c r="H316">
        <f t="shared" si="4"/>
        <v>3.6666666666666667E-2</v>
      </c>
      <c r="I316">
        <v>14.4</v>
      </c>
      <c r="J316">
        <v>78</v>
      </c>
      <c r="K316" t="s">
        <v>10</v>
      </c>
    </row>
    <row r="317" spans="2:11" x14ac:dyDescent="0.3">
      <c r="B317" t="s">
        <v>213</v>
      </c>
      <c r="C317">
        <v>4</v>
      </c>
      <c r="D317">
        <v>30.9</v>
      </c>
      <c r="E317">
        <v>2230</v>
      </c>
      <c r="F317">
        <v>105</v>
      </c>
      <c r="G317">
        <v>75</v>
      </c>
      <c r="H317">
        <f t="shared" si="4"/>
        <v>3.3632286995515695E-2</v>
      </c>
      <c r="I317">
        <v>14.5</v>
      </c>
      <c r="J317">
        <v>78</v>
      </c>
      <c r="K317" t="s">
        <v>10</v>
      </c>
    </row>
    <row r="318" spans="2:11" x14ac:dyDescent="0.3">
      <c r="B318" t="s">
        <v>202</v>
      </c>
      <c r="C318">
        <v>4</v>
      </c>
      <c r="D318">
        <v>25.1</v>
      </c>
      <c r="E318">
        <v>2720</v>
      </c>
      <c r="F318">
        <v>140</v>
      </c>
      <c r="G318">
        <v>88</v>
      </c>
      <c r="H318">
        <f t="shared" si="4"/>
        <v>3.2352941176470591E-2</v>
      </c>
      <c r="I318">
        <v>15.4</v>
      </c>
      <c r="J318">
        <v>78</v>
      </c>
      <c r="K318" t="s">
        <v>10</v>
      </c>
    </row>
    <row r="319" spans="2:11" x14ac:dyDescent="0.3">
      <c r="B319" t="s">
        <v>153</v>
      </c>
      <c r="C319">
        <v>4</v>
      </c>
      <c r="D319">
        <v>30</v>
      </c>
      <c r="E319">
        <v>2155</v>
      </c>
      <c r="F319">
        <v>98</v>
      </c>
      <c r="G319">
        <v>68</v>
      </c>
      <c r="H319">
        <f t="shared" si="4"/>
        <v>3.1554524361948957E-2</v>
      </c>
      <c r="I319">
        <v>16.5</v>
      </c>
      <c r="J319">
        <v>78</v>
      </c>
      <c r="K319" t="s">
        <v>10</v>
      </c>
    </row>
    <row r="320" spans="2:11" x14ac:dyDescent="0.3">
      <c r="B320" t="s">
        <v>216</v>
      </c>
      <c r="C320">
        <v>4</v>
      </c>
      <c r="D320">
        <v>23.8</v>
      </c>
      <c r="E320">
        <v>2855</v>
      </c>
      <c r="F320">
        <v>151</v>
      </c>
      <c r="G320">
        <v>85</v>
      </c>
      <c r="H320">
        <f t="shared" si="4"/>
        <v>2.9772329246935202E-2</v>
      </c>
      <c r="I320">
        <v>17.600000000000001</v>
      </c>
      <c r="J320">
        <v>78</v>
      </c>
      <c r="K320" t="s">
        <v>10</v>
      </c>
    </row>
    <row r="321" spans="2:11" x14ac:dyDescent="0.3">
      <c r="B321" t="s">
        <v>209</v>
      </c>
      <c r="C321">
        <v>6</v>
      </c>
      <c r="D321">
        <v>17.7</v>
      </c>
      <c r="E321">
        <v>3445</v>
      </c>
      <c r="F321">
        <v>231</v>
      </c>
      <c r="G321">
        <v>165</v>
      </c>
      <c r="H321">
        <f t="shared" si="4"/>
        <v>4.7895500725689405E-2</v>
      </c>
      <c r="I321">
        <v>13.4</v>
      </c>
      <c r="J321">
        <v>78</v>
      </c>
      <c r="K321" t="s">
        <v>10</v>
      </c>
    </row>
    <row r="322" spans="2:11" x14ac:dyDescent="0.3">
      <c r="B322" t="s">
        <v>208</v>
      </c>
      <c r="C322">
        <v>6</v>
      </c>
      <c r="D322">
        <v>18.100000000000001</v>
      </c>
      <c r="E322">
        <v>3410</v>
      </c>
      <c r="F322">
        <v>258</v>
      </c>
      <c r="G322">
        <v>120</v>
      </c>
      <c r="H322">
        <f t="shared" ref="H322:H385" si="5">IFERROR(G322/E322, "")</f>
        <v>3.519061583577713E-2</v>
      </c>
      <c r="I322">
        <v>15.1</v>
      </c>
      <c r="J322">
        <v>78</v>
      </c>
      <c r="K322" t="s">
        <v>10</v>
      </c>
    </row>
    <row r="323" spans="2:11" x14ac:dyDescent="0.3">
      <c r="B323" t="s">
        <v>205</v>
      </c>
      <c r="C323">
        <v>6</v>
      </c>
      <c r="D323">
        <v>20.6</v>
      </c>
      <c r="E323">
        <v>3380</v>
      </c>
      <c r="F323">
        <v>231</v>
      </c>
      <c r="G323">
        <v>105</v>
      </c>
      <c r="H323">
        <f t="shared" si="5"/>
        <v>3.1065088757396449E-2</v>
      </c>
      <c r="I323">
        <v>15.8</v>
      </c>
      <c r="J323">
        <v>78</v>
      </c>
      <c r="K323" t="s">
        <v>10</v>
      </c>
    </row>
    <row r="324" spans="2:11" x14ac:dyDescent="0.3">
      <c r="B324" t="s">
        <v>207</v>
      </c>
      <c r="C324">
        <v>6</v>
      </c>
      <c r="D324">
        <v>18.600000000000001</v>
      </c>
      <c r="E324">
        <v>3620</v>
      </c>
      <c r="F324">
        <v>225</v>
      </c>
      <c r="G324">
        <v>110</v>
      </c>
      <c r="H324">
        <f t="shared" si="5"/>
        <v>3.0386740331491711E-2</v>
      </c>
      <c r="I324">
        <v>18.7</v>
      </c>
      <c r="J324">
        <v>78</v>
      </c>
      <c r="K324" t="s">
        <v>10</v>
      </c>
    </row>
    <row r="325" spans="2:11" x14ac:dyDescent="0.3">
      <c r="B325" t="s">
        <v>88</v>
      </c>
      <c r="C325">
        <v>6</v>
      </c>
      <c r="D325">
        <v>20.5</v>
      </c>
      <c r="E325">
        <v>3155</v>
      </c>
      <c r="F325">
        <v>200</v>
      </c>
      <c r="G325">
        <v>95</v>
      </c>
      <c r="H325">
        <f t="shared" si="5"/>
        <v>3.0110935023771792E-2</v>
      </c>
      <c r="I325">
        <v>18.2</v>
      </c>
      <c r="J325">
        <v>78</v>
      </c>
      <c r="K325" t="s">
        <v>10</v>
      </c>
    </row>
    <row r="326" spans="2:11" x14ac:dyDescent="0.3">
      <c r="B326" t="s">
        <v>200</v>
      </c>
      <c r="C326">
        <v>6</v>
      </c>
      <c r="D326">
        <v>19.2</v>
      </c>
      <c r="E326">
        <v>3535</v>
      </c>
      <c r="F326">
        <v>231</v>
      </c>
      <c r="G326">
        <v>105</v>
      </c>
      <c r="H326">
        <f t="shared" si="5"/>
        <v>2.9702970297029702E-2</v>
      </c>
      <c r="I326">
        <v>19.2</v>
      </c>
      <c r="J326">
        <v>78</v>
      </c>
      <c r="K326" t="s">
        <v>10</v>
      </c>
    </row>
    <row r="327" spans="2:11" x14ac:dyDescent="0.3">
      <c r="B327" t="s">
        <v>203</v>
      </c>
      <c r="C327">
        <v>6</v>
      </c>
      <c r="D327">
        <v>20.5</v>
      </c>
      <c r="E327">
        <v>3430</v>
      </c>
      <c r="F327">
        <v>225</v>
      </c>
      <c r="G327">
        <v>100</v>
      </c>
      <c r="H327">
        <f t="shared" si="5"/>
        <v>2.9154518950437316E-2</v>
      </c>
      <c r="I327">
        <v>17.2</v>
      </c>
      <c r="J327">
        <v>78</v>
      </c>
      <c r="K327" t="s">
        <v>10</v>
      </c>
    </row>
    <row r="328" spans="2:11" x14ac:dyDescent="0.3">
      <c r="B328" t="s">
        <v>201</v>
      </c>
      <c r="C328">
        <v>6</v>
      </c>
      <c r="D328">
        <v>20.2</v>
      </c>
      <c r="E328">
        <v>2965</v>
      </c>
      <c r="F328">
        <v>200</v>
      </c>
      <c r="G328">
        <v>85</v>
      </c>
      <c r="H328">
        <f t="shared" si="5"/>
        <v>2.866779089376054E-2</v>
      </c>
      <c r="I328">
        <v>15.8</v>
      </c>
      <c r="J328">
        <v>78</v>
      </c>
      <c r="K328" t="s">
        <v>10</v>
      </c>
    </row>
    <row r="329" spans="2:11" x14ac:dyDescent="0.3">
      <c r="B329" t="s">
        <v>204</v>
      </c>
      <c r="C329">
        <v>6</v>
      </c>
      <c r="D329">
        <v>19.399999999999999</v>
      </c>
      <c r="E329">
        <v>3210</v>
      </c>
      <c r="F329">
        <v>232</v>
      </c>
      <c r="G329">
        <v>90</v>
      </c>
      <c r="H329">
        <f t="shared" si="5"/>
        <v>2.8037383177570093E-2</v>
      </c>
      <c r="I329">
        <v>17.2</v>
      </c>
      <c r="J329">
        <v>78</v>
      </c>
      <c r="K329" t="s">
        <v>10</v>
      </c>
    </row>
    <row r="330" spans="2:11" x14ac:dyDescent="0.3">
      <c r="B330" t="s">
        <v>206</v>
      </c>
      <c r="C330">
        <v>6</v>
      </c>
      <c r="D330">
        <v>20.8</v>
      </c>
      <c r="E330">
        <v>3070</v>
      </c>
      <c r="F330">
        <v>200</v>
      </c>
      <c r="G330">
        <v>85</v>
      </c>
      <c r="H330">
        <f t="shared" si="5"/>
        <v>2.7687296416938109E-2</v>
      </c>
      <c r="I330">
        <v>16.7</v>
      </c>
      <c r="J330">
        <v>78</v>
      </c>
      <c r="K330" t="s">
        <v>10</v>
      </c>
    </row>
    <row r="331" spans="2:11" x14ac:dyDescent="0.3">
      <c r="B331" t="s">
        <v>210</v>
      </c>
      <c r="C331">
        <v>8</v>
      </c>
      <c r="D331">
        <v>18.100000000000001</v>
      </c>
      <c r="E331">
        <v>3205</v>
      </c>
      <c r="F331">
        <v>302</v>
      </c>
      <c r="G331">
        <v>139</v>
      </c>
      <c r="H331">
        <f t="shared" si="5"/>
        <v>4.3369734789391573E-2</v>
      </c>
      <c r="I331">
        <v>11.2</v>
      </c>
      <c r="J331">
        <v>78</v>
      </c>
      <c r="K331" t="s">
        <v>10</v>
      </c>
    </row>
    <row r="332" spans="2:11" x14ac:dyDescent="0.3">
      <c r="B332" t="s">
        <v>181</v>
      </c>
      <c r="C332">
        <v>8</v>
      </c>
      <c r="D332">
        <v>19.2</v>
      </c>
      <c r="E332">
        <v>3425</v>
      </c>
      <c r="F332">
        <v>305</v>
      </c>
      <c r="G332">
        <v>145</v>
      </c>
      <c r="H332">
        <f t="shared" si="5"/>
        <v>4.2335766423357665E-2</v>
      </c>
      <c r="I332">
        <v>13.2</v>
      </c>
      <c r="J332">
        <v>78</v>
      </c>
      <c r="K332" t="s">
        <v>10</v>
      </c>
    </row>
    <row r="333" spans="2:11" x14ac:dyDescent="0.3">
      <c r="B333" t="s">
        <v>199</v>
      </c>
      <c r="C333">
        <v>8</v>
      </c>
      <c r="D333">
        <v>20.2</v>
      </c>
      <c r="E333">
        <v>3570</v>
      </c>
      <c r="F333">
        <v>302</v>
      </c>
      <c r="G333">
        <v>139</v>
      </c>
      <c r="H333">
        <f t="shared" si="5"/>
        <v>3.8935574229691877E-2</v>
      </c>
      <c r="I333">
        <v>12.8</v>
      </c>
      <c r="J333">
        <v>78</v>
      </c>
      <c r="K333" t="s">
        <v>10</v>
      </c>
    </row>
    <row r="334" spans="2:11" x14ac:dyDescent="0.3">
      <c r="B334" t="s">
        <v>198</v>
      </c>
      <c r="C334">
        <v>8</v>
      </c>
      <c r="D334">
        <v>19.399999999999999</v>
      </c>
      <c r="E334">
        <v>3735</v>
      </c>
      <c r="F334">
        <v>318</v>
      </c>
      <c r="G334">
        <v>140</v>
      </c>
      <c r="H334">
        <f t="shared" si="5"/>
        <v>3.7483266398929051E-2</v>
      </c>
      <c r="I334">
        <v>13.2</v>
      </c>
      <c r="J334">
        <v>78</v>
      </c>
      <c r="K334" t="s">
        <v>10</v>
      </c>
    </row>
    <row r="335" spans="2:11" x14ac:dyDescent="0.3">
      <c r="B335" t="s">
        <v>211</v>
      </c>
      <c r="C335">
        <v>8</v>
      </c>
      <c r="D335">
        <v>17.5</v>
      </c>
      <c r="E335">
        <v>4080</v>
      </c>
      <c r="F335">
        <v>318</v>
      </c>
      <c r="G335">
        <v>140</v>
      </c>
      <c r="H335">
        <f t="shared" si="5"/>
        <v>3.4313725490196081E-2</v>
      </c>
      <c r="I335">
        <v>13.7</v>
      </c>
      <c r="J335">
        <v>78</v>
      </c>
      <c r="K335" t="s">
        <v>10</v>
      </c>
    </row>
    <row r="336" spans="2:11" x14ac:dyDescent="0.3">
      <c r="B336" t="s">
        <v>197</v>
      </c>
      <c r="C336">
        <v>8</v>
      </c>
      <c r="D336">
        <v>19.899999999999999</v>
      </c>
      <c r="E336">
        <v>3365</v>
      </c>
      <c r="F336">
        <v>260</v>
      </c>
      <c r="G336">
        <v>110</v>
      </c>
      <c r="H336">
        <f t="shared" si="5"/>
        <v>3.2689450222882617E-2</v>
      </c>
      <c r="I336">
        <v>15.5</v>
      </c>
      <c r="J336">
        <v>78</v>
      </c>
      <c r="K336" t="s">
        <v>10</v>
      </c>
    </row>
    <row r="337" spans="2:11" x14ac:dyDescent="0.3">
      <c r="B337" t="s">
        <v>236</v>
      </c>
      <c r="C337">
        <v>4</v>
      </c>
      <c r="D337">
        <v>35.700000000000003</v>
      </c>
      <c r="E337">
        <v>1915</v>
      </c>
      <c r="F337">
        <v>98</v>
      </c>
      <c r="G337">
        <v>80</v>
      </c>
      <c r="H337">
        <f t="shared" si="5"/>
        <v>4.1775456919060053E-2</v>
      </c>
      <c r="I337">
        <v>14.4</v>
      </c>
      <c r="J337">
        <v>79</v>
      </c>
      <c r="K337" t="s">
        <v>10</v>
      </c>
    </row>
    <row r="338" spans="2:11" x14ac:dyDescent="0.3">
      <c r="B338" t="s">
        <v>247</v>
      </c>
      <c r="C338">
        <v>4</v>
      </c>
      <c r="D338">
        <v>33.5</v>
      </c>
      <c r="E338">
        <v>2556</v>
      </c>
      <c r="F338">
        <v>151</v>
      </c>
      <c r="G338">
        <v>90</v>
      </c>
      <c r="H338">
        <f t="shared" si="5"/>
        <v>3.5211267605633804E-2</v>
      </c>
      <c r="I338">
        <v>13.2</v>
      </c>
      <c r="J338">
        <v>79</v>
      </c>
      <c r="K338" t="s">
        <v>10</v>
      </c>
    </row>
    <row r="339" spans="2:11" x14ac:dyDescent="0.3">
      <c r="B339" t="s">
        <v>244</v>
      </c>
      <c r="C339">
        <v>4</v>
      </c>
      <c r="D339">
        <v>28.4</v>
      </c>
      <c r="E339">
        <v>2670</v>
      </c>
      <c r="F339">
        <v>151</v>
      </c>
      <c r="G339">
        <v>90</v>
      </c>
      <c r="H339">
        <f t="shared" si="5"/>
        <v>3.3707865168539325E-2</v>
      </c>
      <c r="I339">
        <v>16</v>
      </c>
      <c r="J339">
        <v>79</v>
      </c>
      <c r="K339" t="s">
        <v>10</v>
      </c>
    </row>
    <row r="340" spans="2:11" x14ac:dyDescent="0.3">
      <c r="B340" t="s">
        <v>241</v>
      </c>
      <c r="C340">
        <v>4</v>
      </c>
      <c r="D340">
        <v>34.5</v>
      </c>
      <c r="E340">
        <v>2150</v>
      </c>
      <c r="F340">
        <v>105</v>
      </c>
      <c r="G340">
        <v>70</v>
      </c>
      <c r="H340">
        <f t="shared" si="5"/>
        <v>3.255813953488372E-2</v>
      </c>
      <c r="I340">
        <v>14.9</v>
      </c>
      <c r="J340">
        <v>79</v>
      </c>
      <c r="K340" t="s">
        <v>10</v>
      </c>
    </row>
    <row r="341" spans="2:11" x14ac:dyDescent="0.3">
      <c r="B341" t="s">
        <v>240</v>
      </c>
      <c r="C341">
        <v>4</v>
      </c>
      <c r="D341">
        <v>34.200000000000003</v>
      </c>
      <c r="E341">
        <v>2200</v>
      </c>
      <c r="F341">
        <v>105</v>
      </c>
      <c r="G341">
        <v>70</v>
      </c>
      <c r="H341">
        <f t="shared" si="5"/>
        <v>3.1818181818181815E-2</v>
      </c>
      <c r="I341">
        <v>13.2</v>
      </c>
      <c r="J341">
        <v>79</v>
      </c>
      <c r="K341" t="s">
        <v>10</v>
      </c>
    </row>
    <row r="342" spans="2:11" x14ac:dyDescent="0.3">
      <c r="B342" t="s">
        <v>226</v>
      </c>
      <c r="C342">
        <v>4</v>
      </c>
      <c r="D342">
        <v>22.3</v>
      </c>
      <c r="E342">
        <v>2890</v>
      </c>
      <c r="F342">
        <v>140</v>
      </c>
      <c r="G342">
        <v>88</v>
      </c>
      <c r="H342">
        <f t="shared" si="5"/>
        <v>3.0449826989619379E-2</v>
      </c>
      <c r="I342">
        <v>17.3</v>
      </c>
      <c r="J342">
        <v>79</v>
      </c>
      <c r="K342" t="s">
        <v>10</v>
      </c>
    </row>
    <row r="343" spans="2:11" x14ac:dyDescent="0.3">
      <c r="B343" t="s">
        <v>237</v>
      </c>
      <c r="C343">
        <v>4</v>
      </c>
      <c r="D343">
        <v>27.4</v>
      </c>
      <c r="E343">
        <v>2670</v>
      </c>
      <c r="F343">
        <v>121</v>
      </c>
      <c r="G343">
        <v>80</v>
      </c>
      <c r="H343">
        <f t="shared" si="5"/>
        <v>2.9962546816479401E-2</v>
      </c>
      <c r="I343">
        <v>15</v>
      </c>
      <c r="J343">
        <v>79</v>
      </c>
      <c r="K343" t="s">
        <v>10</v>
      </c>
    </row>
    <row r="344" spans="2:11" x14ac:dyDescent="0.3">
      <c r="B344" t="s">
        <v>245</v>
      </c>
      <c r="C344">
        <v>6</v>
      </c>
      <c r="D344">
        <v>28.8</v>
      </c>
      <c r="E344">
        <v>2595</v>
      </c>
      <c r="F344">
        <v>173</v>
      </c>
      <c r="G344">
        <v>115</v>
      </c>
      <c r="H344">
        <f t="shared" si="5"/>
        <v>4.4315992292870907E-2</v>
      </c>
      <c r="I344">
        <v>11.3</v>
      </c>
      <c r="J344">
        <v>79</v>
      </c>
      <c r="K344" t="s">
        <v>10</v>
      </c>
    </row>
    <row r="345" spans="2:11" x14ac:dyDescent="0.3">
      <c r="B345" t="s">
        <v>246</v>
      </c>
      <c r="C345">
        <v>6</v>
      </c>
      <c r="D345">
        <v>26.8</v>
      </c>
      <c r="E345">
        <v>2700</v>
      </c>
      <c r="F345">
        <v>173</v>
      </c>
      <c r="G345">
        <v>115</v>
      </c>
      <c r="H345">
        <f t="shared" si="5"/>
        <v>4.2592592592592592E-2</v>
      </c>
      <c r="I345">
        <v>12.9</v>
      </c>
      <c r="J345">
        <v>79</v>
      </c>
      <c r="K345" t="s">
        <v>10</v>
      </c>
    </row>
    <row r="346" spans="2:11" x14ac:dyDescent="0.3">
      <c r="B346" t="s">
        <v>224</v>
      </c>
      <c r="C346">
        <v>6</v>
      </c>
      <c r="D346">
        <v>21.5</v>
      </c>
      <c r="E346">
        <v>3245</v>
      </c>
      <c r="F346">
        <v>231</v>
      </c>
      <c r="G346">
        <v>115</v>
      </c>
      <c r="H346">
        <f t="shared" si="5"/>
        <v>3.543913713405239E-2</v>
      </c>
      <c r="I346">
        <v>15.4</v>
      </c>
      <c r="J346">
        <v>79</v>
      </c>
      <c r="K346" t="s">
        <v>10</v>
      </c>
    </row>
    <row r="347" spans="2:11" x14ac:dyDescent="0.3">
      <c r="B347" t="s">
        <v>228</v>
      </c>
      <c r="C347">
        <v>6</v>
      </c>
      <c r="D347">
        <v>20.6</v>
      </c>
      <c r="E347">
        <v>3360</v>
      </c>
      <c r="F347">
        <v>225</v>
      </c>
      <c r="G347">
        <v>110</v>
      </c>
      <c r="H347">
        <f t="shared" si="5"/>
        <v>3.273809523809524E-2</v>
      </c>
      <c r="I347">
        <v>16.600000000000001</v>
      </c>
      <c r="J347">
        <v>79</v>
      </c>
      <c r="K347" t="s">
        <v>10</v>
      </c>
    </row>
    <row r="348" spans="2:11" x14ac:dyDescent="0.3">
      <c r="B348" t="s">
        <v>225</v>
      </c>
      <c r="C348">
        <v>6</v>
      </c>
      <c r="D348">
        <v>19.8</v>
      </c>
      <c r="E348">
        <v>2990</v>
      </c>
      <c r="F348">
        <v>200</v>
      </c>
      <c r="G348">
        <v>85</v>
      </c>
      <c r="H348">
        <f t="shared" si="5"/>
        <v>2.8428093645484948E-2</v>
      </c>
      <c r="I348">
        <v>18.2</v>
      </c>
      <c r="J348">
        <v>79</v>
      </c>
      <c r="K348" t="s">
        <v>10</v>
      </c>
    </row>
    <row r="349" spans="2:11" x14ac:dyDescent="0.3">
      <c r="B349" t="s">
        <v>227</v>
      </c>
      <c r="C349">
        <v>6</v>
      </c>
      <c r="D349">
        <v>20.2</v>
      </c>
      <c r="E349">
        <v>3265</v>
      </c>
      <c r="F349">
        <v>232</v>
      </c>
      <c r="G349">
        <v>90</v>
      </c>
      <c r="H349">
        <f t="shared" si="5"/>
        <v>2.7565084226646247E-2</v>
      </c>
      <c r="I349">
        <v>18.2</v>
      </c>
      <c r="J349">
        <v>79</v>
      </c>
      <c r="K349" t="s">
        <v>10</v>
      </c>
    </row>
    <row r="350" spans="2:11" x14ac:dyDescent="0.3">
      <c r="B350" t="s">
        <v>233</v>
      </c>
      <c r="C350">
        <v>8</v>
      </c>
      <c r="D350">
        <v>18.5</v>
      </c>
      <c r="E350">
        <v>3940</v>
      </c>
      <c r="F350">
        <v>360</v>
      </c>
      <c r="G350">
        <v>150</v>
      </c>
      <c r="H350">
        <f t="shared" si="5"/>
        <v>3.8071065989847719E-2</v>
      </c>
      <c r="I350">
        <v>13</v>
      </c>
      <c r="J350">
        <v>79</v>
      </c>
      <c r="K350" t="s">
        <v>10</v>
      </c>
    </row>
    <row r="351" spans="2:11" x14ac:dyDescent="0.3">
      <c r="B351" t="s">
        <v>23</v>
      </c>
      <c r="C351">
        <v>8</v>
      </c>
      <c r="D351">
        <v>16.899999999999999</v>
      </c>
      <c r="E351">
        <v>4360</v>
      </c>
      <c r="F351">
        <v>350</v>
      </c>
      <c r="G351">
        <v>155</v>
      </c>
      <c r="H351">
        <f t="shared" si="5"/>
        <v>3.5550458715596332E-2</v>
      </c>
      <c r="I351">
        <v>14.9</v>
      </c>
      <c r="J351">
        <v>79</v>
      </c>
      <c r="K351" t="s">
        <v>10</v>
      </c>
    </row>
    <row r="352" spans="2:11" x14ac:dyDescent="0.3">
      <c r="B352" t="s">
        <v>231</v>
      </c>
      <c r="C352">
        <v>8</v>
      </c>
      <c r="D352">
        <v>18.2</v>
      </c>
      <c r="E352">
        <v>3830</v>
      </c>
      <c r="F352">
        <v>318</v>
      </c>
      <c r="G352">
        <v>135</v>
      </c>
      <c r="H352">
        <f t="shared" si="5"/>
        <v>3.5248041775456922E-2</v>
      </c>
      <c r="I352">
        <v>15.2</v>
      </c>
      <c r="J352">
        <v>79</v>
      </c>
      <c r="K352" t="s">
        <v>10</v>
      </c>
    </row>
    <row r="353" spans="2:11" x14ac:dyDescent="0.3">
      <c r="B353" t="s">
        <v>49</v>
      </c>
      <c r="C353">
        <v>8</v>
      </c>
      <c r="D353">
        <v>15.5</v>
      </c>
      <c r="E353">
        <v>4054</v>
      </c>
      <c r="F353">
        <v>351</v>
      </c>
      <c r="G353">
        <v>142</v>
      </c>
      <c r="H353">
        <f t="shared" si="5"/>
        <v>3.5027133695115932E-2</v>
      </c>
      <c r="I353">
        <v>14.3</v>
      </c>
      <c r="J353">
        <v>79</v>
      </c>
      <c r="K353" t="s">
        <v>10</v>
      </c>
    </row>
    <row r="354" spans="2:11" x14ac:dyDescent="0.3">
      <c r="B354" t="s">
        <v>230</v>
      </c>
      <c r="C354">
        <v>8</v>
      </c>
      <c r="D354">
        <v>16.5</v>
      </c>
      <c r="E354">
        <v>3955</v>
      </c>
      <c r="F354">
        <v>351</v>
      </c>
      <c r="G354">
        <v>138</v>
      </c>
      <c r="H354">
        <f t="shared" si="5"/>
        <v>3.4892541087231353E-2</v>
      </c>
      <c r="I354">
        <v>13.2</v>
      </c>
      <c r="J354">
        <v>79</v>
      </c>
      <c r="K354" t="s">
        <v>10</v>
      </c>
    </row>
    <row r="355" spans="2:11" x14ac:dyDescent="0.3">
      <c r="B355" t="s">
        <v>232</v>
      </c>
      <c r="C355">
        <v>8</v>
      </c>
      <c r="D355">
        <v>19.2</v>
      </c>
      <c r="E355">
        <v>3605</v>
      </c>
      <c r="F355">
        <v>267</v>
      </c>
      <c r="G355">
        <v>125</v>
      </c>
      <c r="H355">
        <f t="shared" si="5"/>
        <v>3.4674063800277391E-2</v>
      </c>
      <c r="I355">
        <v>15</v>
      </c>
      <c r="J355">
        <v>79</v>
      </c>
      <c r="K355" t="s">
        <v>10</v>
      </c>
    </row>
    <row r="356" spans="2:11" x14ac:dyDescent="0.3">
      <c r="B356" t="s">
        <v>229</v>
      </c>
      <c r="C356">
        <v>8</v>
      </c>
      <c r="D356">
        <v>17.600000000000001</v>
      </c>
      <c r="E356">
        <v>3725</v>
      </c>
      <c r="F356">
        <v>302</v>
      </c>
      <c r="G356">
        <v>129</v>
      </c>
      <c r="H356">
        <f t="shared" si="5"/>
        <v>3.4630872483221477E-2</v>
      </c>
      <c r="I356">
        <v>13.4</v>
      </c>
      <c r="J356">
        <v>79</v>
      </c>
      <c r="K356" t="s">
        <v>10</v>
      </c>
    </row>
    <row r="357" spans="2:11" x14ac:dyDescent="0.3">
      <c r="B357" t="s">
        <v>92</v>
      </c>
      <c r="C357">
        <v>8</v>
      </c>
      <c r="D357">
        <v>17</v>
      </c>
      <c r="E357">
        <v>3840</v>
      </c>
      <c r="F357">
        <v>305</v>
      </c>
      <c r="G357">
        <v>130</v>
      </c>
      <c r="H357">
        <f t="shared" si="5"/>
        <v>3.3854166666666664E-2</v>
      </c>
      <c r="I357">
        <v>15.4</v>
      </c>
      <c r="J357">
        <v>79</v>
      </c>
      <c r="K357" t="s">
        <v>10</v>
      </c>
    </row>
    <row r="358" spans="2:11" x14ac:dyDescent="0.3">
      <c r="B358" t="s">
        <v>239</v>
      </c>
      <c r="C358">
        <v>8</v>
      </c>
      <c r="D358">
        <v>23</v>
      </c>
      <c r="E358">
        <v>3900</v>
      </c>
      <c r="F358">
        <v>350</v>
      </c>
      <c r="G358">
        <v>125</v>
      </c>
      <c r="H358">
        <f t="shared" si="5"/>
        <v>3.2051282051282048E-2</v>
      </c>
      <c r="I358">
        <v>17.399999999999999</v>
      </c>
      <c r="J358">
        <v>79</v>
      </c>
      <c r="K358" t="s">
        <v>10</v>
      </c>
    </row>
    <row r="359" spans="2:11" x14ac:dyDescent="0.3">
      <c r="B359" t="s">
        <v>197</v>
      </c>
      <c r="C359">
        <v>8</v>
      </c>
      <c r="D359">
        <v>23.9</v>
      </c>
      <c r="E359">
        <v>3420</v>
      </c>
      <c r="F359">
        <v>260</v>
      </c>
      <c r="G359">
        <v>90</v>
      </c>
      <c r="H359">
        <f t="shared" si="5"/>
        <v>2.6315789473684209E-2</v>
      </c>
      <c r="I359">
        <v>22.2</v>
      </c>
      <c r="J359">
        <v>79</v>
      </c>
      <c r="K359" t="s">
        <v>10</v>
      </c>
    </row>
    <row r="360" spans="2:11" x14ac:dyDescent="0.3">
      <c r="B360" t="s">
        <v>128</v>
      </c>
      <c r="C360">
        <v>4</v>
      </c>
      <c r="D360">
        <v>27.9</v>
      </c>
      <c r="E360">
        <v>2800</v>
      </c>
      <c r="F360">
        <v>156</v>
      </c>
      <c r="G360">
        <v>105</v>
      </c>
      <c r="H360">
        <f t="shared" si="5"/>
        <v>3.7499999999999999E-2</v>
      </c>
      <c r="I360">
        <v>14.4</v>
      </c>
      <c r="J360">
        <v>80</v>
      </c>
      <c r="K360" t="s">
        <v>10</v>
      </c>
    </row>
    <row r="361" spans="2:11" x14ac:dyDescent="0.3">
      <c r="B361" t="s">
        <v>245</v>
      </c>
      <c r="C361">
        <v>4</v>
      </c>
      <c r="D361">
        <v>28</v>
      </c>
      <c r="E361">
        <v>2678</v>
      </c>
      <c r="F361">
        <v>151</v>
      </c>
      <c r="G361">
        <v>90</v>
      </c>
      <c r="H361">
        <f t="shared" si="5"/>
        <v>3.3607169529499624E-2</v>
      </c>
      <c r="I361">
        <v>16.5</v>
      </c>
      <c r="J361">
        <v>80</v>
      </c>
      <c r="K361" t="s">
        <v>10</v>
      </c>
    </row>
    <row r="362" spans="2:11" x14ac:dyDescent="0.3">
      <c r="B362" t="s">
        <v>153</v>
      </c>
      <c r="C362">
        <v>4</v>
      </c>
      <c r="D362">
        <v>32.1</v>
      </c>
      <c r="E362">
        <v>2120</v>
      </c>
      <c r="F362">
        <v>98</v>
      </c>
      <c r="G362">
        <v>70</v>
      </c>
      <c r="H362">
        <f t="shared" si="5"/>
        <v>3.3018867924528301E-2</v>
      </c>
      <c r="I362">
        <v>15.5</v>
      </c>
      <c r="J362">
        <v>80</v>
      </c>
      <c r="K362" t="s">
        <v>10</v>
      </c>
    </row>
    <row r="363" spans="2:11" x14ac:dyDescent="0.3">
      <c r="B363" t="s">
        <v>250</v>
      </c>
      <c r="C363">
        <v>4</v>
      </c>
      <c r="D363">
        <v>26.4</v>
      </c>
      <c r="E363">
        <v>2870</v>
      </c>
      <c r="F363">
        <v>140</v>
      </c>
      <c r="G363">
        <v>88</v>
      </c>
      <c r="H363">
        <f t="shared" si="5"/>
        <v>3.0662020905923345E-2</v>
      </c>
      <c r="I363">
        <v>18.100000000000001</v>
      </c>
      <c r="J363">
        <v>80</v>
      </c>
      <c r="K363" t="s">
        <v>10</v>
      </c>
    </row>
    <row r="364" spans="2:11" x14ac:dyDescent="0.3">
      <c r="B364" t="s">
        <v>204</v>
      </c>
      <c r="C364">
        <v>4</v>
      </c>
      <c r="D364">
        <v>24.3</v>
      </c>
      <c r="E364">
        <v>3003</v>
      </c>
      <c r="F364">
        <v>151</v>
      </c>
      <c r="G364">
        <v>90</v>
      </c>
      <c r="H364">
        <f t="shared" si="5"/>
        <v>2.9970029970029972E-2</v>
      </c>
      <c r="I364">
        <v>20.100000000000001</v>
      </c>
      <c r="J364">
        <v>80</v>
      </c>
      <c r="K364" t="s">
        <v>10</v>
      </c>
    </row>
    <row r="365" spans="2:11" x14ac:dyDescent="0.3">
      <c r="B365" t="s">
        <v>266</v>
      </c>
      <c r="C365">
        <v>4</v>
      </c>
      <c r="D365">
        <v>23.6</v>
      </c>
      <c r="E365">
        <v>2905</v>
      </c>
      <c r="F365">
        <v>140</v>
      </c>
      <c r="H365">
        <f t="shared" si="5"/>
        <v>0</v>
      </c>
      <c r="I365">
        <v>14.3</v>
      </c>
      <c r="J365">
        <v>80</v>
      </c>
      <c r="K365" t="s">
        <v>10</v>
      </c>
    </row>
    <row r="366" spans="2:11" x14ac:dyDescent="0.3">
      <c r="B366" t="s">
        <v>207</v>
      </c>
      <c r="C366">
        <v>6</v>
      </c>
      <c r="D366">
        <v>19.100000000000001</v>
      </c>
      <c r="E366">
        <v>3381</v>
      </c>
      <c r="F366">
        <v>225</v>
      </c>
      <c r="G366">
        <v>90</v>
      </c>
      <c r="H366">
        <f t="shared" si="5"/>
        <v>2.6619343389529725E-2</v>
      </c>
      <c r="I366">
        <v>18.7</v>
      </c>
      <c r="J366">
        <v>80</v>
      </c>
      <c r="K366" t="s">
        <v>10</v>
      </c>
    </row>
    <row r="367" spans="2:11" x14ac:dyDescent="0.3">
      <c r="B367" t="s">
        <v>268</v>
      </c>
      <c r="C367">
        <v>4</v>
      </c>
      <c r="D367">
        <v>30</v>
      </c>
      <c r="E367">
        <v>2385</v>
      </c>
      <c r="F367">
        <v>135</v>
      </c>
      <c r="G367">
        <v>84</v>
      </c>
      <c r="H367">
        <f t="shared" si="5"/>
        <v>3.5220125786163521E-2</v>
      </c>
      <c r="I367">
        <v>12.9</v>
      </c>
      <c r="J367">
        <v>81</v>
      </c>
      <c r="K367" t="s">
        <v>10</v>
      </c>
    </row>
    <row r="368" spans="2:11" x14ac:dyDescent="0.3">
      <c r="B368" t="s">
        <v>269</v>
      </c>
      <c r="C368">
        <v>4</v>
      </c>
      <c r="D368">
        <v>25.8</v>
      </c>
      <c r="E368">
        <v>2620</v>
      </c>
      <c r="F368">
        <v>156</v>
      </c>
      <c r="G368">
        <v>92</v>
      </c>
      <c r="H368">
        <f t="shared" si="5"/>
        <v>3.5114503816793895E-2</v>
      </c>
      <c r="I368">
        <v>14.4</v>
      </c>
      <c r="J368">
        <v>81</v>
      </c>
      <c r="K368" t="s">
        <v>10</v>
      </c>
    </row>
    <row r="369" spans="2:11" x14ac:dyDescent="0.3">
      <c r="B369" t="s">
        <v>271</v>
      </c>
      <c r="C369">
        <v>4</v>
      </c>
      <c r="D369">
        <v>39</v>
      </c>
      <c r="E369">
        <v>1875</v>
      </c>
      <c r="F369">
        <v>86</v>
      </c>
      <c r="G369">
        <v>64</v>
      </c>
      <c r="H369">
        <f t="shared" si="5"/>
        <v>3.4133333333333335E-2</v>
      </c>
      <c r="I369">
        <v>16.399999999999999</v>
      </c>
      <c r="J369">
        <v>81</v>
      </c>
      <c r="K369" t="s">
        <v>10</v>
      </c>
    </row>
    <row r="370" spans="2:11" x14ac:dyDescent="0.3">
      <c r="B370" t="s">
        <v>268</v>
      </c>
      <c r="C370">
        <v>4</v>
      </c>
      <c r="D370">
        <v>27.2</v>
      </c>
      <c r="E370">
        <v>2490</v>
      </c>
      <c r="F370">
        <v>135</v>
      </c>
      <c r="G370">
        <v>84</v>
      </c>
      <c r="H370">
        <f t="shared" si="5"/>
        <v>3.3734939759036145E-2</v>
      </c>
      <c r="I370">
        <v>15.7</v>
      </c>
      <c r="J370">
        <v>81</v>
      </c>
      <c r="K370" t="s">
        <v>10</v>
      </c>
    </row>
    <row r="371" spans="2:11" x14ac:dyDescent="0.3">
      <c r="B371" t="s">
        <v>177</v>
      </c>
      <c r="C371">
        <v>4</v>
      </c>
      <c r="D371">
        <v>26.6</v>
      </c>
      <c r="E371">
        <v>2635</v>
      </c>
      <c r="F371">
        <v>151</v>
      </c>
      <c r="G371">
        <v>84</v>
      </c>
      <c r="H371">
        <f t="shared" si="5"/>
        <v>3.1878557874762806E-2</v>
      </c>
      <c r="I371">
        <v>16.399999999999999</v>
      </c>
      <c r="J371">
        <v>81</v>
      </c>
      <c r="K371" t="s">
        <v>10</v>
      </c>
    </row>
    <row r="372" spans="2:11" x14ac:dyDescent="0.3">
      <c r="B372" t="s">
        <v>277</v>
      </c>
      <c r="C372">
        <v>4</v>
      </c>
      <c r="D372">
        <v>34.4</v>
      </c>
      <c r="E372">
        <v>2045</v>
      </c>
      <c r="F372">
        <v>98</v>
      </c>
      <c r="G372">
        <v>65</v>
      </c>
      <c r="H372">
        <f t="shared" si="5"/>
        <v>3.1784841075794622E-2</v>
      </c>
      <c r="I372">
        <v>16.2</v>
      </c>
      <c r="J372">
        <v>81</v>
      </c>
      <c r="K372" t="s">
        <v>10</v>
      </c>
    </row>
    <row r="373" spans="2:11" x14ac:dyDescent="0.3">
      <c r="B373" t="s">
        <v>276</v>
      </c>
      <c r="C373">
        <v>4</v>
      </c>
      <c r="D373">
        <v>34.700000000000003</v>
      </c>
      <c r="E373">
        <v>2215</v>
      </c>
      <c r="F373">
        <v>105</v>
      </c>
      <c r="G373">
        <v>63</v>
      </c>
      <c r="H373">
        <f t="shared" si="5"/>
        <v>2.8442437923250564E-2</v>
      </c>
      <c r="I373">
        <v>14.9</v>
      </c>
      <c r="J373">
        <v>81</v>
      </c>
      <c r="K373" t="s">
        <v>10</v>
      </c>
    </row>
    <row r="374" spans="2:11" x14ac:dyDescent="0.3">
      <c r="B374" t="s">
        <v>278</v>
      </c>
      <c r="C374">
        <v>4</v>
      </c>
      <c r="D374">
        <v>29.9</v>
      </c>
      <c r="E374">
        <v>2380</v>
      </c>
      <c r="F374">
        <v>98</v>
      </c>
      <c r="G374">
        <v>65</v>
      </c>
      <c r="H374">
        <f t="shared" si="5"/>
        <v>2.7310924369747899E-2</v>
      </c>
      <c r="I374">
        <v>20.7</v>
      </c>
      <c r="J374">
        <v>81</v>
      </c>
      <c r="K374" t="s">
        <v>10</v>
      </c>
    </row>
    <row r="375" spans="2:11" x14ac:dyDescent="0.3">
      <c r="B375" t="s">
        <v>245</v>
      </c>
      <c r="C375">
        <v>6</v>
      </c>
      <c r="D375">
        <v>23.5</v>
      </c>
      <c r="E375">
        <v>2725</v>
      </c>
      <c r="F375">
        <v>173</v>
      </c>
      <c r="G375">
        <v>110</v>
      </c>
      <c r="H375">
        <f t="shared" si="5"/>
        <v>4.0366972477064222E-2</v>
      </c>
      <c r="I375">
        <v>12.6</v>
      </c>
      <c r="J375">
        <v>81</v>
      </c>
      <c r="K375" t="s">
        <v>10</v>
      </c>
    </row>
    <row r="376" spans="2:11" x14ac:dyDescent="0.3">
      <c r="B376" t="s">
        <v>137</v>
      </c>
      <c r="C376">
        <v>6</v>
      </c>
      <c r="D376">
        <v>22.4</v>
      </c>
      <c r="E376">
        <v>3415</v>
      </c>
      <c r="F376">
        <v>231</v>
      </c>
      <c r="G376">
        <v>110</v>
      </c>
      <c r="H376">
        <f t="shared" si="5"/>
        <v>3.2210834553440704E-2</v>
      </c>
      <c r="I376">
        <v>15.8</v>
      </c>
      <c r="J376">
        <v>81</v>
      </c>
      <c r="K376" t="s">
        <v>10</v>
      </c>
    </row>
    <row r="377" spans="2:11" x14ac:dyDescent="0.3">
      <c r="B377" t="s">
        <v>288</v>
      </c>
      <c r="C377">
        <v>6</v>
      </c>
      <c r="D377">
        <v>20.2</v>
      </c>
      <c r="E377">
        <v>3060</v>
      </c>
      <c r="F377">
        <v>200</v>
      </c>
      <c r="G377">
        <v>88</v>
      </c>
      <c r="H377">
        <f t="shared" si="5"/>
        <v>2.8758169934640521E-2</v>
      </c>
      <c r="I377">
        <v>17.100000000000001</v>
      </c>
      <c r="J377">
        <v>81</v>
      </c>
      <c r="K377" t="s">
        <v>10</v>
      </c>
    </row>
    <row r="378" spans="2:11" x14ac:dyDescent="0.3">
      <c r="B378" t="s">
        <v>289</v>
      </c>
      <c r="C378">
        <v>6</v>
      </c>
      <c r="D378">
        <v>17.600000000000001</v>
      </c>
      <c r="E378">
        <v>3465</v>
      </c>
      <c r="F378">
        <v>225</v>
      </c>
      <c r="G378">
        <v>85</v>
      </c>
      <c r="H378">
        <f t="shared" si="5"/>
        <v>2.4531024531024532E-2</v>
      </c>
      <c r="I378">
        <v>16.600000000000001</v>
      </c>
      <c r="J378">
        <v>81</v>
      </c>
      <c r="K378" t="s">
        <v>10</v>
      </c>
    </row>
    <row r="379" spans="2:11" x14ac:dyDescent="0.3">
      <c r="B379" t="s">
        <v>287</v>
      </c>
      <c r="C379">
        <v>8</v>
      </c>
      <c r="D379">
        <v>26.6</v>
      </c>
      <c r="E379">
        <v>3725</v>
      </c>
      <c r="F379">
        <v>350</v>
      </c>
      <c r="G379">
        <v>105</v>
      </c>
      <c r="H379">
        <f t="shared" si="5"/>
        <v>2.8187919463087248E-2</v>
      </c>
      <c r="I379">
        <v>19</v>
      </c>
      <c r="J379">
        <v>81</v>
      </c>
      <c r="K379" t="s">
        <v>10</v>
      </c>
    </row>
    <row r="380" spans="2:11" x14ac:dyDescent="0.3">
      <c r="B380" t="s">
        <v>292</v>
      </c>
      <c r="C380">
        <v>4</v>
      </c>
      <c r="D380">
        <v>34</v>
      </c>
      <c r="E380">
        <v>2395</v>
      </c>
      <c r="F380">
        <v>112</v>
      </c>
      <c r="G380">
        <v>88</v>
      </c>
      <c r="H380">
        <f t="shared" si="5"/>
        <v>3.6743215031315238E-2</v>
      </c>
      <c r="I380">
        <v>18</v>
      </c>
      <c r="J380">
        <v>82</v>
      </c>
      <c r="K380" t="s">
        <v>10</v>
      </c>
    </row>
    <row r="381" spans="2:11" x14ac:dyDescent="0.3">
      <c r="B381" t="s">
        <v>314</v>
      </c>
      <c r="C381">
        <v>4</v>
      </c>
      <c r="D381">
        <v>32</v>
      </c>
      <c r="E381">
        <v>2295</v>
      </c>
      <c r="F381">
        <v>135</v>
      </c>
      <c r="G381">
        <v>84</v>
      </c>
      <c r="H381">
        <f t="shared" si="5"/>
        <v>3.6601307189542485E-2</v>
      </c>
      <c r="I381">
        <v>11.6</v>
      </c>
      <c r="J381">
        <v>82</v>
      </c>
      <c r="K381" t="s">
        <v>10</v>
      </c>
    </row>
    <row r="382" spans="2:11" x14ac:dyDescent="0.3">
      <c r="B382" t="s">
        <v>307</v>
      </c>
      <c r="C382">
        <v>4</v>
      </c>
      <c r="D382">
        <v>26</v>
      </c>
      <c r="E382">
        <v>2585</v>
      </c>
      <c r="F382">
        <v>156</v>
      </c>
      <c r="G382">
        <v>92</v>
      </c>
      <c r="H382">
        <f t="shared" si="5"/>
        <v>3.5589941972920695E-2</v>
      </c>
      <c r="I382">
        <v>14.5</v>
      </c>
      <c r="J382">
        <v>82</v>
      </c>
      <c r="K382" t="s">
        <v>10</v>
      </c>
    </row>
    <row r="383" spans="2:11" x14ac:dyDescent="0.3">
      <c r="B383" t="s">
        <v>310</v>
      </c>
      <c r="C383">
        <v>4</v>
      </c>
      <c r="D383">
        <v>36</v>
      </c>
      <c r="E383">
        <v>2370</v>
      </c>
      <c r="F383">
        <v>135</v>
      </c>
      <c r="G383">
        <v>84</v>
      </c>
      <c r="H383">
        <f t="shared" si="5"/>
        <v>3.5443037974683546E-2</v>
      </c>
      <c r="I383">
        <v>13</v>
      </c>
      <c r="J383">
        <v>82</v>
      </c>
      <c r="K383" t="s">
        <v>10</v>
      </c>
    </row>
    <row r="384" spans="2:11" x14ac:dyDescent="0.3">
      <c r="B384" t="s">
        <v>290</v>
      </c>
      <c r="C384">
        <v>4</v>
      </c>
      <c r="D384">
        <v>28</v>
      </c>
      <c r="E384">
        <v>2605</v>
      </c>
      <c r="F384">
        <v>112</v>
      </c>
      <c r="G384">
        <v>88</v>
      </c>
      <c r="H384">
        <f t="shared" si="5"/>
        <v>3.3781190019193857E-2</v>
      </c>
      <c r="I384">
        <v>19.600000000000001</v>
      </c>
      <c r="J384">
        <v>82</v>
      </c>
      <c r="K384" t="s">
        <v>10</v>
      </c>
    </row>
    <row r="385" spans="2:11" x14ac:dyDescent="0.3">
      <c r="B385" t="s">
        <v>291</v>
      </c>
      <c r="C385">
        <v>4</v>
      </c>
      <c r="D385">
        <v>27</v>
      </c>
      <c r="E385">
        <v>2640</v>
      </c>
      <c r="F385">
        <v>112</v>
      </c>
      <c r="G385">
        <v>88</v>
      </c>
      <c r="H385">
        <f t="shared" si="5"/>
        <v>3.3333333333333333E-2</v>
      </c>
      <c r="I385">
        <v>18.600000000000001</v>
      </c>
      <c r="J385">
        <v>82</v>
      </c>
      <c r="K385" t="s">
        <v>10</v>
      </c>
    </row>
    <row r="386" spans="2:11" x14ac:dyDescent="0.3">
      <c r="B386" t="s">
        <v>294</v>
      </c>
      <c r="C386">
        <v>4</v>
      </c>
      <c r="D386">
        <v>29</v>
      </c>
      <c r="E386">
        <v>2525</v>
      </c>
      <c r="F386">
        <v>135</v>
      </c>
      <c r="G386">
        <v>84</v>
      </c>
      <c r="H386">
        <f t="shared" ref="H386:H399" si="6">IFERROR(G386/E386, "")</f>
        <v>3.3267326732673269E-2</v>
      </c>
      <c r="I386">
        <v>16</v>
      </c>
      <c r="J386">
        <v>82</v>
      </c>
      <c r="K386" t="s">
        <v>10</v>
      </c>
    </row>
    <row r="387" spans="2:11" x14ac:dyDescent="0.3">
      <c r="B387" t="s">
        <v>293</v>
      </c>
      <c r="C387">
        <v>4</v>
      </c>
      <c r="D387">
        <v>31</v>
      </c>
      <c r="E387">
        <v>2575</v>
      </c>
      <c r="F387">
        <v>112</v>
      </c>
      <c r="G387">
        <v>85</v>
      </c>
      <c r="H387">
        <f t="shared" si="6"/>
        <v>3.3009708737864081E-2</v>
      </c>
      <c r="I387">
        <v>16.2</v>
      </c>
      <c r="J387">
        <v>82</v>
      </c>
      <c r="K387" t="s">
        <v>10</v>
      </c>
    </row>
    <row r="388" spans="2:11" x14ac:dyDescent="0.3">
      <c r="B388" t="s">
        <v>301</v>
      </c>
      <c r="C388">
        <v>4</v>
      </c>
      <c r="D388">
        <v>36</v>
      </c>
      <c r="E388">
        <v>2125</v>
      </c>
      <c r="F388">
        <v>98</v>
      </c>
      <c r="G388">
        <v>70</v>
      </c>
      <c r="H388">
        <f t="shared" si="6"/>
        <v>3.2941176470588238E-2</v>
      </c>
      <c r="I388">
        <v>17.3</v>
      </c>
      <c r="J388">
        <v>82</v>
      </c>
      <c r="K388" t="s">
        <v>10</v>
      </c>
    </row>
    <row r="389" spans="2:11" x14ac:dyDescent="0.3">
      <c r="B389" t="s">
        <v>247</v>
      </c>
      <c r="C389">
        <v>4</v>
      </c>
      <c r="D389">
        <v>27</v>
      </c>
      <c r="E389">
        <v>2735</v>
      </c>
      <c r="F389">
        <v>151</v>
      </c>
      <c r="G389">
        <v>90</v>
      </c>
      <c r="H389">
        <f t="shared" si="6"/>
        <v>3.2906764168190127E-2</v>
      </c>
      <c r="I389">
        <v>18</v>
      </c>
      <c r="J389">
        <v>82</v>
      </c>
      <c r="K389" t="s">
        <v>10</v>
      </c>
    </row>
    <row r="390" spans="2:11" x14ac:dyDescent="0.3">
      <c r="B390" t="s">
        <v>295</v>
      </c>
      <c r="C390">
        <v>4</v>
      </c>
      <c r="D390">
        <v>24</v>
      </c>
      <c r="E390">
        <v>2865</v>
      </c>
      <c r="F390">
        <v>140</v>
      </c>
      <c r="G390">
        <v>92</v>
      </c>
      <c r="H390">
        <f t="shared" si="6"/>
        <v>3.2111692844677138E-2</v>
      </c>
      <c r="I390">
        <v>16.399999999999999</v>
      </c>
      <c r="J390">
        <v>82</v>
      </c>
      <c r="K390" t="s">
        <v>10</v>
      </c>
    </row>
    <row r="391" spans="2:11" x14ac:dyDescent="0.3">
      <c r="B391" t="s">
        <v>312</v>
      </c>
      <c r="C391">
        <v>4</v>
      </c>
      <c r="D391">
        <v>27</v>
      </c>
      <c r="E391">
        <v>2790</v>
      </c>
      <c r="F391">
        <v>140</v>
      </c>
      <c r="G391">
        <v>86</v>
      </c>
      <c r="H391">
        <f t="shared" si="6"/>
        <v>3.0824372759856632E-2</v>
      </c>
      <c r="I391">
        <v>15.6</v>
      </c>
      <c r="J391">
        <v>82</v>
      </c>
      <c r="K391" t="s">
        <v>10</v>
      </c>
    </row>
    <row r="392" spans="2:11" x14ac:dyDescent="0.3">
      <c r="B392" t="s">
        <v>311</v>
      </c>
      <c r="C392">
        <v>4</v>
      </c>
      <c r="D392">
        <v>27</v>
      </c>
      <c r="E392">
        <v>2950</v>
      </c>
      <c r="F392">
        <v>151</v>
      </c>
      <c r="G392">
        <v>90</v>
      </c>
      <c r="H392">
        <f t="shared" si="6"/>
        <v>3.0508474576271188E-2</v>
      </c>
      <c r="I392">
        <v>17.3</v>
      </c>
      <c r="J392">
        <v>82</v>
      </c>
      <c r="K392" t="s">
        <v>10</v>
      </c>
    </row>
    <row r="393" spans="2:11" x14ac:dyDescent="0.3">
      <c r="B393" t="s">
        <v>316</v>
      </c>
      <c r="C393">
        <v>4</v>
      </c>
      <c r="D393">
        <v>31</v>
      </c>
      <c r="E393">
        <v>2720</v>
      </c>
      <c r="F393">
        <v>119</v>
      </c>
      <c r="G393">
        <v>82</v>
      </c>
      <c r="H393">
        <f t="shared" si="6"/>
        <v>3.0147058823529412E-2</v>
      </c>
      <c r="I393">
        <v>19.399999999999999</v>
      </c>
      <c r="J393">
        <v>82</v>
      </c>
      <c r="K393" t="s">
        <v>10</v>
      </c>
    </row>
    <row r="394" spans="2:11" x14ac:dyDescent="0.3">
      <c r="B394" t="s">
        <v>315</v>
      </c>
      <c r="C394">
        <v>4</v>
      </c>
      <c r="D394">
        <v>28</v>
      </c>
      <c r="E394">
        <v>2625</v>
      </c>
      <c r="F394">
        <v>120</v>
      </c>
      <c r="G394">
        <v>79</v>
      </c>
      <c r="H394">
        <f t="shared" si="6"/>
        <v>3.0095238095238095E-2</v>
      </c>
      <c r="I394">
        <v>18.600000000000001</v>
      </c>
      <c r="J394">
        <v>82</v>
      </c>
      <c r="K394" t="s">
        <v>10</v>
      </c>
    </row>
    <row r="395" spans="2:11" x14ac:dyDescent="0.3">
      <c r="B395" t="s">
        <v>300</v>
      </c>
      <c r="C395">
        <v>4</v>
      </c>
      <c r="D395">
        <v>38</v>
      </c>
      <c r="E395">
        <v>2125</v>
      </c>
      <c r="F395">
        <v>105</v>
      </c>
      <c r="G395">
        <v>63</v>
      </c>
      <c r="H395">
        <f t="shared" si="6"/>
        <v>2.9647058823529412E-2</v>
      </c>
      <c r="I395">
        <v>14.7</v>
      </c>
      <c r="J395">
        <v>82</v>
      </c>
      <c r="K395" t="s">
        <v>10</v>
      </c>
    </row>
    <row r="396" spans="2:11" x14ac:dyDescent="0.3">
      <c r="B396" t="s">
        <v>296</v>
      </c>
      <c r="C396">
        <v>4</v>
      </c>
      <c r="D396">
        <v>23</v>
      </c>
      <c r="E396">
        <v>3035</v>
      </c>
      <c r="F396">
        <v>151</v>
      </c>
      <c r="H396">
        <f t="shared" si="6"/>
        <v>0</v>
      </c>
      <c r="I396">
        <v>20.5</v>
      </c>
      <c r="J396">
        <v>82</v>
      </c>
      <c r="K396" t="s">
        <v>10</v>
      </c>
    </row>
    <row r="397" spans="2:11" x14ac:dyDescent="0.3">
      <c r="B397" t="s">
        <v>308</v>
      </c>
      <c r="C397">
        <v>6</v>
      </c>
      <c r="D397">
        <v>22</v>
      </c>
      <c r="E397">
        <v>2835</v>
      </c>
      <c r="F397">
        <v>232</v>
      </c>
      <c r="G397">
        <v>112</v>
      </c>
      <c r="H397">
        <f t="shared" si="6"/>
        <v>3.9506172839506172E-2</v>
      </c>
      <c r="I397">
        <v>14.7</v>
      </c>
      <c r="J397">
        <v>82</v>
      </c>
      <c r="K397" t="s">
        <v>10</v>
      </c>
    </row>
    <row r="398" spans="2:11" x14ac:dyDescent="0.3">
      <c r="B398" t="s">
        <v>305</v>
      </c>
      <c r="C398">
        <v>6</v>
      </c>
      <c r="D398">
        <v>25</v>
      </c>
      <c r="E398">
        <v>2945</v>
      </c>
      <c r="F398">
        <v>181</v>
      </c>
      <c r="G398">
        <v>110</v>
      </c>
      <c r="H398">
        <f t="shared" si="6"/>
        <v>3.7351443123938878E-2</v>
      </c>
      <c r="I398">
        <v>16.399999999999999</v>
      </c>
      <c r="J398">
        <v>82</v>
      </c>
      <c r="K398" t="s">
        <v>10</v>
      </c>
    </row>
    <row r="399" spans="2:11" x14ac:dyDescent="0.3">
      <c r="B399" t="s">
        <v>306</v>
      </c>
      <c r="C399">
        <v>6</v>
      </c>
      <c r="D399">
        <v>38</v>
      </c>
      <c r="E399">
        <v>3015</v>
      </c>
      <c r="F399">
        <v>262</v>
      </c>
      <c r="G399">
        <v>85</v>
      </c>
      <c r="H399">
        <f t="shared" si="6"/>
        <v>2.8192371475953566E-2</v>
      </c>
      <c r="I399">
        <v>17</v>
      </c>
      <c r="J399">
        <v>82</v>
      </c>
      <c r="K399" t="s">
        <v>10</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723FB-E238-46E6-B961-36B44A1E3273}">
  <dimension ref="A1:AF45"/>
  <sheetViews>
    <sheetView workbookViewId="0">
      <selection activeCell="K36" sqref="K36"/>
    </sheetView>
  </sheetViews>
  <sheetFormatPr defaultRowHeight="14.4" x14ac:dyDescent="0.3"/>
  <cols>
    <col min="1" max="1" width="20.88671875" style="15" customWidth="1"/>
    <col min="2" max="2" width="12.5546875" style="16" bestFit="1" customWidth="1"/>
    <col min="3" max="4" width="14.44140625" bestFit="1" customWidth="1"/>
    <col min="5" max="5" width="12.5546875" bestFit="1" customWidth="1"/>
    <col min="6" max="7" width="13.6640625" bestFit="1" customWidth="1"/>
    <col min="8" max="8" width="12.5546875" bestFit="1" customWidth="1"/>
    <col min="9" max="10" width="13.6640625" bestFit="1" customWidth="1"/>
    <col min="11" max="11" width="12.5546875" bestFit="1" customWidth="1"/>
    <col min="12" max="12" width="20.77734375" bestFit="1" customWidth="1"/>
    <col min="13" max="20" width="15.5546875" bestFit="1" customWidth="1"/>
    <col min="21" max="21" width="12.5546875" bestFit="1" customWidth="1"/>
    <col min="22" max="22" width="13.6640625" bestFit="1" customWidth="1"/>
    <col min="23" max="30" width="15.5546875" bestFit="1" customWidth="1"/>
    <col min="31" max="31" width="12.5546875" bestFit="1" customWidth="1"/>
    <col min="32" max="32" width="13.6640625" bestFit="1" customWidth="1"/>
    <col min="33" max="138" width="15.5546875" bestFit="1" customWidth="1"/>
    <col min="139" max="139" width="10.77734375" bestFit="1" customWidth="1"/>
    <col min="140" max="140" width="7" bestFit="1" customWidth="1"/>
    <col min="141" max="141" width="9.6640625" bestFit="1" customWidth="1"/>
    <col min="142" max="142" width="7" bestFit="1" customWidth="1"/>
    <col min="143" max="143" width="9.6640625" bestFit="1" customWidth="1"/>
    <col min="144" max="145" width="7" bestFit="1" customWidth="1"/>
    <col min="146" max="146" width="9.6640625" bestFit="1" customWidth="1"/>
    <col min="147" max="147" width="7" bestFit="1" customWidth="1"/>
    <col min="148" max="148" width="9.6640625" bestFit="1" customWidth="1"/>
    <col min="149" max="149" width="7" bestFit="1" customWidth="1"/>
    <col min="150" max="150" width="9.6640625" bestFit="1" customWidth="1"/>
    <col min="151" max="152" width="7" bestFit="1" customWidth="1"/>
    <col min="153" max="153" width="9.6640625" bestFit="1" customWidth="1"/>
    <col min="154" max="154" width="7" bestFit="1" customWidth="1"/>
    <col min="155" max="155" width="9.6640625" bestFit="1" customWidth="1"/>
    <col min="156" max="156" width="7" bestFit="1" customWidth="1"/>
    <col min="157" max="157" width="9.6640625" bestFit="1" customWidth="1"/>
    <col min="158" max="158" width="7" bestFit="1" customWidth="1"/>
    <col min="159" max="159" width="9.6640625" bestFit="1" customWidth="1"/>
    <col min="160" max="161" width="7" bestFit="1" customWidth="1"/>
    <col min="162" max="162" width="9.6640625" bestFit="1" customWidth="1"/>
    <col min="163" max="163" width="7" bestFit="1" customWidth="1"/>
    <col min="164" max="164" width="9.6640625" bestFit="1" customWidth="1"/>
    <col min="165" max="165" width="7" bestFit="1" customWidth="1"/>
    <col min="166" max="166" width="9.6640625" bestFit="1" customWidth="1"/>
    <col min="167" max="167" width="7" bestFit="1" customWidth="1"/>
    <col min="168" max="168" width="9.6640625" bestFit="1" customWidth="1"/>
    <col min="169" max="169" width="7" bestFit="1" customWidth="1"/>
    <col min="170" max="170" width="9.6640625" bestFit="1" customWidth="1"/>
    <col min="171" max="171" width="7" bestFit="1" customWidth="1"/>
    <col min="172" max="172" width="9.6640625" bestFit="1" customWidth="1"/>
    <col min="173" max="173" width="7" bestFit="1" customWidth="1"/>
    <col min="174" max="174" width="9.6640625" bestFit="1" customWidth="1"/>
    <col min="175" max="176" width="7" bestFit="1" customWidth="1"/>
    <col min="177" max="177" width="9.6640625" bestFit="1" customWidth="1"/>
    <col min="178" max="178" width="7" bestFit="1" customWidth="1"/>
    <col min="179" max="179" width="9.6640625" bestFit="1" customWidth="1"/>
    <col min="180" max="180" width="7" bestFit="1" customWidth="1"/>
    <col min="181" max="181" width="9.6640625" bestFit="1" customWidth="1"/>
    <col min="182" max="182" width="7" bestFit="1" customWidth="1"/>
    <col min="183" max="183" width="9.6640625" bestFit="1" customWidth="1"/>
    <col min="184" max="184" width="7" bestFit="1" customWidth="1"/>
    <col min="185" max="185" width="9.6640625" bestFit="1" customWidth="1"/>
    <col min="186" max="186" width="7" bestFit="1" customWidth="1"/>
    <col min="187" max="187" width="9.6640625" bestFit="1" customWidth="1"/>
    <col min="188" max="188" width="7" bestFit="1" customWidth="1"/>
    <col min="189" max="189" width="9.6640625" bestFit="1" customWidth="1"/>
    <col min="190" max="190" width="7" bestFit="1" customWidth="1"/>
    <col min="191" max="191" width="9.6640625" bestFit="1" customWidth="1"/>
    <col min="192" max="192" width="7" bestFit="1" customWidth="1"/>
    <col min="193" max="193" width="9.6640625" bestFit="1" customWidth="1"/>
    <col min="194" max="194" width="7" bestFit="1" customWidth="1"/>
    <col min="195" max="195" width="9.6640625" bestFit="1" customWidth="1"/>
    <col min="196" max="196" width="7" bestFit="1" customWidth="1"/>
    <col min="197" max="197" width="9.6640625" bestFit="1" customWidth="1"/>
    <col min="198" max="199" width="7" bestFit="1" customWidth="1"/>
    <col min="200" max="200" width="9.6640625" bestFit="1" customWidth="1"/>
    <col min="201" max="201" width="7" bestFit="1" customWidth="1"/>
    <col min="202" max="202" width="9.6640625" bestFit="1" customWidth="1"/>
    <col min="203" max="203" width="7" bestFit="1" customWidth="1"/>
    <col min="204" max="204" width="9.6640625" bestFit="1" customWidth="1"/>
    <col min="205" max="205" width="7" bestFit="1" customWidth="1"/>
    <col min="206" max="206" width="9.6640625" bestFit="1" customWidth="1"/>
    <col min="207" max="207" width="7" bestFit="1" customWidth="1"/>
    <col min="208" max="208" width="9.6640625" bestFit="1" customWidth="1"/>
    <col min="209" max="209" width="7" bestFit="1" customWidth="1"/>
    <col min="210" max="210" width="9.6640625" bestFit="1" customWidth="1"/>
    <col min="211" max="213" width="7" bestFit="1" customWidth="1"/>
    <col min="214" max="214" width="9.6640625" bestFit="1" customWidth="1"/>
    <col min="215" max="215" width="7" bestFit="1" customWidth="1"/>
    <col min="216" max="216" width="9.6640625" bestFit="1" customWidth="1"/>
    <col min="217" max="217" width="7" bestFit="1" customWidth="1"/>
    <col min="218" max="218" width="9.6640625" bestFit="1" customWidth="1"/>
    <col min="219" max="219" width="7" bestFit="1" customWidth="1"/>
    <col min="220" max="220" width="9.6640625" bestFit="1" customWidth="1"/>
    <col min="221" max="221" width="7" bestFit="1" customWidth="1"/>
    <col min="222" max="222" width="9.6640625" bestFit="1" customWidth="1"/>
    <col min="223" max="223" width="7" bestFit="1" customWidth="1"/>
    <col min="224" max="224" width="9.6640625" bestFit="1" customWidth="1"/>
    <col min="225" max="225" width="7" bestFit="1" customWidth="1"/>
    <col min="226" max="226" width="9.6640625" bestFit="1" customWidth="1"/>
    <col min="227" max="227" width="7" bestFit="1" customWidth="1"/>
    <col min="228" max="228" width="9.6640625" bestFit="1" customWidth="1"/>
    <col min="229" max="229" width="7" bestFit="1" customWidth="1"/>
    <col min="230" max="230" width="9.6640625" bestFit="1" customWidth="1"/>
    <col min="231" max="231" width="7" bestFit="1" customWidth="1"/>
    <col min="232" max="232" width="9.6640625" bestFit="1" customWidth="1"/>
    <col min="233" max="233" width="7" bestFit="1" customWidth="1"/>
    <col min="234" max="234" width="9.6640625" bestFit="1" customWidth="1"/>
    <col min="235" max="235" width="7" bestFit="1" customWidth="1"/>
    <col min="236" max="236" width="9.6640625" bestFit="1" customWidth="1"/>
    <col min="237" max="237" width="7" bestFit="1" customWidth="1"/>
    <col min="238" max="238" width="9.6640625" bestFit="1" customWidth="1"/>
    <col min="239" max="240" width="7" bestFit="1" customWidth="1"/>
    <col min="241" max="241" width="9.6640625" bestFit="1" customWidth="1"/>
    <col min="242" max="242" width="7" bestFit="1" customWidth="1"/>
    <col min="243" max="243" width="9.6640625" bestFit="1" customWidth="1"/>
    <col min="244" max="244" width="7" bestFit="1" customWidth="1"/>
    <col min="245" max="245" width="9.6640625" bestFit="1" customWidth="1"/>
    <col min="246" max="247" width="7" bestFit="1" customWidth="1"/>
    <col min="248" max="248" width="9.6640625" bestFit="1" customWidth="1"/>
    <col min="249" max="249" width="7" bestFit="1" customWidth="1"/>
    <col min="250" max="250" width="9.6640625" bestFit="1" customWidth="1"/>
    <col min="251" max="251" width="7" bestFit="1" customWidth="1"/>
    <col min="252" max="252" width="9.6640625" bestFit="1" customWidth="1"/>
    <col min="253" max="253" width="7" bestFit="1" customWidth="1"/>
    <col min="254" max="254" width="9.6640625" bestFit="1" customWidth="1"/>
    <col min="255" max="255" width="7" bestFit="1" customWidth="1"/>
    <col min="256" max="256" width="9.6640625" bestFit="1" customWidth="1"/>
    <col min="257" max="257" width="7" bestFit="1" customWidth="1"/>
    <col min="258" max="258" width="9.6640625" bestFit="1" customWidth="1"/>
    <col min="259" max="259" width="7" bestFit="1" customWidth="1"/>
    <col min="260" max="260" width="9.6640625" bestFit="1" customWidth="1"/>
    <col min="261" max="261" width="7" bestFit="1" customWidth="1"/>
    <col min="262" max="262" width="9.6640625" bestFit="1" customWidth="1"/>
    <col min="263" max="263" width="7" bestFit="1" customWidth="1"/>
    <col min="264" max="264" width="9.6640625" bestFit="1" customWidth="1"/>
    <col min="265" max="265" width="7" bestFit="1" customWidth="1"/>
    <col min="266" max="266" width="9.6640625" bestFit="1" customWidth="1"/>
    <col min="267" max="267" width="7" bestFit="1" customWidth="1"/>
    <col min="268" max="268" width="9.6640625" bestFit="1" customWidth="1"/>
    <col min="269" max="269" width="7" bestFit="1" customWidth="1"/>
    <col min="270" max="270" width="9.6640625" bestFit="1" customWidth="1"/>
    <col min="271" max="271" width="7" bestFit="1" customWidth="1"/>
    <col min="272" max="272" width="9.6640625" bestFit="1" customWidth="1"/>
    <col min="273" max="273" width="7" bestFit="1" customWidth="1"/>
    <col min="274" max="274" width="9.6640625" bestFit="1" customWidth="1"/>
    <col min="275" max="276" width="7" bestFit="1" customWidth="1"/>
    <col min="277" max="277" width="9.6640625" bestFit="1" customWidth="1"/>
    <col min="278" max="278" width="7" bestFit="1" customWidth="1"/>
    <col min="279" max="279" width="9.6640625" bestFit="1" customWidth="1"/>
    <col min="280" max="280" width="7" bestFit="1" customWidth="1"/>
    <col min="281" max="281" width="9.6640625" bestFit="1" customWidth="1"/>
    <col min="282" max="282" width="7" bestFit="1" customWidth="1"/>
    <col min="283" max="283" width="9.6640625" bestFit="1" customWidth="1"/>
    <col min="284" max="284" width="7" bestFit="1" customWidth="1"/>
    <col min="285" max="285" width="9.6640625" bestFit="1" customWidth="1"/>
    <col min="286" max="286" width="7" bestFit="1" customWidth="1"/>
    <col min="287" max="287" width="9.6640625" bestFit="1" customWidth="1"/>
    <col min="288" max="288" width="7" bestFit="1" customWidth="1"/>
    <col min="289" max="289" width="9.6640625" bestFit="1" customWidth="1"/>
    <col min="290" max="290" width="7" bestFit="1" customWidth="1"/>
    <col min="291" max="291" width="9.6640625" bestFit="1" customWidth="1"/>
    <col min="292" max="292" width="7" bestFit="1" customWidth="1"/>
    <col min="293" max="293" width="9.6640625" bestFit="1" customWidth="1"/>
    <col min="294" max="294" width="7" bestFit="1" customWidth="1"/>
    <col min="295" max="295" width="9.6640625" bestFit="1" customWidth="1"/>
    <col min="296" max="296" width="7" bestFit="1" customWidth="1"/>
    <col min="297" max="297" width="9.6640625" bestFit="1" customWidth="1"/>
    <col min="298" max="298" width="7" bestFit="1" customWidth="1"/>
    <col min="299" max="299" width="9.6640625" bestFit="1" customWidth="1"/>
    <col min="300" max="300" width="7" bestFit="1" customWidth="1"/>
    <col min="301" max="301" width="9.6640625" bestFit="1" customWidth="1"/>
    <col min="302" max="302" width="7" bestFit="1" customWidth="1"/>
    <col min="303" max="303" width="9.6640625" bestFit="1" customWidth="1"/>
    <col min="304" max="304" width="7" bestFit="1" customWidth="1"/>
    <col min="305" max="305" width="9.6640625" bestFit="1" customWidth="1"/>
    <col min="306" max="306" width="7" bestFit="1" customWidth="1"/>
    <col min="307" max="307" width="9.6640625" bestFit="1" customWidth="1"/>
    <col min="308" max="308" width="7" bestFit="1" customWidth="1"/>
    <col min="309" max="309" width="9.6640625" bestFit="1" customWidth="1"/>
    <col min="310" max="310" width="7" bestFit="1" customWidth="1"/>
    <col min="311" max="311" width="9.6640625" bestFit="1" customWidth="1"/>
    <col min="312" max="313" width="7" bestFit="1" customWidth="1"/>
    <col min="314" max="314" width="9.6640625" bestFit="1" customWidth="1"/>
    <col min="315" max="315" width="7" bestFit="1" customWidth="1"/>
    <col min="316" max="316" width="9.6640625" bestFit="1" customWidth="1"/>
    <col min="317" max="317" width="7" bestFit="1" customWidth="1"/>
    <col min="318" max="318" width="9.6640625" bestFit="1" customWidth="1"/>
    <col min="319" max="319" width="7" bestFit="1" customWidth="1"/>
    <col min="320" max="320" width="9.6640625" bestFit="1" customWidth="1"/>
    <col min="321" max="321" width="7" bestFit="1" customWidth="1"/>
    <col min="322" max="322" width="9.6640625" bestFit="1" customWidth="1"/>
    <col min="323" max="323" width="7" bestFit="1" customWidth="1"/>
    <col min="324" max="324" width="9.6640625" bestFit="1" customWidth="1"/>
    <col min="325" max="326" width="7" bestFit="1" customWidth="1"/>
    <col min="327" max="327" width="9.6640625" bestFit="1" customWidth="1"/>
    <col min="328" max="328" width="7" bestFit="1" customWidth="1"/>
    <col min="329" max="329" width="9.6640625" bestFit="1" customWidth="1"/>
    <col min="330" max="330" width="7" bestFit="1" customWidth="1"/>
    <col min="331" max="331" width="9.6640625" bestFit="1" customWidth="1"/>
    <col min="332" max="332" width="7" bestFit="1" customWidth="1"/>
    <col min="333" max="333" width="9.6640625" bestFit="1" customWidth="1"/>
    <col min="334" max="334" width="7" bestFit="1" customWidth="1"/>
    <col min="335" max="335" width="9.6640625" bestFit="1" customWidth="1"/>
    <col min="336" max="336" width="7" bestFit="1" customWidth="1"/>
    <col min="337" max="337" width="9.6640625" bestFit="1" customWidth="1"/>
    <col min="338" max="338" width="7" bestFit="1" customWidth="1"/>
    <col min="339" max="339" width="9.6640625" bestFit="1" customWidth="1"/>
    <col min="340" max="340" width="7" bestFit="1" customWidth="1"/>
    <col min="341" max="341" width="9.6640625" bestFit="1" customWidth="1"/>
    <col min="342" max="344" width="7" bestFit="1" customWidth="1"/>
    <col min="345" max="345" width="9.6640625" bestFit="1" customWidth="1"/>
    <col min="346" max="346" width="7" bestFit="1" customWidth="1"/>
    <col min="347" max="347" width="9.6640625" bestFit="1" customWidth="1"/>
    <col min="348" max="348" width="7" bestFit="1" customWidth="1"/>
    <col min="349" max="349" width="9.6640625" bestFit="1" customWidth="1"/>
    <col min="350" max="350" width="7" bestFit="1" customWidth="1"/>
    <col min="351" max="351" width="9.6640625" bestFit="1" customWidth="1"/>
    <col min="352" max="352" width="7" bestFit="1" customWidth="1"/>
    <col min="353" max="353" width="9.6640625" bestFit="1" customWidth="1"/>
    <col min="354" max="354" width="7" bestFit="1" customWidth="1"/>
    <col min="355" max="355" width="9.6640625" bestFit="1" customWidth="1"/>
    <col min="356" max="356" width="7" bestFit="1" customWidth="1"/>
    <col min="357" max="357" width="9.6640625" bestFit="1" customWidth="1"/>
    <col min="358" max="358" width="7" bestFit="1" customWidth="1"/>
    <col min="359" max="359" width="9.6640625" bestFit="1" customWidth="1"/>
    <col min="360" max="360" width="7" bestFit="1" customWidth="1"/>
    <col min="361" max="361" width="9.6640625" bestFit="1" customWidth="1"/>
    <col min="362" max="362" width="7" bestFit="1" customWidth="1"/>
    <col min="363" max="363" width="9.6640625" bestFit="1" customWidth="1"/>
    <col min="364" max="364" width="7" bestFit="1" customWidth="1"/>
    <col min="365" max="365" width="9.6640625" bestFit="1" customWidth="1"/>
    <col min="366" max="366" width="7" bestFit="1" customWidth="1"/>
    <col min="367" max="367" width="9.6640625" bestFit="1" customWidth="1"/>
    <col min="368" max="368" width="7" bestFit="1" customWidth="1"/>
    <col min="369" max="369" width="9.6640625" bestFit="1" customWidth="1"/>
    <col min="370" max="370" width="7" bestFit="1" customWidth="1"/>
    <col min="371" max="371" width="9.6640625" bestFit="1" customWidth="1"/>
    <col min="372" max="372" width="7" bestFit="1" customWidth="1"/>
    <col min="373" max="373" width="9.6640625" bestFit="1" customWidth="1"/>
    <col min="374" max="374" width="7" bestFit="1" customWidth="1"/>
    <col min="375" max="375" width="9.6640625" bestFit="1" customWidth="1"/>
    <col min="376" max="376" width="7" bestFit="1" customWidth="1"/>
    <col min="377" max="377" width="9.6640625" bestFit="1" customWidth="1"/>
    <col min="378" max="378" width="7" bestFit="1" customWidth="1"/>
    <col min="379" max="379" width="9.6640625" bestFit="1" customWidth="1"/>
    <col min="380" max="380" width="7" bestFit="1" customWidth="1"/>
    <col min="381" max="381" width="9.6640625" bestFit="1" customWidth="1"/>
    <col min="382" max="382" width="7" bestFit="1" customWidth="1"/>
    <col min="383" max="383" width="9.6640625" bestFit="1" customWidth="1"/>
    <col min="384" max="384" width="7" bestFit="1" customWidth="1"/>
    <col min="385" max="385" width="9.6640625" bestFit="1" customWidth="1"/>
    <col min="386" max="386" width="7" bestFit="1" customWidth="1"/>
    <col min="387" max="387" width="9.6640625" bestFit="1" customWidth="1"/>
    <col min="388" max="388" width="7" bestFit="1" customWidth="1"/>
    <col min="389" max="389" width="9.6640625" bestFit="1" customWidth="1"/>
    <col min="390" max="390" width="7" bestFit="1" customWidth="1"/>
    <col min="391" max="391" width="9.6640625" bestFit="1" customWidth="1"/>
    <col min="392" max="392" width="7" bestFit="1" customWidth="1"/>
    <col min="393" max="393" width="9.6640625" bestFit="1" customWidth="1"/>
    <col min="394" max="394" width="7" bestFit="1" customWidth="1"/>
    <col min="395" max="395" width="9.6640625" bestFit="1" customWidth="1"/>
    <col min="396" max="396" width="7" bestFit="1" customWidth="1"/>
    <col min="397" max="397" width="9.6640625" bestFit="1" customWidth="1"/>
    <col min="398" max="398" width="7" bestFit="1" customWidth="1"/>
    <col min="399" max="399" width="9.6640625" bestFit="1" customWidth="1"/>
    <col min="400" max="401" width="7" bestFit="1" customWidth="1"/>
    <col min="402" max="402" width="9.6640625" bestFit="1" customWidth="1"/>
    <col min="403" max="403" width="7" bestFit="1" customWidth="1"/>
    <col min="404" max="404" width="9.6640625" bestFit="1" customWidth="1"/>
    <col min="405" max="407" width="7" bestFit="1" customWidth="1"/>
    <col min="408" max="408" width="9.6640625" bestFit="1" customWidth="1"/>
    <col min="409" max="410" width="7" bestFit="1" customWidth="1"/>
    <col min="411" max="411" width="9.6640625" bestFit="1" customWidth="1"/>
    <col min="412" max="412" width="7" bestFit="1" customWidth="1"/>
    <col min="413" max="413" width="9.6640625" bestFit="1" customWidth="1"/>
    <col min="414" max="414" width="7" bestFit="1" customWidth="1"/>
    <col min="415" max="415" width="9.6640625" bestFit="1" customWidth="1"/>
    <col min="416" max="416" width="7" bestFit="1" customWidth="1"/>
    <col min="417" max="417" width="9.6640625" bestFit="1" customWidth="1"/>
    <col min="418" max="418" width="7" bestFit="1" customWidth="1"/>
    <col min="419" max="419" width="9.6640625" bestFit="1" customWidth="1"/>
    <col min="420" max="420" width="7" bestFit="1" customWidth="1"/>
    <col min="421" max="421" width="9.6640625" bestFit="1" customWidth="1"/>
    <col min="422" max="422" width="7" bestFit="1" customWidth="1"/>
    <col min="423" max="423" width="9.6640625" bestFit="1" customWidth="1"/>
    <col min="424" max="424" width="7" bestFit="1" customWidth="1"/>
    <col min="425" max="425" width="9.6640625" bestFit="1" customWidth="1"/>
    <col min="426" max="426" width="7" bestFit="1" customWidth="1"/>
    <col min="427" max="427" width="9.6640625" bestFit="1" customWidth="1"/>
    <col min="428" max="428" width="7" bestFit="1" customWidth="1"/>
    <col min="429" max="429" width="9.6640625" bestFit="1" customWidth="1"/>
    <col min="430" max="430" width="7" bestFit="1" customWidth="1"/>
    <col min="431" max="431" width="9.6640625" bestFit="1" customWidth="1"/>
    <col min="432" max="432" width="7" bestFit="1" customWidth="1"/>
    <col min="433" max="433" width="9.6640625" bestFit="1" customWidth="1"/>
    <col min="434" max="434" width="7" bestFit="1" customWidth="1"/>
    <col min="435" max="435" width="9.6640625" bestFit="1" customWidth="1"/>
    <col min="436" max="436" width="7" bestFit="1" customWidth="1"/>
    <col min="437" max="437" width="9.6640625" bestFit="1" customWidth="1"/>
    <col min="438" max="438" width="7" bestFit="1" customWidth="1"/>
    <col min="439" max="439" width="9.6640625" bestFit="1" customWidth="1"/>
    <col min="440" max="440" width="7" bestFit="1" customWidth="1"/>
    <col min="441" max="441" width="9.6640625" bestFit="1" customWidth="1"/>
    <col min="442" max="442" width="7" bestFit="1" customWidth="1"/>
    <col min="443" max="443" width="9.6640625" bestFit="1" customWidth="1"/>
    <col min="444" max="444" width="7" bestFit="1" customWidth="1"/>
    <col min="445" max="445" width="9.6640625" bestFit="1" customWidth="1"/>
    <col min="446" max="446" width="7" bestFit="1" customWidth="1"/>
    <col min="447" max="447" width="9.6640625" bestFit="1" customWidth="1"/>
    <col min="448" max="448" width="7" bestFit="1" customWidth="1"/>
    <col min="449" max="449" width="9.6640625" bestFit="1" customWidth="1"/>
    <col min="450" max="450" width="7" bestFit="1" customWidth="1"/>
    <col min="451" max="451" width="9.6640625" bestFit="1" customWidth="1"/>
    <col min="452" max="452" width="7" bestFit="1" customWidth="1"/>
    <col min="453" max="453" width="9.6640625" bestFit="1" customWidth="1"/>
    <col min="454" max="454" width="7" bestFit="1" customWidth="1"/>
    <col min="455" max="455" width="9.6640625" bestFit="1" customWidth="1"/>
    <col min="456" max="456" width="7" bestFit="1" customWidth="1"/>
    <col min="457" max="457" width="9.6640625" bestFit="1" customWidth="1"/>
    <col min="458" max="458" width="7" bestFit="1" customWidth="1"/>
    <col min="459" max="459" width="9.6640625" bestFit="1" customWidth="1"/>
    <col min="460" max="460" width="7" bestFit="1" customWidth="1"/>
    <col min="461" max="461" width="9.6640625" bestFit="1" customWidth="1"/>
    <col min="462" max="462" width="7" bestFit="1" customWidth="1"/>
    <col min="463" max="463" width="9.6640625" bestFit="1" customWidth="1"/>
    <col min="464" max="464" width="7" bestFit="1" customWidth="1"/>
    <col min="465" max="465" width="9.6640625" bestFit="1" customWidth="1"/>
    <col min="466" max="466" width="7" bestFit="1" customWidth="1"/>
    <col min="467" max="467" width="9.6640625" bestFit="1" customWidth="1"/>
    <col min="468" max="468" width="7" bestFit="1" customWidth="1"/>
    <col min="469" max="469" width="9.6640625" bestFit="1" customWidth="1"/>
    <col min="470" max="470" width="7" bestFit="1" customWidth="1"/>
    <col min="471" max="471" width="9.6640625" bestFit="1" customWidth="1"/>
    <col min="472" max="472" width="7" bestFit="1" customWidth="1"/>
    <col min="473" max="473" width="9.6640625" bestFit="1" customWidth="1"/>
    <col min="474" max="474" width="7" bestFit="1" customWidth="1"/>
    <col min="475" max="475" width="9.6640625" bestFit="1" customWidth="1"/>
    <col min="476" max="476" width="7" bestFit="1" customWidth="1"/>
    <col min="477" max="477" width="9.6640625" bestFit="1" customWidth="1"/>
    <col min="478" max="478" width="7" bestFit="1" customWidth="1"/>
    <col min="479" max="479" width="9.6640625" bestFit="1" customWidth="1"/>
    <col min="480" max="480" width="7" bestFit="1" customWidth="1"/>
    <col min="481" max="481" width="9.6640625" bestFit="1" customWidth="1"/>
    <col min="482" max="482" width="7" bestFit="1" customWidth="1"/>
    <col min="483" max="483" width="9.6640625" bestFit="1" customWidth="1"/>
    <col min="484" max="484" width="7" bestFit="1" customWidth="1"/>
    <col min="485" max="485" width="9.6640625" bestFit="1" customWidth="1"/>
    <col min="486" max="486" width="7" bestFit="1" customWidth="1"/>
    <col min="487" max="487" width="9.6640625" bestFit="1" customWidth="1"/>
    <col min="488" max="488" width="7" bestFit="1" customWidth="1"/>
    <col min="489" max="489" width="9.6640625" bestFit="1" customWidth="1"/>
    <col min="490" max="490" width="7" bestFit="1" customWidth="1"/>
    <col min="491" max="491" width="9.6640625" bestFit="1" customWidth="1"/>
    <col min="492" max="492" width="7" bestFit="1" customWidth="1"/>
    <col min="493" max="493" width="9.6640625" bestFit="1" customWidth="1"/>
    <col min="494" max="494" width="7" bestFit="1" customWidth="1"/>
    <col min="495" max="495" width="9.6640625" bestFit="1" customWidth="1"/>
    <col min="496" max="496" width="7" bestFit="1" customWidth="1"/>
    <col min="497" max="497" width="9.6640625" bestFit="1" customWidth="1"/>
    <col min="498" max="498" width="7" bestFit="1" customWidth="1"/>
    <col min="499" max="499" width="9.6640625" bestFit="1" customWidth="1"/>
    <col min="500" max="500" width="7" bestFit="1" customWidth="1"/>
    <col min="501" max="501" width="9.6640625" bestFit="1" customWidth="1"/>
    <col min="502" max="502" width="7" bestFit="1" customWidth="1"/>
    <col min="503" max="503" width="9.6640625" bestFit="1" customWidth="1"/>
    <col min="504" max="504" width="7" bestFit="1" customWidth="1"/>
    <col min="505" max="505" width="9.6640625" bestFit="1" customWidth="1"/>
    <col min="506" max="506" width="7" bestFit="1" customWidth="1"/>
    <col min="507" max="507" width="9.6640625" bestFit="1" customWidth="1"/>
    <col min="508" max="508" width="7" bestFit="1" customWidth="1"/>
    <col min="509" max="509" width="9.6640625" bestFit="1" customWidth="1"/>
    <col min="510" max="510" width="7" bestFit="1" customWidth="1"/>
    <col min="511" max="511" width="9.6640625" bestFit="1" customWidth="1"/>
    <col min="512" max="513" width="7" bestFit="1" customWidth="1"/>
    <col min="514" max="514" width="9.6640625" bestFit="1" customWidth="1"/>
    <col min="515" max="515" width="7" bestFit="1" customWidth="1"/>
    <col min="516" max="516" width="9.6640625" bestFit="1" customWidth="1"/>
    <col min="517" max="517" width="7" bestFit="1" customWidth="1"/>
    <col min="518" max="518" width="9.6640625" bestFit="1" customWidth="1"/>
    <col min="519" max="520" width="7" bestFit="1" customWidth="1"/>
    <col min="521" max="521" width="9.6640625" bestFit="1" customWidth="1"/>
    <col min="522" max="522" width="7" bestFit="1" customWidth="1"/>
    <col min="523" max="523" width="9.6640625" bestFit="1" customWidth="1"/>
    <col min="524" max="524" width="7" bestFit="1" customWidth="1"/>
    <col min="525" max="525" width="9.6640625" bestFit="1" customWidth="1"/>
    <col min="526" max="526" width="7" bestFit="1" customWidth="1"/>
    <col min="527" max="527" width="9.6640625" bestFit="1" customWidth="1"/>
    <col min="528" max="528" width="7" bestFit="1" customWidth="1"/>
    <col min="529" max="529" width="9.6640625" bestFit="1" customWidth="1"/>
    <col min="530" max="530" width="7" bestFit="1" customWidth="1"/>
    <col min="531" max="531" width="9.6640625" bestFit="1" customWidth="1"/>
    <col min="532" max="532" width="7" bestFit="1" customWidth="1"/>
    <col min="533" max="533" width="9.6640625" bestFit="1" customWidth="1"/>
    <col min="534" max="534" width="7" bestFit="1" customWidth="1"/>
    <col min="535" max="535" width="9.6640625" bestFit="1" customWidth="1"/>
    <col min="536" max="536" width="7" bestFit="1" customWidth="1"/>
    <col min="537" max="537" width="9.6640625" bestFit="1" customWidth="1"/>
    <col min="538" max="538" width="7" bestFit="1" customWidth="1"/>
    <col min="539" max="539" width="9.6640625" bestFit="1" customWidth="1"/>
    <col min="540" max="540" width="7" bestFit="1" customWidth="1"/>
    <col min="541" max="541" width="9.6640625" bestFit="1" customWidth="1"/>
    <col min="542" max="542" width="7" bestFit="1" customWidth="1"/>
    <col min="543" max="543" width="9.6640625" bestFit="1" customWidth="1"/>
    <col min="544" max="544" width="7" bestFit="1" customWidth="1"/>
    <col min="545" max="545" width="9.6640625" bestFit="1" customWidth="1"/>
    <col min="546" max="546" width="7" bestFit="1" customWidth="1"/>
    <col min="547" max="547" width="9.6640625" bestFit="1" customWidth="1"/>
    <col min="548" max="548" width="7" bestFit="1" customWidth="1"/>
    <col min="549" max="549" width="9.6640625" bestFit="1" customWidth="1"/>
    <col min="550" max="550" width="7" bestFit="1" customWidth="1"/>
    <col min="551" max="551" width="9.6640625" bestFit="1" customWidth="1"/>
    <col min="552" max="552" width="7" bestFit="1" customWidth="1"/>
    <col min="553" max="553" width="9.6640625" bestFit="1" customWidth="1"/>
    <col min="554" max="554" width="7" bestFit="1" customWidth="1"/>
    <col min="555" max="555" width="9.6640625" bestFit="1" customWidth="1"/>
    <col min="556" max="556" width="7" bestFit="1" customWidth="1"/>
    <col min="557" max="557" width="9.6640625" bestFit="1" customWidth="1"/>
    <col min="558" max="558" width="7" bestFit="1" customWidth="1"/>
    <col min="559" max="559" width="9.6640625" bestFit="1" customWidth="1"/>
    <col min="560" max="560" width="7" bestFit="1" customWidth="1"/>
    <col min="561" max="561" width="9.6640625" bestFit="1" customWidth="1"/>
    <col min="562" max="562" width="7" bestFit="1" customWidth="1"/>
    <col min="563" max="563" width="9.6640625" bestFit="1" customWidth="1"/>
    <col min="564" max="564" width="7" bestFit="1" customWidth="1"/>
    <col min="565" max="565" width="9.6640625" bestFit="1" customWidth="1"/>
    <col min="566" max="566" width="7" bestFit="1" customWidth="1"/>
    <col min="567" max="567" width="9.6640625" bestFit="1" customWidth="1"/>
    <col min="568" max="568" width="7" bestFit="1" customWidth="1"/>
    <col min="569" max="569" width="9.6640625" bestFit="1" customWidth="1"/>
    <col min="570" max="570" width="7" bestFit="1" customWidth="1"/>
    <col min="571" max="571" width="9.6640625" bestFit="1" customWidth="1"/>
    <col min="572" max="572" width="7" bestFit="1" customWidth="1"/>
    <col min="573" max="573" width="9.6640625" bestFit="1" customWidth="1"/>
    <col min="574" max="575" width="7" bestFit="1" customWidth="1"/>
    <col min="576" max="576" width="9.6640625" bestFit="1" customWidth="1"/>
    <col min="577" max="577" width="7" bestFit="1" customWidth="1"/>
    <col min="578" max="578" width="9.6640625" bestFit="1" customWidth="1"/>
    <col min="579" max="580" width="7" bestFit="1" customWidth="1"/>
    <col min="581" max="581" width="9.6640625" bestFit="1" customWidth="1"/>
    <col min="582" max="582" width="7" bestFit="1" customWidth="1"/>
    <col min="583" max="583" width="9.6640625" bestFit="1" customWidth="1"/>
    <col min="584" max="584" width="7" bestFit="1" customWidth="1"/>
    <col min="585" max="585" width="9.6640625" bestFit="1" customWidth="1"/>
    <col min="586" max="586" width="7" bestFit="1" customWidth="1"/>
    <col min="587" max="587" width="9.6640625" bestFit="1" customWidth="1"/>
    <col min="588" max="588" width="7" bestFit="1" customWidth="1"/>
    <col min="589" max="589" width="9.6640625" bestFit="1" customWidth="1"/>
    <col min="590" max="590" width="7" bestFit="1" customWidth="1"/>
    <col min="591" max="591" width="9.6640625" bestFit="1" customWidth="1"/>
    <col min="592" max="592" width="7" bestFit="1" customWidth="1"/>
    <col min="593" max="593" width="9.6640625" bestFit="1" customWidth="1"/>
    <col min="594" max="594" width="7" bestFit="1" customWidth="1"/>
    <col min="595" max="595" width="9.6640625" bestFit="1" customWidth="1"/>
    <col min="596" max="596" width="7" bestFit="1" customWidth="1"/>
    <col min="597" max="597" width="9.6640625" bestFit="1" customWidth="1"/>
    <col min="598" max="598" width="7" bestFit="1" customWidth="1"/>
    <col min="599" max="599" width="9.6640625" bestFit="1" customWidth="1"/>
    <col min="600" max="600" width="7" bestFit="1" customWidth="1"/>
    <col min="601" max="601" width="9.6640625" bestFit="1" customWidth="1"/>
    <col min="602" max="602" width="7" bestFit="1" customWidth="1"/>
    <col min="603" max="603" width="9.6640625" bestFit="1" customWidth="1"/>
    <col min="604" max="604" width="7" bestFit="1" customWidth="1"/>
    <col min="605" max="605" width="9.6640625" bestFit="1" customWidth="1"/>
    <col min="606" max="606" width="7" bestFit="1" customWidth="1"/>
    <col min="607" max="607" width="9.6640625" bestFit="1" customWidth="1"/>
    <col min="608" max="608" width="7" bestFit="1" customWidth="1"/>
    <col min="609" max="609" width="9.6640625" bestFit="1" customWidth="1"/>
    <col min="610" max="610" width="7" bestFit="1" customWidth="1"/>
    <col min="611" max="611" width="9.6640625" bestFit="1" customWidth="1"/>
    <col min="612" max="612" width="7" bestFit="1" customWidth="1"/>
    <col min="613" max="613" width="9.6640625" bestFit="1" customWidth="1"/>
    <col min="614" max="614" width="7" bestFit="1" customWidth="1"/>
    <col min="615" max="615" width="9.6640625" bestFit="1" customWidth="1"/>
    <col min="616" max="616" width="7" bestFit="1" customWidth="1"/>
    <col min="617" max="617" width="9.6640625" bestFit="1" customWidth="1"/>
    <col min="618" max="619" width="7" bestFit="1" customWidth="1"/>
    <col min="620" max="620" width="9.6640625" bestFit="1" customWidth="1"/>
    <col min="621" max="621" width="7" bestFit="1" customWidth="1"/>
    <col min="622" max="622" width="9.6640625" bestFit="1" customWidth="1"/>
    <col min="623" max="623" width="7" bestFit="1" customWidth="1"/>
    <col min="624" max="624" width="9.6640625" bestFit="1" customWidth="1"/>
    <col min="625" max="625" width="7" bestFit="1" customWidth="1"/>
    <col min="626" max="626" width="9.6640625" bestFit="1" customWidth="1"/>
    <col min="627" max="627" width="7" bestFit="1" customWidth="1"/>
    <col min="628" max="628" width="9.6640625" bestFit="1" customWidth="1"/>
    <col min="629" max="629" width="7" bestFit="1" customWidth="1"/>
    <col min="630" max="630" width="9.6640625" bestFit="1" customWidth="1"/>
    <col min="631" max="631" width="7" bestFit="1" customWidth="1"/>
    <col min="632" max="632" width="9.6640625" bestFit="1" customWidth="1"/>
    <col min="633" max="633" width="7" bestFit="1" customWidth="1"/>
    <col min="634" max="634" width="9.6640625" bestFit="1" customWidth="1"/>
    <col min="635" max="635" width="7" bestFit="1" customWidth="1"/>
    <col min="636" max="636" width="9.6640625" bestFit="1" customWidth="1"/>
    <col min="637" max="637" width="7" bestFit="1" customWidth="1"/>
    <col min="638" max="638" width="9.6640625" bestFit="1" customWidth="1"/>
    <col min="639" max="639" width="7" bestFit="1" customWidth="1"/>
    <col min="640" max="640" width="9.6640625" bestFit="1" customWidth="1"/>
    <col min="641" max="641" width="7" bestFit="1" customWidth="1"/>
    <col min="642" max="642" width="9.6640625" bestFit="1" customWidth="1"/>
    <col min="643" max="643" width="7" bestFit="1" customWidth="1"/>
    <col min="644" max="644" width="9.6640625" bestFit="1" customWidth="1"/>
    <col min="645" max="645" width="7" bestFit="1" customWidth="1"/>
    <col min="646" max="646" width="9.6640625" bestFit="1" customWidth="1"/>
    <col min="647" max="647" width="7" bestFit="1" customWidth="1"/>
    <col min="648" max="648" width="9.6640625" bestFit="1" customWidth="1"/>
    <col min="649" max="649" width="7" bestFit="1" customWidth="1"/>
    <col min="650" max="650" width="9.6640625" bestFit="1" customWidth="1"/>
    <col min="651" max="651" width="7" bestFit="1" customWidth="1"/>
    <col min="652" max="652" width="9.6640625" bestFit="1" customWidth="1"/>
    <col min="653" max="653" width="7" bestFit="1" customWidth="1"/>
    <col min="654" max="654" width="9.6640625" bestFit="1" customWidth="1"/>
    <col min="655" max="655" width="7" bestFit="1" customWidth="1"/>
    <col min="656" max="656" width="9.6640625" bestFit="1" customWidth="1"/>
    <col min="657" max="657" width="7" bestFit="1" customWidth="1"/>
    <col min="658" max="658" width="9.6640625" bestFit="1" customWidth="1"/>
    <col min="659" max="659" width="7" bestFit="1" customWidth="1"/>
    <col min="660" max="660" width="9.6640625" bestFit="1" customWidth="1"/>
    <col min="661" max="661" width="7" bestFit="1" customWidth="1"/>
    <col min="662" max="662" width="9.6640625" bestFit="1" customWidth="1"/>
    <col min="663" max="664" width="7" bestFit="1" customWidth="1"/>
    <col min="665" max="665" width="9.6640625" bestFit="1" customWidth="1"/>
    <col min="666" max="666" width="7" bestFit="1" customWidth="1"/>
    <col min="667" max="667" width="9.6640625" bestFit="1" customWidth="1"/>
    <col min="668" max="668" width="7" bestFit="1" customWidth="1"/>
    <col min="669" max="669" width="9.6640625" bestFit="1" customWidth="1"/>
    <col min="670" max="670" width="7" bestFit="1" customWidth="1"/>
    <col min="671" max="671" width="9.6640625" bestFit="1" customWidth="1"/>
    <col min="672" max="672" width="7" bestFit="1" customWidth="1"/>
    <col min="673" max="673" width="9.6640625" bestFit="1" customWidth="1"/>
    <col min="674" max="674" width="7" bestFit="1" customWidth="1"/>
    <col min="675" max="675" width="9.6640625" bestFit="1" customWidth="1"/>
    <col min="676" max="676" width="7" bestFit="1" customWidth="1"/>
    <col min="677" max="677" width="9.6640625" bestFit="1" customWidth="1"/>
    <col min="678" max="678" width="7" bestFit="1" customWidth="1"/>
    <col min="679" max="679" width="9.6640625" bestFit="1" customWidth="1"/>
    <col min="680" max="680" width="7" bestFit="1" customWidth="1"/>
    <col min="681" max="681" width="9.6640625" bestFit="1" customWidth="1"/>
    <col min="682" max="682" width="7" bestFit="1" customWidth="1"/>
    <col min="683" max="683" width="9.6640625" bestFit="1" customWidth="1"/>
    <col min="684" max="684" width="7" bestFit="1" customWidth="1"/>
    <col min="685" max="685" width="9.6640625" bestFit="1" customWidth="1"/>
    <col min="686" max="686" width="7" bestFit="1" customWidth="1"/>
    <col min="687" max="687" width="9.6640625" bestFit="1" customWidth="1"/>
    <col min="688" max="688" width="7" bestFit="1" customWidth="1"/>
    <col min="689" max="689" width="9.6640625" bestFit="1" customWidth="1"/>
    <col min="690" max="690" width="7" bestFit="1" customWidth="1"/>
    <col min="691" max="691" width="9.6640625" bestFit="1" customWidth="1"/>
    <col min="692" max="692" width="7" bestFit="1" customWidth="1"/>
    <col min="693" max="693" width="9.6640625" bestFit="1" customWidth="1"/>
    <col min="694" max="694" width="7" bestFit="1" customWidth="1"/>
    <col min="695" max="695" width="9.6640625" bestFit="1" customWidth="1"/>
    <col min="696" max="696" width="7" bestFit="1" customWidth="1"/>
    <col min="697" max="697" width="9.6640625" bestFit="1" customWidth="1"/>
    <col min="698" max="698" width="7" bestFit="1" customWidth="1"/>
    <col min="699" max="699" width="9.6640625" bestFit="1" customWidth="1"/>
    <col min="700" max="700" width="7" bestFit="1" customWidth="1"/>
    <col min="701" max="701" width="9.6640625" bestFit="1" customWidth="1"/>
    <col min="702" max="702" width="7" bestFit="1" customWidth="1"/>
    <col min="703" max="703" width="9.6640625" bestFit="1" customWidth="1"/>
    <col min="704" max="704" width="7" bestFit="1" customWidth="1"/>
    <col min="705" max="705" width="9.6640625" bestFit="1" customWidth="1"/>
    <col min="706" max="706" width="7" bestFit="1" customWidth="1"/>
    <col min="707" max="707" width="9.6640625" bestFit="1" customWidth="1"/>
    <col min="708" max="708" width="7" bestFit="1" customWidth="1"/>
    <col min="709" max="709" width="9.6640625" bestFit="1" customWidth="1"/>
    <col min="710" max="710" width="7" bestFit="1" customWidth="1"/>
    <col min="711" max="711" width="9.6640625" bestFit="1" customWidth="1"/>
    <col min="712" max="713" width="7" bestFit="1" customWidth="1"/>
    <col min="714" max="714" width="9.6640625" bestFit="1" customWidth="1"/>
    <col min="715" max="715" width="7" bestFit="1" customWidth="1"/>
    <col min="716" max="716" width="9.6640625" bestFit="1" customWidth="1"/>
    <col min="717" max="717" width="7" bestFit="1" customWidth="1"/>
    <col min="718" max="718" width="9.6640625" bestFit="1" customWidth="1"/>
    <col min="719" max="719" width="7" bestFit="1" customWidth="1"/>
    <col min="720" max="720" width="9.6640625" bestFit="1" customWidth="1"/>
    <col min="721" max="721" width="7" bestFit="1" customWidth="1"/>
    <col min="722" max="722" width="9.6640625" bestFit="1" customWidth="1"/>
    <col min="723" max="723" width="7" bestFit="1" customWidth="1"/>
    <col min="724" max="724" width="9.6640625" bestFit="1" customWidth="1"/>
    <col min="725" max="725" width="7" bestFit="1" customWidth="1"/>
    <col min="726" max="726" width="9.6640625" bestFit="1" customWidth="1"/>
    <col min="727" max="727" width="7" bestFit="1" customWidth="1"/>
    <col min="728" max="728" width="9.6640625" bestFit="1" customWidth="1"/>
    <col min="729" max="729" width="7" bestFit="1" customWidth="1"/>
    <col min="730" max="730" width="9.6640625" bestFit="1" customWidth="1"/>
    <col min="731" max="731" width="7" bestFit="1" customWidth="1"/>
    <col min="732" max="732" width="9.6640625" bestFit="1" customWidth="1"/>
    <col min="733" max="733" width="7" bestFit="1" customWidth="1"/>
    <col min="734" max="734" width="9.6640625" bestFit="1" customWidth="1"/>
    <col min="735" max="735" width="7" bestFit="1" customWidth="1"/>
    <col min="736" max="736" width="9.6640625" bestFit="1" customWidth="1"/>
    <col min="737" max="737" width="7" bestFit="1" customWidth="1"/>
    <col min="738" max="738" width="9.6640625" bestFit="1" customWidth="1"/>
    <col min="739" max="739" width="7" bestFit="1" customWidth="1"/>
    <col min="740" max="740" width="9.6640625" bestFit="1" customWidth="1"/>
    <col min="741" max="741" width="7" bestFit="1" customWidth="1"/>
    <col min="742" max="742" width="9.6640625" bestFit="1" customWidth="1"/>
    <col min="743" max="743" width="7" bestFit="1" customWidth="1"/>
    <col min="744" max="744" width="9.6640625" bestFit="1" customWidth="1"/>
    <col min="745" max="745" width="7" bestFit="1" customWidth="1"/>
    <col min="746" max="746" width="9.6640625" bestFit="1" customWidth="1"/>
    <col min="747" max="747" width="7" bestFit="1" customWidth="1"/>
    <col min="748" max="748" width="9.6640625" bestFit="1" customWidth="1"/>
    <col min="749" max="749" width="7" bestFit="1" customWidth="1"/>
    <col min="750" max="750" width="9.6640625" bestFit="1" customWidth="1"/>
    <col min="751" max="751" width="7" bestFit="1" customWidth="1"/>
    <col min="752" max="752" width="9.6640625" bestFit="1" customWidth="1"/>
    <col min="753" max="753" width="10.77734375" bestFit="1" customWidth="1"/>
  </cols>
  <sheetData>
    <row r="1" spans="2:32" x14ac:dyDescent="0.3">
      <c r="B1" s="16" t="s">
        <v>459</v>
      </c>
      <c r="K1" t="s">
        <v>462</v>
      </c>
      <c r="U1" t="s">
        <v>463</v>
      </c>
      <c r="AE1" t="s">
        <v>460</v>
      </c>
    </row>
    <row r="2" spans="2:32" x14ac:dyDescent="0.3">
      <c r="B2" s="16" t="s">
        <v>317</v>
      </c>
      <c r="C2" t="s">
        <v>373</v>
      </c>
      <c r="K2" s="2" t="s">
        <v>317</v>
      </c>
      <c r="L2" t="s">
        <v>461</v>
      </c>
      <c r="U2" s="2" t="s">
        <v>317</v>
      </c>
      <c r="V2" t="s">
        <v>458</v>
      </c>
      <c r="AE2" s="2" t="s">
        <v>317</v>
      </c>
      <c r="AF2" t="s">
        <v>458</v>
      </c>
    </row>
    <row r="3" spans="2:32" x14ac:dyDescent="0.3">
      <c r="B3" s="17" t="s">
        <v>31</v>
      </c>
      <c r="C3" s="19">
        <v>27.891428571428573</v>
      </c>
      <c r="K3" s="3">
        <v>3</v>
      </c>
      <c r="L3" s="19">
        <v>99.25</v>
      </c>
      <c r="U3" s="3" t="s">
        <v>31</v>
      </c>
      <c r="V3" s="19">
        <v>70</v>
      </c>
      <c r="AE3" s="3" t="s">
        <v>31</v>
      </c>
      <c r="AF3" s="19">
        <v>70</v>
      </c>
    </row>
    <row r="4" spans="2:32" x14ac:dyDescent="0.3">
      <c r="B4" s="18">
        <v>70</v>
      </c>
      <c r="C4" s="19">
        <v>25.2</v>
      </c>
      <c r="K4" s="3">
        <v>4</v>
      </c>
      <c r="L4" s="19">
        <v>78.281407035175874</v>
      </c>
      <c r="U4" s="3" t="s">
        <v>25</v>
      </c>
      <c r="V4" s="19">
        <v>79</v>
      </c>
      <c r="AE4" s="4">
        <v>4</v>
      </c>
      <c r="AF4" s="19">
        <v>63</v>
      </c>
    </row>
    <row r="5" spans="2:32" x14ac:dyDescent="0.3">
      <c r="B5" s="18">
        <v>71</v>
      </c>
      <c r="C5" s="19">
        <v>28.75</v>
      </c>
      <c r="K5" s="3">
        <v>5</v>
      </c>
      <c r="L5" s="19">
        <v>82.333333333333329</v>
      </c>
      <c r="U5" s="3" t="s">
        <v>10</v>
      </c>
      <c r="V5" s="19">
        <v>249</v>
      </c>
      <c r="AE5" s="4">
        <v>5</v>
      </c>
      <c r="AF5" s="19">
        <v>3</v>
      </c>
    </row>
    <row r="6" spans="2:32" x14ac:dyDescent="0.3">
      <c r="B6" s="18">
        <v>72</v>
      </c>
      <c r="C6" s="19">
        <v>22</v>
      </c>
      <c r="K6" s="3">
        <v>6</v>
      </c>
      <c r="L6" s="19">
        <v>101.50602409638554</v>
      </c>
      <c r="U6" s="3" t="s">
        <v>318</v>
      </c>
      <c r="V6" s="19">
        <v>398</v>
      </c>
      <c r="AE6" s="4">
        <v>6</v>
      </c>
      <c r="AF6" s="19">
        <v>4</v>
      </c>
    </row>
    <row r="7" spans="2:32" x14ac:dyDescent="0.3">
      <c r="B7" s="18">
        <v>73</v>
      </c>
      <c r="C7" s="19">
        <v>24</v>
      </c>
      <c r="K7" s="3">
        <v>8</v>
      </c>
      <c r="L7" s="19">
        <v>158.30097087378641</v>
      </c>
      <c r="AE7" s="3" t="s">
        <v>25</v>
      </c>
      <c r="AF7" s="19">
        <v>79</v>
      </c>
    </row>
    <row r="8" spans="2:32" x14ac:dyDescent="0.3">
      <c r="B8" s="18">
        <v>74</v>
      </c>
      <c r="C8" s="19">
        <v>27</v>
      </c>
      <c r="K8" s="3" t="s">
        <v>318</v>
      </c>
      <c r="L8" s="19">
        <v>104.46938775510205</v>
      </c>
      <c r="AE8" s="4">
        <v>3</v>
      </c>
      <c r="AF8" s="19">
        <v>4</v>
      </c>
    </row>
    <row r="9" spans="2:32" x14ac:dyDescent="0.3">
      <c r="B9" s="18">
        <v>75</v>
      </c>
      <c r="C9" s="19">
        <v>24.5</v>
      </c>
      <c r="AE9" s="4">
        <v>4</v>
      </c>
      <c r="AF9" s="19">
        <v>69</v>
      </c>
    </row>
    <row r="10" spans="2:32" x14ac:dyDescent="0.3">
      <c r="B10" s="18">
        <v>76</v>
      </c>
      <c r="C10" s="19">
        <v>24.25</v>
      </c>
      <c r="AE10" s="4">
        <v>6</v>
      </c>
      <c r="AF10" s="19">
        <v>6</v>
      </c>
    </row>
    <row r="11" spans="2:32" x14ac:dyDescent="0.3">
      <c r="B11" s="18">
        <v>77</v>
      </c>
      <c r="C11" s="19">
        <v>29.25</v>
      </c>
      <c r="AE11" s="3" t="s">
        <v>10</v>
      </c>
      <c r="AF11" s="19">
        <v>249</v>
      </c>
    </row>
    <row r="12" spans="2:32" x14ac:dyDescent="0.3">
      <c r="B12" s="18">
        <v>78</v>
      </c>
      <c r="C12" s="19">
        <v>24.95</v>
      </c>
      <c r="AE12" s="4">
        <v>4</v>
      </c>
      <c r="AF12" s="19">
        <v>72</v>
      </c>
    </row>
    <row r="13" spans="2:32" x14ac:dyDescent="0.3">
      <c r="B13" s="18">
        <v>79</v>
      </c>
      <c r="C13" s="19">
        <v>30.449999999999996</v>
      </c>
      <c r="AE13" s="4">
        <v>6</v>
      </c>
      <c r="AF13" s="19">
        <v>74</v>
      </c>
    </row>
    <row r="14" spans="2:32" x14ac:dyDescent="0.3">
      <c r="B14" s="18">
        <v>80</v>
      </c>
      <c r="C14" s="19">
        <v>37.288888888888877</v>
      </c>
      <c r="AE14" s="4">
        <v>8</v>
      </c>
      <c r="AF14" s="19">
        <v>103</v>
      </c>
    </row>
    <row r="15" spans="2:32" x14ac:dyDescent="0.3">
      <c r="B15" s="18">
        <v>81</v>
      </c>
      <c r="C15" s="19">
        <v>31.574999999999999</v>
      </c>
      <c r="AE15" s="3" t="s">
        <v>318</v>
      </c>
      <c r="AF15" s="19">
        <v>398</v>
      </c>
    </row>
    <row r="16" spans="2:32" x14ac:dyDescent="0.3">
      <c r="B16" s="18">
        <v>82</v>
      </c>
      <c r="C16" s="19">
        <v>40</v>
      </c>
    </row>
    <row r="17" spans="2:9" x14ac:dyDescent="0.3">
      <c r="B17" s="17" t="s">
        <v>25</v>
      </c>
      <c r="C17" s="19">
        <v>30.450632911392397</v>
      </c>
    </row>
    <row r="18" spans="2:9" x14ac:dyDescent="0.3">
      <c r="B18" s="18">
        <v>70</v>
      </c>
      <c r="C18" s="19">
        <v>25.5</v>
      </c>
    </row>
    <row r="19" spans="2:9" x14ac:dyDescent="0.3">
      <c r="B19" s="18">
        <v>71</v>
      </c>
      <c r="C19" s="19">
        <v>29.5</v>
      </c>
    </row>
    <row r="20" spans="2:9" x14ac:dyDescent="0.3">
      <c r="B20" s="18">
        <v>72</v>
      </c>
      <c r="C20" s="19">
        <v>24.2</v>
      </c>
    </row>
    <row r="21" spans="2:9" x14ac:dyDescent="0.3">
      <c r="B21" s="18">
        <v>73</v>
      </c>
      <c r="C21" s="19">
        <v>20</v>
      </c>
    </row>
    <row r="22" spans="2:9" x14ac:dyDescent="0.3">
      <c r="B22" s="18">
        <v>74</v>
      </c>
      <c r="C22" s="19">
        <v>29.333333333333332</v>
      </c>
    </row>
    <row r="23" spans="2:9" x14ac:dyDescent="0.3">
      <c r="B23" s="18">
        <v>75</v>
      </c>
      <c r="C23" s="19">
        <v>27.5</v>
      </c>
    </row>
    <row r="24" spans="2:9" x14ac:dyDescent="0.3">
      <c r="B24" s="18">
        <v>76</v>
      </c>
      <c r="C24" s="19">
        <v>28</v>
      </c>
    </row>
    <row r="25" spans="2:9" x14ac:dyDescent="0.3">
      <c r="B25" s="18">
        <v>77</v>
      </c>
      <c r="C25" s="19">
        <v>27.416666666666668</v>
      </c>
    </row>
    <row r="26" spans="2:9" x14ac:dyDescent="0.3">
      <c r="B26" s="18">
        <v>78</v>
      </c>
      <c r="C26" s="19">
        <v>29.6875</v>
      </c>
    </row>
    <row r="27" spans="2:9" x14ac:dyDescent="0.3">
      <c r="B27" s="18">
        <v>79</v>
      </c>
      <c r="C27" s="19">
        <v>32.950000000000003</v>
      </c>
    </row>
    <row r="28" spans="2:9" x14ac:dyDescent="0.3">
      <c r="B28" s="18">
        <v>80</v>
      </c>
      <c r="C28" s="19">
        <v>35.400000000000006</v>
      </c>
    </row>
    <row r="29" spans="2:9" x14ac:dyDescent="0.3">
      <c r="B29" s="18">
        <v>81</v>
      </c>
      <c r="C29" s="19">
        <v>32.958333333333329</v>
      </c>
      <c r="I29" t="s">
        <v>458</v>
      </c>
    </row>
    <row r="30" spans="2:9" x14ac:dyDescent="0.3">
      <c r="B30" s="18">
        <v>82</v>
      </c>
      <c r="C30" s="19">
        <v>34.888888888888886</v>
      </c>
      <c r="I30" s="19">
        <v>398</v>
      </c>
    </row>
    <row r="31" spans="2:9" x14ac:dyDescent="0.3">
      <c r="B31" s="17" t="s">
        <v>10</v>
      </c>
      <c r="C31" s="19">
        <v>20.083534136546177</v>
      </c>
    </row>
    <row r="32" spans="2:9" x14ac:dyDescent="0.3">
      <c r="B32" s="18">
        <v>70</v>
      </c>
      <c r="C32" s="19">
        <v>15.272727272727273</v>
      </c>
    </row>
    <row r="33" spans="2:9" x14ac:dyDescent="0.3">
      <c r="B33" s="18">
        <v>71</v>
      </c>
      <c r="C33" s="19">
        <v>18.100000000000001</v>
      </c>
      <c r="I33" t="s">
        <v>373</v>
      </c>
    </row>
    <row r="34" spans="2:9" x14ac:dyDescent="0.3">
      <c r="B34" s="18">
        <v>72</v>
      </c>
      <c r="C34" s="19">
        <v>16.277777777777779</v>
      </c>
      <c r="I34" s="20">
        <v>23.514572864321607</v>
      </c>
    </row>
    <row r="35" spans="2:9" x14ac:dyDescent="0.3">
      <c r="B35" s="18">
        <v>73</v>
      </c>
      <c r="C35" s="19">
        <v>15.03448275862069</v>
      </c>
    </row>
    <row r="36" spans="2:9" x14ac:dyDescent="0.3">
      <c r="B36" s="18">
        <v>74</v>
      </c>
      <c r="C36" s="19">
        <v>18.333333333333332</v>
      </c>
      <c r="I36" t="s">
        <v>461</v>
      </c>
    </row>
    <row r="37" spans="2:9" x14ac:dyDescent="0.3">
      <c r="B37" s="18">
        <v>75</v>
      </c>
      <c r="C37" s="19">
        <v>17.55</v>
      </c>
      <c r="I37" s="20">
        <v>104.46938775510205</v>
      </c>
    </row>
    <row r="38" spans="2:9" x14ac:dyDescent="0.3">
      <c r="B38" s="18">
        <v>76</v>
      </c>
      <c r="C38" s="19">
        <v>19.431818181818183</v>
      </c>
    </row>
    <row r="39" spans="2:9" x14ac:dyDescent="0.3">
      <c r="B39" s="18">
        <v>77</v>
      </c>
      <c r="C39" s="19">
        <v>20.722222222222221</v>
      </c>
    </row>
    <row r="40" spans="2:9" x14ac:dyDescent="0.3">
      <c r="B40" s="18">
        <v>78</v>
      </c>
      <c r="C40" s="19">
        <v>21.772727272727266</v>
      </c>
    </row>
    <row r="41" spans="2:9" x14ac:dyDescent="0.3">
      <c r="B41" s="18">
        <v>79</v>
      </c>
      <c r="C41" s="19">
        <v>23.478260869565219</v>
      </c>
    </row>
    <row r="42" spans="2:9" x14ac:dyDescent="0.3">
      <c r="B42" s="18">
        <v>80</v>
      </c>
      <c r="C42" s="19">
        <v>25.914285714285715</v>
      </c>
    </row>
    <row r="43" spans="2:9" x14ac:dyDescent="0.3">
      <c r="B43" s="18">
        <v>81</v>
      </c>
      <c r="C43" s="19">
        <v>27.530769230769234</v>
      </c>
    </row>
    <row r="44" spans="2:9" x14ac:dyDescent="0.3">
      <c r="B44" s="18">
        <v>82</v>
      </c>
      <c r="C44" s="19">
        <v>29.45</v>
      </c>
    </row>
    <row r="45" spans="2:9" x14ac:dyDescent="0.3">
      <c r="B45" s="17" t="s">
        <v>318</v>
      </c>
      <c r="C45" s="19">
        <v>23.514572864321607</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9B221-2ED6-467B-9B89-538544F43493}">
  <dimension ref="A1"/>
  <sheetViews>
    <sheetView showGridLines="0" tabSelected="1" zoomScale="102" zoomScaleNormal="102" workbookViewId="0">
      <selection activeCell="Z5" sqref="Z5"/>
    </sheetView>
  </sheetViews>
  <sheetFormatPr defaultRowHeight="14.4" x14ac:dyDescent="0.3"/>
  <cols>
    <col min="1" max="1" width="20.88671875" style="1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23BC7-E7DA-4E35-AD17-953851BB1542}">
  <dimension ref="A1:D11"/>
  <sheetViews>
    <sheetView workbookViewId="0">
      <selection activeCell="D11" sqref="D11"/>
    </sheetView>
  </sheetViews>
  <sheetFormatPr defaultRowHeight="14.4" x14ac:dyDescent="0.3"/>
  <cols>
    <col min="1" max="1" width="9.5546875" customWidth="1"/>
    <col min="2" max="2" width="46.33203125" bestFit="1" customWidth="1"/>
    <col min="3" max="3" width="9.6640625" customWidth="1"/>
    <col min="4" max="4" width="12.44140625" bestFit="1" customWidth="1"/>
  </cols>
  <sheetData>
    <row r="1" spans="1:4" x14ac:dyDescent="0.3">
      <c r="A1" t="s">
        <v>319</v>
      </c>
      <c r="B1" t="s">
        <v>320</v>
      </c>
      <c r="C1" t="s">
        <v>321</v>
      </c>
      <c r="D1" t="s">
        <v>335</v>
      </c>
    </row>
    <row r="2" spans="1:4" x14ac:dyDescent="0.3">
      <c r="A2">
        <v>1</v>
      </c>
      <c r="B2" t="s">
        <v>322</v>
      </c>
      <c r="C2" t="s">
        <v>323</v>
      </c>
      <c r="D2" t="s">
        <v>341</v>
      </c>
    </row>
    <row r="3" spans="1:4" x14ac:dyDescent="0.3">
      <c r="A3">
        <v>2</v>
      </c>
      <c r="B3" t="s">
        <v>324</v>
      </c>
      <c r="C3" t="s">
        <v>323</v>
      </c>
      <c r="D3" t="s">
        <v>341</v>
      </c>
    </row>
    <row r="4" spans="1:4" x14ac:dyDescent="0.3">
      <c r="A4">
        <v>3</v>
      </c>
      <c r="B4" t="s">
        <v>325</v>
      </c>
      <c r="C4" t="s">
        <v>323</v>
      </c>
      <c r="D4" t="s">
        <v>341</v>
      </c>
    </row>
    <row r="5" spans="1:4" x14ac:dyDescent="0.3">
      <c r="A5">
        <v>4</v>
      </c>
      <c r="B5" t="s">
        <v>326</v>
      </c>
      <c r="C5" t="s">
        <v>327</v>
      </c>
      <c r="D5" t="s">
        <v>341</v>
      </c>
    </row>
    <row r="6" spans="1:4" x14ac:dyDescent="0.3">
      <c r="A6">
        <v>5</v>
      </c>
      <c r="B6" t="s">
        <v>328</v>
      </c>
      <c r="C6" t="s">
        <v>327</v>
      </c>
      <c r="D6" t="s">
        <v>341</v>
      </c>
    </row>
    <row r="7" spans="1:4" x14ac:dyDescent="0.3">
      <c r="A7">
        <v>6</v>
      </c>
      <c r="B7" t="s">
        <v>329</v>
      </c>
      <c r="C7" t="s">
        <v>327</v>
      </c>
      <c r="D7" t="s">
        <v>341</v>
      </c>
    </row>
    <row r="8" spans="1:4" x14ac:dyDescent="0.3">
      <c r="A8">
        <v>7</v>
      </c>
      <c r="B8" t="s">
        <v>330</v>
      </c>
      <c r="C8" t="s">
        <v>331</v>
      </c>
      <c r="D8" t="s">
        <v>341</v>
      </c>
    </row>
    <row r="9" spans="1:4" x14ac:dyDescent="0.3">
      <c r="A9">
        <v>8</v>
      </c>
      <c r="B9" t="s">
        <v>332</v>
      </c>
      <c r="C9" t="s">
        <v>331</v>
      </c>
      <c r="D9" t="s">
        <v>341</v>
      </c>
    </row>
    <row r="10" spans="1:4" x14ac:dyDescent="0.3">
      <c r="A10">
        <v>9</v>
      </c>
      <c r="B10" t="s">
        <v>333</v>
      </c>
      <c r="C10" t="s">
        <v>331</v>
      </c>
      <c r="D10" t="s">
        <v>341</v>
      </c>
    </row>
    <row r="11" spans="1:4" x14ac:dyDescent="0.3">
      <c r="A11">
        <v>10</v>
      </c>
      <c r="B11" t="s">
        <v>334</v>
      </c>
      <c r="C11" t="s">
        <v>331</v>
      </c>
      <c r="D11" t="s">
        <v>336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30F5ADC-8D74-444C-8F8A-9DC28C5120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Automobile</vt:lpstr>
      <vt:lpstr>Outliers in MPG</vt:lpstr>
      <vt:lpstr>MPG X Displacement</vt:lpstr>
      <vt:lpstr>Pivot table for MPG Statistics</vt:lpstr>
      <vt:lpstr>Normalized Accelerations</vt:lpstr>
      <vt:lpstr>Performance Tiers</vt:lpstr>
      <vt:lpstr>Missing Horsepower</vt:lpstr>
      <vt:lpstr>Regression Statistics</vt:lpstr>
      <vt:lpstr>Data Table</vt:lpstr>
      <vt:lpstr>Fuel Efficiency Trends</vt:lpstr>
      <vt:lpstr>Dashboard</vt:lpstr>
      <vt:lpstr>TODOS</vt:lpstr>
      <vt:lpstr>horsepower</vt:lpstr>
      <vt:lpstr>mpg</vt:lpstr>
      <vt:lpstr>namecount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Vito Leonelli</dc:creator>
  <cp:lastModifiedBy>Vito Leonelli</cp:lastModifiedBy>
  <dcterms:created xsi:type="dcterms:W3CDTF">2025-10-29T17:29:43Z</dcterms:created>
  <dcterms:modified xsi:type="dcterms:W3CDTF">2025-11-08T15:50:07Z</dcterms:modified>
</cp:coreProperties>
</file>